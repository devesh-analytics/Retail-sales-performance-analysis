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49155b9a1eb10/Desktop/"/>
    </mc:Choice>
  </mc:AlternateContent>
  <xr:revisionPtr revIDLastSave="0" documentId="8_{A473DAF6-CE6A-439D-9CCE-2BB01C7A1438}" xr6:coauthVersionLast="47" xr6:coauthVersionMax="47" xr10:uidLastSave="{00000000-0000-0000-0000-000000000000}"/>
  <bookViews>
    <workbookView xWindow="-108" yWindow="-108" windowWidth="23256" windowHeight="12456" activeTab="1" xr2:uid="{F9C419F2-7851-4BFC-8E8F-7754EC65FBA3}"/>
  </bookViews>
  <sheets>
    <sheet name="Raw_data" sheetId="1" r:id="rId1"/>
    <sheet name="Clean_data " sheetId="2" r:id="rId2"/>
    <sheet name="Analysi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3" i="3"/>
  <c r="B2" i="3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2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3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2" i="2"/>
  <c r="T2" i="2" a="1"/>
  <c r="T2" i="2" s="1"/>
  <c r="S2" i="2" a="1"/>
  <c r="S2" i="2" s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2" i="2"/>
  <c r="S8" i="1"/>
  <c r="S7" i="1"/>
  <c r="S6" i="1"/>
  <c r="S5" i="1"/>
  <c r="S4" i="1"/>
  <c r="S3" i="1"/>
  <c r="S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<sst xmlns="http://schemas.openxmlformats.org/spreadsheetml/2006/main" count="33314" uniqueCount="1883">
  <si>
    <t>Order_ID</t>
  </si>
  <si>
    <t>Order_Date</t>
  </si>
  <si>
    <t>Customer_ID</t>
  </si>
  <si>
    <t>Product_ID</t>
  </si>
  <si>
    <t>Product_Name</t>
  </si>
  <si>
    <t>Category</t>
  </si>
  <si>
    <t>Region</t>
  </si>
  <si>
    <t>City</t>
  </si>
  <si>
    <t>Quantity</t>
  </si>
  <si>
    <t>Unit_Price</t>
  </si>
  <si>
    <t>Discount</t>
  </si>
  <si>
    <t>Sales_Amount</t>
  </si>
  <si>
    <t>Sales_Channel</t>
  </si>
  <si>
    <t>Payment_Method</t>
  </si>
  <si>
    <t>Order_Status</t>
  </si>
  <si>
    <t>Salesperson</t>
  </si>
  <si>
    <t>ORD50001</t>
  </si>
  <si>
    <t>CUST1224</t>
  </si>
  <si>
    <t>P012</t>
  </si>
  <si>
    <t>Water Bottle</t>
  </si>
  <si>
    <t>Accessories</t>
  </si>
  <si>
    <t>East</t>
  </si>
  <si>
    <t>Kolkata</t>
  </si>
  <si>
    <t>Online</t>
  </si>
  <si>
    <t>Debit Card</t>
  </si>
  <si>
    <t>Returned</t>
  </si>
  <si>
    <t>Arjun</t>
  </si>
  <si>
    <t>ORD50002</t>
  </si>
  <si>
    <t>CUST1131</t>
  </si>
  <si>
    <t>P011</t>
  </si>
  <si>
    <t>Headphones</t>
  </si>
  <si>
    <t>Electronics</t>
  </si>
  <si>
    <t>West</t>
  </si>
  <si>
    <t>Pune</t>
  </si>
  <si>
    <t>Cash on Delivery</t>
  </si>
  <si>
    <t>Cancelled</t>
  </si>
  <si>
    <t>ORD50003</t>
  </si>
  <si>
    <t>CUST1060</t>
  </si>
  <si>
    <t>P013</t>
  </si>
  <si>
    <t>Desk Lamp</t>
  </si>
  <si>
    <t>Furniture</t>
  </si>
  <si>
    <t>Ranchi</t>
  </si>
  <si>
    <t>Rahul</t>
  </si>
  <si>
    <t>ORD50004</t>
  </si>
  <si>
    <t>CUST1116</t>
  </si>
  <si>
    <t>P003</t>
  </si>
  <si>
    <t>Keyboard</t>
  </si>
  <si>
    <t>Surat</t>
  </si>
  <si>
    <t>Marketplace</t>
  </si>
  <si>
    <t>Net Banking</t>
  </si>
  <si>
    <t>Priya</t>
  </si>
  <si>
    <t>ORD50005</t>
  </si>
  <si>
    <t>CUST1041</t>
  </si>
  <si>
    <t>P008</t>
  </si>
  <si>
    <t>Pen Set</t>
  </si>
  <si>
    <t>Stationery</t>
  </si>
  <si>
    <t>South</t>
  </si>
  <si>
    <t>Chennai</t>
  </si>
  <si>
    <t>Credit Card</t>
  </si>
  <si>
    <t>Sneha</t>
  </si>
  <si>
    <t>ORD50006</t>
  </si>
  <si>
    <t>CUST1121</t>
  </si>
  <si>
    <t>P014</t>
  </si>
  <si>
    <t>Webcam</t>
  </si>
  <si>
    <t>Hyderabad</t>
  </si>
  <si>
    <t>Completed</t>
  </si>
  <si>
    <t>ORD50007</t>
  </si>
  <si>
    <t>CUST1217</t>
  </si>
  <si>
    <t>Mumbai</t>
  </si>
  <si>
    <t>ORD50008</t>
  </si>
  <si>
    <t>CUST1166</t>
  </si>
  <si>
    <t>UPI</t>
  </si>
  <si>
    <t>Anil</t>
  </si>
  <si>
    <t>ORD50009</t>
  </si>
  <si>
    <t>CUST1184</t>
  </si>
  <si>
    <t>Ahmedabad</t>
  </si>
  <si>
    <t>Store</t>
  </si>
  <si>
    <t>ORD50010</t>
  </si>
  <si>
    <t>CUST1223</t>
  </si>
  <si>
    <t>P004</t>
  </si>
  <si>
    <t>Monitor 24-inch</t>
  </si>
  <si>
    <t>North</t>
  </si>
  <si>
    <t>Lucknow</t>
  </si>
  <si>
    <t>ORD50011</t>
  </si>
  <si>
    <t>CUST1080</t>
  </si>
  <si>
    <t>P009</t>
  </si>
  <si>
    <t>Backpack</t>
  </si>
  <si>
    <t>Jaipur</t>
  </si>
  <si>
    <t>ORD50012</t>
  </si>
  <si>
    <t>P015</t>
  </si>
  <si>
    <t>Phone Stand</t>
  </si>
  <si>
    <t>ORD50013</t>
  </si>
  <si>
    <t>CUST1173</t>
  </si>
  <si>
    <t>Bhubaneswar</t>
  </si>
  <si>
    <t>ORD50014</t>
  </si>
  <si>
    <t>CUST1187</t>
  </si>
  <si>
    <t>P002</t>
  </si>
  <si>
    <t>Wireless Mouse</t>
  </si>
  <si>
    <t>Delhi</t>
  </si>
  <si>
    <t>ORD50015</t>
  </si>
  <si>
    <t>CUST1100</t>
  </si>
  <si>
    <t>Bengaluru</t>
  </si>
  <si>
    <t>Vikram</t>
  </si>
  <si>
    <t>ORD50016</t>
  </si>
  <si>
    <t>CUST1129</t>
  </si>
  <si>
    <t>P006</t>
  </si>
  <si>
    <t>Desk</t>
  </si>
  <si>
    <t>ORD50017</t>
  </si>
  <si>
    <t>CUST1117</t>
  </si>
  <si>
    <t>ORD50018</t>
  </si>
  <si>
    <t>CUST1143</t>
  </si>
  <si>
    <t>Meena</t>
  </si>
  <si>
    <t>ORD50019</t>
  </si>
  <si>
    <t>CUST1164</t>
  </si>
  <si>
    <t>ORD50020</t>
  </si>
  <si>
    <t>CUST1172</t>
  </si>
  <si>
    <t>Kiran</t>
  </si>
  <si>
    <t>ORD50021</t>
  </si>
  <si>
    <t>CUST1152</t>
  </si>
  <si>
    <t>ORD50022</t>
  </si>
  <si>
    <t>CUST1072</t>
  </si>
  <si>
    <t>P007</t>
  </si>
  <si>
    <t>Notebook Pack</t>
  </si>
  <si>
    <t>Visakhapatnam</t>
  </si>
  <si>
    <t>ORD50023</t>
  </si>
  <si>
    <t>CUST1070</t>
  </si>
  <si>
    <t>Patna</t>
  </si>
  <si>
    <t>ORD50024</t>
  </si>
  <si>
    <t>CUST1079</t>
  </si>
  <si>
    <t>ORD50025</t>
  </si>
  <si>
    <t>CUST1190</t>
  </si>
  <si>
    <t>P005</t>
  </si>
  <si>
    <t>Office Chair</t>
  </si>
  <si>
    <t>ORD50026</t>
  </si>
  <si>
    <t>CUST1081</t>
  </si>
  <si>
    <t>Chandigarh</t>
  </si>
  <si>
    <t>ORD50027</t>
  </si>
  <si>
    <t>CUST1134</t>
  </si>
  <si>
    <t>ORD50028</t>
  </si>
  <si>
    <t>CUST1024</t>
  </si>
  <si>
    <t>ORD50029</t>
  </si>
  <si>
    <t>CUST1201</t>
  </si>
  <si>
    <t>ORD50030</t>
  </si>
  <si>
    <t>CUST1009</t>
  </si>
  <si>
    <t>ORD50031</t>
  </si>
  <si>
    <t>ORD50032</t>
  </si>
  <si>
    <t>ORD50033</t>
  </si>
  <si>
    <t>CUST1181</t>
  </si>
  <si>
    <t>ORD50034</t>
  </si>
  <si>
    <t>CUST1148</t>
  </si>
  <si>
    <t>ORD50035</t>
  </si>
  <si>
    <t>CUST1249</t>
  </si>
  <si>
    <t>ORD50036</t>
  </si>
  <si>
    <t>CUST1195</t>
  </si>
  <si>
    <t>ORD50037</t>
  </si>
  <si>
    <t>CUST1122</t>
  </si>
  <si>
    <t>ORD50038</t>
  </si>
  <si>
    <t>CUST1199</t>
  </si>
  <si>
    <t>ORD50039</t>
  </si>
  <si>
    <t>CUST1111</t>
  </si>
  <si>
    <t>ORD50040</t>
  </si>
  <si>
    <t>CUST1250</t>
  </si>
  <si>
    <t>ORD50041</t>
  </si>
  <si>
    <t>ORD50042</t>
  </si>
  <si>
    <t>CUST1185</t>
  </si>
  <si>
    <t>ORD50043</t>
  </si>
  <si>
    <t>CUST1103</t>
  </si>
  <si>
    <t>ORD50044</t>
  </si>
  <si>
    <t>ORD50045</t>
  </si>
  <si>
    <t>CUST1137</t>
  </si>
  <si>
    <t>P001</t>
  </si>
  <si>
    <t>Laptop 15-inch</t>
  </si>
  <si>
    <t>ORD50046</t>
  </si>
  <si>
    <t>CUST1063</t>
  </si>
  <si>
    <t>ORD50047</t>
  </si>
  <si>
    <t>CUST1035</t>
  </si>
  <si>
    <t>P010</t>
  </si>
  <si>
    <t>USB-C Hub</t>
  </si>
  <si>
    <t>ORD50048</t>
  </si>
  <si>
    <t>CUST1016</t>
  </si>
  <si>
    <t>ORD50049</t>
  </si>
  <si>
    <t>CUST1096</t>
  </si>
  <si>
    <t>ORD50050</t>
  </si>
  <si>
    <t>ORD50051</t>
  </si>
  <si>
    <t>CUST1139</t>
  </si>
  <si>
    <t>ORD50052</t>
  </si>
  <si>
    <t>CUST1248</t>
  </si>
  <si>
    <t>ORD50053</t>
  </si>
  <si>
    <t>CUST1036</t>
  </si>
  <si>
    <t>ORD50054</t>
  </si>
  <si>
    <t>CUST1188</t>
  </si>
  <si>
    <t>ORD50055</t>
  </si>
  <si>
    <t>CUST1149</t>
  </si>
  <si>
    <t>ORD50056</t>
  </si>
  <si>
    <t>CUST1220</t>
  </si>
  <si>
    <t>ORD50057</t>
  </si>
  <si>
    <t>CUST1202</t>
  </si>
  <si>
    <t>ORD50058</t>
  </si>
  <si>
    <t>ORD50059</t>
  </si>
  <si>
    <t>ORD50060</t>
  </si>
  <si>
    <t>CUST1221</t>
  </si>
  <si>
    <t>ORD50061</t>
  </si>
  <si>
    <t>CUST1153</t>
  </si>
  <si>
    <t>ORD50062</t>
  </si>
  <si>
    <t>CUST1004</t>
  </si>
  <si>
    <t>ORD50063</t>
  </si>
  <si>
    <t>CUST1229</t>
  </si>
  <si>
    <t>ORD50064</t>
  </si>
  <si>
    <t>CUST1177</t>
  </si>
  <si>
    <t>ORD50065</t>
  </si>
  <si>
    <t>CUST1052</t>
  </si>
  <si>
    <t>ORD50066</t>
  </si>
  <si>
    <t>CUST1251</t>
  </si>
  <si>
    <t>ORD50067</t>
  </si>
  <si>
    <t>ORD50068</t>
  </si>
  <si>
    <t>ORD50069</t>
  </si>
  <si>
    <t>CUST1071</t>
  </si>
  <si>
    <t>ORD50070</t>
  </si>
  <si>
    <t>CUST1120</t>
  </si>
  <si>
    <t>ORD50071</t>
  </si>
  <si>
    <t>ORD50072</t>
  </si>
  <si>
    <t>CUST1140</t>
  </si>
  <si>
    <t>ORD50073</t>
  </si>
  <si>
    <t>CUST1106</t>
  </si>
  <si>
    <t>ORD50074</t>
  </si>
  <si>
    <t>CUST1105</t>
  </si>
  <si>
    <t>ORD50075</t>
  </si>
  <si>
    <t>CUST1083</t>
  </si>
  <si>
    <t>ORD50076</t>
  </si>
  <si>
    <t>ORD50077</t>
  </si>
  <si>
    <t>CUST1113</t>
  </si>
  <si>
    <t>ORD50078</t>
  </si>
  <si>
    <t>CUST1191</t>
  </si>
  <si>
    <t>ORD50079</t>
  </si>
  <si>
    <t>CUST1031</t>
  </si>
  <si>
    <t>ORD50080</t>
  </si>
  <si>
    <t>CUST1018</t>
  </si>
  <si>
    <t>ORD50081</t>
  </si>
  <si>
    <t>CUST1040</t>
  </si>
  <si>
    <t>ORD50082</t>
  </si>
  <si>
    <t>ORD50083</t>
  </si>
  <si>
    <t>CUST1055</t>
  </si>
  <si>
    <t>ORD50084</t>
  </si>
  <si>
    <t>CUST1209</t>
  </si>
  <si>
    <t>ORD50085</t>
  </si>
  <si>
    <t>CUST1197</t>
  </si>
  <si>
    <t>ORD50086</t>
  </si>
  <si>
    <t>CUST1051</t>
  </si>
  <si>
    <t>ORD50087</t>
  </si>
  <si>
    <t>CUST1064</t>
  </si>
  <si>
    <t>ORD50088</t>
  </si>
  <si>
    <t>CUST1194</t>
  </si>
  <si>
    <t>ORD50089</t>
  </si>
  <si>
    <t>CUST1222</t>
  </si>
  <si>
    <t>east</t>
  </si>
  <si>
    <t>ORD50090</t>
  </si>
  <si>
    <t>ORD50091</t>
  </si>
  <si>
    <t>CUST1089</t>
  </si>
  <si>
    <t>ORD50092</t>
  </si>
  <si>
    <t>CUST1109</t>
  </si>
  <si>
    <t>south</t>
  </si>
  <si>
    <t>ORD50093</t>
  </si>
  <si>
    <t>CUST1125</t>
  </si>
  <si>
    <t>ORD50094</t>
  </si>
  <si>
    <t>CUST1132</t>
  </si>
  <si>
    <t>ORD50095</t>
  </si>
  <si>
    <t>CUST1256</t>
  </si>
  <si>
    <t>ORD50096</t>
  </si>
  <si>
    <t>ORD50097</t>
  </si>
  <si>
    <t>CUST1207</t>
  </si>
  <si>
    <t>ORD50098</t>
  </si>
  <si>
    <t>ORD50099</t>
  </si>
  <si>
    <t>CUST1226</t>
  </si>
  <si>
    <t>ORD50100</t>
  </si>
  <si>
    <t>ORD50101</t>
  </si>
  <si>
    <t>CUST1175</t>
  </si>
  <si>
    <t>ORD50102</t>
  </si>
  <si>
    <t>CUST1030</t>
  </si>
  <si>
    <t>ORD50103</t>
  </si>
  <si>
    <t>ORD50104</t>
  </si>
  <si>
    <t>ORD50105</t>
  </si>
  <si>
    <t>ORD50106</t>
  </si>
  <si>
    <t>ORD50107</t>
  </si>
  <si>
    <t>CUST1234</t>
  </si>
  <si>
    <t>ORD50108</t>
  </si>
  <si>
    <t>CUST1007</t>
  </si>
  <si>
    <t>ORD50109</t>
  </si>
  <si>
    <t>CUST1074</t>
  </si>
  <si>
    <t>ORD50110</t>
  </si>
  <si>
    <t>CUST1067</t>
  </si>
  <si>
    <t>ORD50111</t>
  </si>
  <si>
    <t>CUST1027</t>
  </si>
  <si>
    <t>ORD50112</t>
  </si>
  <si>
    <t>CUST1077</t>
  </si>
  <si>
    <t>ORD50113</t>
  </si>
  <si>
    <t>CUST1082</t>
  </si>
  <si>
    <t>ORD50114</t>
  </si>
  <si>
    <t>CUST1128</t>
  </si>
  <si>
    <t>ORD50115</t>
  </si>
  <si>
    <t>CUST1001</t>
  </si>
  <si>
    <t>ORD50116</t>
  </si>
  <si>
    <t>ORD50117</t>
  </si>
  <si>
    <t>CUST1086</t>
  </si>
  <si>
    <t>ORD50118</t>
  </si>
  <si>
    <t>CUST1006</t>
  </si>
  <si>
    <t>ORD50119</t>
  </si>
  <si>
    <t>CUST1162</t>
  </si>
  <si>
    <t>ORD50120</t>
  </si>
  <si>
    <t>ORD50121</t>
  </si>
  <si>
    <t>CUST1119</t>
  </si>
  <si>
    <t>ORD50122</t>
  </si>
  <si>
    <t>CUST1078</t>
  </si>
  <si>
    <t>ORD50123</t>
  </si>
  <si>
    <t>CUST1091</t>
  </si>
  <si>
    <t>ORD50124</t>
  </si>
  <si>
    <t>CUST1039</t>
  </si>
  <si>
    <t>ORD50125</t>
  </si>
  <si>
    <t>ORD50126</t>
  </si>
  <si>
    <t>ORD50127</t>
  </si>
  <si>
    <t>CUST1155</t>
  </si>
  <si>
    <t>ORD50128</t>
  </si>
  <si>
    <t>CUST1219</t>
  </si>
  <si>
    <t>ORD50129</t>
  </si>
  <si>
    <t>CUST1189</t>
  </si>
  <si>
    <t>ORD50130</t>
  </si>
  <si>
    <t>CUST1094</t>
  </si>
  <si>
    <t>ORD50131</t>
  </si>
  <si>
    <t>CUST1178</t>
  </si>
  <si>
    <t>ORD50132</t>
  </si>
  <si>
    <t>CUST1090</t>
  </si>
  <si>
    <t>ORD50133</t>
  </si>
  <si>
    <t>CUST1193</t>
  </si>
  <si>
    <t>ORD50134</t>
  </si>
  <si>
    <t>ORD50135</t>
  </si>
  <si>
    <t>CUST1099</t>
  </si>
  <si>
    <t>ORD50136</t>
  </si>
  <si>
    <t>CUST1003</t>
  </si>
  <si>
    <t>ORD50137</t>
  </si>
  <si>
    <t>ORD50138</t>
  </si>
  <si>
    <t>CUST1123</t>
  </si>
  <si>
    <t>ORD50139</t>
  </si>
  <si>
    <t>CUST1136</t>
  </si>
  <si>
    <t>ORD50140</t>
  </si>
  <si>
    <t>CUST1230</t>
  </si>
  <si>
    <t>ORD50141</t>
  </si>
  <si>
    <t>CUST1235</t>
  </si>
  <si>
    <t>ORD50142</t>
  </si>
  <si>
    <t>ORD50143</t>
  </si>
  <si>
    <t>CUST1066</t>
  </si>
  <si>
    <t>ORD50144</t>
  </si>
  <si>
    <t>CUST1029</t>
  </si>
  <si>
    <t>ORD50145</t>
  </si>
  <si>
    <t>CUST1233</t>
  </si>
  <si>
    <t>ORD50146</t>
  </si>
  <si>
    <t>ORD50147</t>
  </si>
  <si>
    <t>CUST1065</t>
  </si>
  <si>
    <t>ORD50148</t>
  </si>
  <si>
    <t>CUST1118</t>
  </si>
  <si>
    <t>ORD50149</t>
  </si>
  <si>
    <t>ORD50150</t>
  </si>
  <si>
    <t>ORD50151</t>
  </si>
  <si>
    <t>ORD50152</t>
  </si>
  <si>
    <t>CUST1216</t>
  </si>
  <si>
    <t>ORD50153</t>
  </si>
  <si>
    <t>ORD50154</t>
  </si>
  <si>
    <t>CUST1144</t>
  </si>
  <si>
    <t>ORD50155</t>
  </si>
  <si>
    <t>ORD50156</t>
  </si>
  <si>
    <t>ORD50157</t>
  </si>
  <si>
    <t>ORD50158</t>
  </si>
  <si>
    <t>CUST1196</t>
  </si>
  <si>
    <t>ORD50159</t>
  </si>
  <si>
    <t>ORD50160</t>
  </si>
  <si>
    <t>CUST1182</t>
  </si>
  <si>
    <t>ORD50161</t>
  </si>
  <si>
    <t>CUST1171</t>
  </si>
  <si>
    <t>ORD50162</t>
  </si>
  <si>
    <t>CUST1238</t>
  </si>
  <si>
    <t>ORD50163</t>
  </si>
  <si>
    <t>CUST1176</t>
  </si>
  <si>
    <t>ORD50164</t>
  </si>
  <si>
    <t>ORD50165</t>
  </si>
  <si>
    <t>ORD50166</t>
  </si>
  <si>
    <t>ORD50167</t>
  </si>
  <si>
    <t>ORD50168</t>
  </si>
  <si>
    <t>CUST1163</t>
  </si>
  <si>
    <t>ORD50169</t>
  </si>
  <si>
    <t>ORD50170</t>
  </si>
  <si>
    <t>ORD50171</t>
  </si>
  <si>
    <t>CUST1102</t>
  </si>
  <si>
    <t>ORD50172</t>
  </si>
  <si>
    <t>CUST1165</t>
  </si>
  <si>
    <t>ORD50173</t>
  </si>
  <si>
    <t>ORD50174</t>
  </si>
  <si>
    <t>CUST1208</t>
  </si>
  <si>
    <t>ORD50175</t>
  </si>
  <si>
    <t>ORD50176</t>
  </si>
  <si>
    <t>CUST1085</t>
  </si>
  <si>
    <t>ORD50177</t>
  </si>
  <si>
    <t>ORD50178</t>
  </si>
  <si>
    <t>ORD50179</t>
  </si>
  <si>
    <t>ORD50180</t>
  </si>
  <si>
    <t>ORD50181</t>
  </si>
  <si>
    <t>ORD50182</t>
  </si>
  <si>
    <t>CUST1169</t>
  </si>
  <si>
    <t>ORD50183</t>
  </si>
  <si>
    <t>CUST1215</t>
  </si>
  <si>
    <t>ORD50184</t>
  </si>
  <si>
    <t>ORD50185</t>
  </si>
  <si>
    <t>CUST1076</t>
  </si>
  <si>
    <t>ORD50186</t>
  </si>
  <si>
    <t>CUST1243</t>
  </si>
  <si>
    <t>ORD50187</t>
  </si>
  <si>
    <t>completed</t>
  </si>
  <si>
    <t>ORD50188</t>
  </si>
  <si>
    <t>ORD50189</t>
  </si>
  <si>
    <t>CUST1045</t>
  </si>
  <si>
    <t>ORD50190</t>
  </si>
  <si>
    <t>ORD50191</t>
  </si>
  <si>
    <t>CUST1110</t>
  </si>
  <si>
    <t>ORD50192</t>
  </si>
  <si>
    <t>ORD50193</t>
  </si>
  <si>
    <t>CUST1026</t>
  </si>
  <si>
    <t>ORD50194</t>
  </si>
  <si>
    <t>CUST1180</t>
  </si>
  <si>
    <t>ORD50195</t>
  </si>
  <si>
    <t>CUST1247</t>
  </si>
  <si>
    <t>ORD50196</t>
  </si>
  <si>
    <t>ORD50197</t>
  </si>
  <si>
    <t>ORD50198</t>
  </si>
  <si>
    <t>ORD50199</t>
  </si>
  <si>
    <t>ORD50200</t>
  </si>
  <si>
    <t>ORD50201</t>
  </si>
  <si>
    <t>ORD50202</t>
  </si>
  <si>
    <t>ORD50203</t>
  </si>
  <si>
    <t>ORD50204</t>
  </si>
  <si>
    <t>ORD50205</t>
  </si>
  <si>
    <t>ORD50206</t>
  </si>
  <si>
    <t>ORD50207</t>
  </si>
  <si>
    <t>CUST1211</t>
  </si>
  <si>
    <t>ORD50208</t>
  </si>
  <si>
    <t>CUST1034</t>
  </si>
  <si>
    <t>ORD50209</t>
  </si>
  <si>
    <t>CUST1228</t>
  </si>
  <si>
    <t>ORD50210</t>
  </si>
  <si>
    <t>CUST1206</t>
  </si>
  <si>
    <t>ORD50211</t>
  </si>
  <si>
    <t>CUST1037</t>
  </si>
  <si>
    <t>ORD50212</t>
  </si>
  <si>
    <t>ORD50213</t>
  </si>
  <si>
    <t>ORD50214</t>
  </si>
  <si>
    <t>ORD50215</t>
  </si>
  <si>
    <t>ORD50216</t>
  </si>
  <si>
    <t>CUST1258</t>
  </si>
  <si>
    <t>ORD50217</t>
  </si>
  <si>
    <t>ORD50218</t>
  </si>
  <si>
    <t>ORD50219</t>
  </si>
  <si>
    <t>CUST1253</t>
  </si>
  <si>
    <t>ORD50220</t>
  </si>
  <si>
    <t>ORD50221</t>
  </si>
  <si>
    <t>CUST1010</t>
  </si>
  <si>
    <t>ORD50222</t>
  </si>
  <si>
    <t>CUST1011</t>
  </si>
  <si>
    <t>ORD50223</t>
  </si>
  <si>
    <t>ORD50224</t>
  </si>
  <si>
    <t>ORD50225</t>
  </si>
  <si>
    <t>CUST1246</t>
  </si>
  <si>
    <t>ORD50226</t>
  </si>
  <si>
    <t>CUST1043</t>
  </si>
  <si>
    <t>ORD50227</t>
  </si>
  <si>
    <t>CUST1049</t>
  </si>
  <si>
    <t>ORD50228</t>
  </si>
  <si>
    <t>ORD50229</t>
  </si>
  <si>
    <t>ORD50230</t>
  </si>
  <si>
    <t>ORD50231</t>
  </si>
  <si>
    <t>ORD50232</t>
  </si>
  <si>
    <t>CUST1097</t>
  </si>
  <si>
    <t>ORD50233</t>
  </si>
  <si>
    <t>ORD50234</t>
  </si>
  <si>
    <t>ORD50235</t>
  </si>
  <si>
    <t>CUST1198</t>
  </si>
  <si>
    <t>ORD50236</t>
  </si>
  <si>
    <t>ORD50237</t>
  </si>
  <si>
    <t>CUST1204</t>
  </si>
  <si>
    <t>ORD50238</t>
  </si>
  <si>
    <t>CUST1061</t>
  </si>
  <si>
    <t>ORD50239</t>
  </si>
  <si>
    <t>ORD50240</t>
  </si>
  <si>
    <t>CUST1095</t>
  </si>
  <si>
    <t>ORD50241</t>
  </si>
  <si>
    <t>CUST1232</t>
  </si>
  <si>
    <t>ORD50242</t>
  </si>
  <si>
    <t>ORD50243</t>
  </si>
  <si>
    <t>CUST1059</t>
  </si>
  <si>
    <t>ORD50244</t>
  </si>
  <si>
    <t>ORD50245</t>
  </si>
  <si>
    <t>ORD50246</t>
  </si>
  <si>
    <t>ORD50247</t>
  </si>
  <si>
    <t>ORD50248</t>
  </si>
  <si>
    <t>CUST1257</t>
  </si>
  <si>
    <t>ORD50249</t>
  </si>
  <si>
    <t>CUST1218</t>
  </si>
  <si>
    <t>ORD50250</t>
  </si>
  <si>
    <t>ORD50251</t>
  </si>
  <si>
    <t>CUST1050</t>
  </si>
  <si>
    <t>ORD50252</t>
  </si>
  <si>
    <t>ORD50253</t>
  </si>
  <si>
    <t>ORD50254</t>
  </si>
  <si>
    <t>CUST1056</t>
  </si>
  <si>
    <t>ORD50255</t>
  </si>
  <si>
    <t>ORD50256</t>
  </si>
  <si>
    <t>CUST1205</t>
  </si>
  <si>
    <t>ORD50257</t>
  </si>
  <si>
    <t>ORD50258</t>
  </si>
  <si>
    <t>CUST1032</t>
  </si>
  <si>
    <t>ORD50259</t>
  </si>
  <si>
    <t>CUST1138</t>
  </si>
  <si>
    <t>ORD50260</t>
  </si>
  <si>
    <t>ORD50261</t>
  </si>
  <si>
    <t>ORD50262</t>
  </si>
  <si>
    <t>CUST1212</t>
  </si>
  <si>
    <t>ORD50263</t>
  </si>
  <si>
    <t>ORD50264</t>
  </si>
  <si>
    <t>ORD50265</t>
  </si>
  <si>
    <t>ORD50266</t>
  </si>
  <si>
    <t>ORD50267</t>
  </si>
  <si>
    <t>CUST1014</t>
  </si>
  <si>
    <t>ORD50268</t>
  </si>
  <si>
    <t>CUST1107</t>
  </si>
  <si>
    <t>ORD50269</t>
  </si>
  <si>
    <t>ORD50270</t>
  </si>
  <si>
    <t>CUST1005</t>
  </si>
  <si>
    <t>ORD50271</t>
  </si>
  <si>
    <t>ORD50272</t>
  </si>
  <si>
    <t>ORD50273</t>
  </si>
  <si>
    <t>CUST1151</t>
  </si>
  <si>
    <t>ORD50274</t>
  </si>
  <si>
    <t>ORD50275</t>
  </si>
  <si>
    <t>ORD50276</t>
  </si>
  <si>
    <t>CUST1054</t>
  </si>
  <si>
    <t>ORD50277</t>
  </si>
  <si>
    <t>ORD50278</t>
  </si>
  <si>
    <t>CUST1161</t>
  </si>
  <si>
    <t>ORD50279</t>
  </si>
  <si>
    <t>CUST1023</t>
  </si>
  <si>
    <t>ORD50280</t>
  </si>
  <si>
    <t>ORD50281</t>
  </si>
  <si>
    <t>ORD50282</t>
  </si>
  <si>
    <t>CUST1145</t>
  </si>
  <si>
    <t>ORD50283</t>
  </si>
  <si>
    <t>CUST1025</t>
  </si>
  <si>
    <t>ORD50284</t>
  </si>
  <si>
    <t>CUST1028</t>
  </si>
  <si>
    <t>ORD50285</t>
  </si>
  <si>
    <t>CUST1108</t>
  </si>
  <si>
    <t>ORD50286</t>
  </si>
  <si>
    <t>CUST1210</t>
  </si>
  <si>
    <t>ORD50287</t>
  </si>
  <si>
    <t>CUST1259</t>
  </si>
  <si>
    <t>ORD50288</t>
  </si>
  <si>
    <t>CUST1174</t>
  </si>
  <si>
    <t>ORD50289</t>
  </si>
  <si>
    <t>CUST1236</t>
  </si>
  <si>
    <t>ORD50290</t>
  </si>
  <si>
    <t>ORD50291</t>
  </si>
  <si>
    <t>ORD50292</t>
  </si>
  <si>
    <t>ORD50293</t>
  </si>
  <si>
    <t>ORD50294</t>
  </si>
  <si>
    <t>ORD50295</t>
  </si>
  <si>
    <t>ORD50296</t>
  </si>
  <si>
    <t>CUST1146</t>
  </si>
  <si>
    <t>ORD50297</t>
  </si>
  <si>
    <t>CUST1092</t>
  </si>
  <si>
    <t>ORD50298</t>
  </si>
  <si>
    <t>CUST1058</t>
  </si>
  <si>
    <t>ORD50299</t>
  </si>
  <si>
    <t>CUST1012</t>
  </si>
  <si>
    <t>ORD50300</t>
  </si>
  <si>
    <t>CUST1159</t>
  </si>
  <si>
    <t>ORD50301</t>
  </si>
  <si>
    <t>ORD50302</t>
  </si>
  <si>
    <t>CUST1244</t>
  </si>
  <si>
    <t>ORD50303</t>
  </si>
  <si>
    <t>CUST1020</t>
  </si>
  <si>
    <t>ORD50304</t>
  </si>
  <si>
    <t>ORD50305</t>
  </si>
  <si>
    <t>ORD50306</t>
  </si>
  <si>
    <t>CUST1033</t>
  </si>
  <si>
    <t>ORD50307</t>
  </si>
  <si>
    <t>ORD50308</t>
  </si>
  <si>
    <t>ORD50309</t>
  </si>
  <si>
    <t>ORD50310</t>
  </si>
  <si>
    <t>online</t>
  </si>
  <si>
    <t>ORD50311</t>
  </si>
  <si>
    <t>ORD50312</t>
  </si>
  <si>
    <t>ORD50313</t>
  </si>
  <si>
    <t>ORD50314</t>
  </si>
  <si>
    <t>CUST1255</t>
  </si>
  <si>
    <t>ORD50315</t>
  </si>
  <si>
    <t>CUST1242</t>
  </si>
  <si>
    <t>ORD50316</t>
  </si>
  <si>
    <t>ORD50317</t>
  </si>
  <si>
    <t>ORD50318</t>
  </si>
  <si>
    <t>ORD50319</t>
  </si>
  <si>
    <t>ORD50320</t>
  </si>
  <si>
    <t>ORD50321</t>
  </si>
  <si>
    <t>ORD50322</t>
  </si>
  <si>
    <t>CUST1170</t>
  </si>
  <si>
    <t>ORD50323</t>
  </si>
  <si>
    <t>ORD50324</t>
  </si>
  <si>
    <t>ORD50325</t>
  </si>
  <si>
    <t>ORD50326</t>
  </si>
  <si>
    <t>CUST1158</t>
  </si>
  <si>
    <t>ORD50327</t>
  </si>
  <si>
    <t>ORD50328</t>
  </si>
  <si>
    <t>ORD50329</t>
  </si>
  <si>
    <t>ORD50330</t>
  </si>
  <si>
    <t>ORD50331</t>
  </si>
  <si>
    <t>ORD50332</t>
  </si>
  <si>
    <t>ORD50333</t>
  </si>
  <si>
    <t>ORD50334</t>
  </si>
  <si>
    <t>ORD50335</t>
  </si>
  <si>
    <t>ORD50336</t>
  </si>
  <si>
    <t>CUST1130</t>
  </si>
  <si>
    <t>ORD50337</t>
  </si>
  <si>
    <t>CUST1213</t>
  </si>
  <si>
    <t>ORD50338</t>
  </si>
  <si>
    <t>CUST1088</t>
  </si>
  <si>
    <t>ORD50339</t>
  </si>
  <si>
    <t>ORD50340</t>
  </si>
  <si>
    <t>ORD50341</t>
  </si>
  <si>
    <t>CUST1227</t>
  </si>
  <si>
    <t>ORD50342</t>
  </si>
  <si>
    <t>ORD50343</t>
  </si>
  <si>
    <t>ORD50344</t>
  </si>
  <si>
    <t>ORD50345</t>
  </si>
  <si>
    <t>ORD50346</t>
  </si>
  <si>
    <t>ORD50347</t>
  </si>
  <si>
    <t>ORD50348</t>
  </si>
  <si>
    <t>ORD50349</t>
  </si>
  <si>
    <t>CUST1147</t>
  </si>
  <si>
    <t>ORD50350</t>
  </si>
  <si>
    <t>ORD50351</t>
  </si>
  <si>
    <t>CUST1057</t>
  </si>
  <si>
    <t>ORD50352</t>
  </si>
  <si>
    <t>ORD50353</t>
  </si>
  <si>
    <t>ORD50354</t>
  </si>
  <si>
    <t>ORD50355</t>
  </si>
  <si>
    <t>CUST1127</t>
  </si>
  <si>
    <t>ORD50356</t>
  </si>
  <si>
    <t>ORD50357</t>
  </si>
  <si>
    <t>CUST1046</t>
  </si>
  <si>
    <t>ORD50358</t>
  </si>
  <si>
    <t>ORD50359</t>
  </si>
  <si>
    <t>ORD50360</t>
  </si>
  <si>
    <t>ORD50361</t>
  </si>
  <si>
    <t>ORD50362</t>
  </si>
  <si>
    <t>CUST1231</t>
  </si>
  <si>
    <t>ORD50363</t>
  </si>
  <si>
    <t>ORD50364</t>
  </si>
  <si>
    <t>ORD50365</t>
  </si>
  <si>
    <t>ORD50366</t>
  </si>
  <si>
    <t>ORD50367</t>
  </si>
  <si>
    <t>CUST1062</t>
  </si>
  <si>
    <t>ORD50368</t>
  </si>
  <si>
    <t>ORD50369</t>
  </si>
  <si>
    <t>ORD50370</t>
  </si>
  <si>
    <t>ORD50371</t>
  </si>
  <si>
    <t>ORD50372</t>
  </si>
  <si>
    <t>ORD50373</t>
  </si>
  <si>
    <t>ORD50374</t>
  </si>
  <si>
    <t>ORD50375</t>
  </si>
  <si>
    <t>CUST1084</t>
  </si>
  <si>
    <t>ORD50376</t>
  </si>
  <si>
    <t>ORD50377</t>
  </si>
  <si>
    <t>CUST1013</t>
  </si>
  <si>
    <t>ORD50378</t>
  </si>
  <si>
    <t>ORD50379</t>
  </si>
  <si>
    <t>ORD50380</t>
  </si>
  <si>
    <t>ORD50381</t>
  </si>
  <si>
    <t>ORD50382</t>
  </si>
  <si>
    <t>ORD50383</t>
  </si>
  <si>
    <t>ORD50384</t>
  </si>
  <si>
    <t>CUST1252</t>
  </si>
  <si>
    <t>ORD50385</t>
  </si>
  <si>
    <t>CUST1214</t>
  </si>
  <si>
    <t>ORD50386</t>
  </si>
  <si>
    <t>CUST1156</t>
  </si>
  <si>
    <t>ORD50387</t>
  </si>
  <si>
    <t>ORD50388</t>
  </si>
  <si>
    <t>ORD50389</t>
  </si>
  <si>
    <t>ORD50390</t>
  </si>
  <si>
    <t>ORD50391</t>
  </si>
  <si>
    <t>ORD50392</t>
  </si>
  <si>
    <t>ORD50393</t>
  </si>
  <si>
    <t>CUST1142</t>
  </si>
  <si>
    <t>ORD50394</t>
  </si>
  <si>
    <t>ORD50395</t>
  </si>
  <si>
    <t>CUST1135</t>
  </si>
  <si>
    <t>ORD50396</t>
  </si>
  <si>
    <t>ORD50397</t>
  </si>
  <si>
    <t>ORD50398</t>
  </si>
  <si>
    <t>ORD50399</t>
  </si>
  <si>
    <t>ORD50400</t>
  </si>
  <si>
    <t>ORD50401</t>
  </si>
  <si>
    <t>ORD50402</t>
  </si>
  <si>
    <t>ORD50403</t>
  </si>
  <si>
    <t>ORD50404</t>
  </si>
  <si>
    <t>ORD50405</t>
  </si>
  <si>
    <t>ORD50406</t>
  </si>
  <si>
    <t>ORD50407</t>
  </si>
  <si>
    <t>ORD50408</t>
  </si>
  <si>
    <t>ORD50409</t>
  </si>
  <si>
    <t>ORD50410</t>
  </si>
  <si>
    <t>ORD50411</t>
  </si>
  <si>
    <t>CUST1019</t>
  </si>
  <si>
    <t>ORD50412</t>
  </si>
  <si>
    <t>ORD50413</t>
  </si>
  <si>
    <t>ORD50414</t>
  </si>
  <si>
    <t>ORD50415</t>
  </si>
  <si>
    <t>ORD50416</t>
  </si>
  <si>
    <t>ORD50417</t>
  </si>
  <si>
    <t>ORD50418</t>
  </si>
  <si>
    <t>CUST1008</t>
  </si>
  <si>
    <t>ORD50419</t>
  </si>
  <si>
    <t>ORD50420</t>
  </si>
  <si>
    <t>ORD50421</t>
  </si>
  <si>
    <t>ORD50422</t>
  </si>
  <si>
    <t>ORD50423</t>
  </si>
  <si>
    <t>ORD50424</t>
  </si>
  <si>
    <t>ORD50425</t>
  </si>
  <si>
    <t>ORD50426</t>
  </si>
  <si>
    <t>ORD50427</t>
  </si>
  <si>
    <t>ORD50428</t>
  </si>
  <si>
    <t>ORD50429</t>
  </si>
  <si>
    <t>ORD50430</t>
  </si>
  <si>
    <t>ORD50431</t>
  </si>
  <si>
    <t>ORD50432</t>
  </si>
  <si>
    <t>CUST1073</t>
  </si>
  <si>
    <t>ORD50433</t>
  </si>
  <si>
    <t>ORD50434</t>
  </si>
  <si>
    <t>ORD50435</t>
  </si>
  <si>
    <t>ORD50436</t>
  </si>
  <si>
    <t>ORD50437</t>
  </si>
  <si>
    <t>ORD50438</t>
  </si>
  <si>
    <t>ORD50439</t>
  </si>
  <si>
    <t>CUST1098</t>
  </si>
  <si>
    <t>ORD50440</t>
  </si>
  <si>
    <t>ORD50441</t>
  </si>
  <si>
    <t>ORD50442</t>
  </si>
  <si>
    <t>ORD50443</t>
  </si>
  <si>
    <t>ORD50444</t>
  </si>
  <si>
    <t>ORD50445</t>
  </si>
  <si>
    <t>ORD50446</t>
  </si>
  <si>
    <t>ORD50447</t>
  </si>
  <si>
    <t>ORD50448</t>
  </si>
  <si>
    <t>west</t>
  </si>
  <si>
    <t>ORD50449</t>
  </si>
  <si>
    <t>ORD50450</t>
  </si>
  <si>
    <t>ORD50451</t>
  </si>
  <si>
    <t>ORD50452</t>
  </si>
  <si>
    <t>ORD50453</t>
  </si>
  <si>
    <t>ORD50454</t>
  </si>
  <si>
    <t>ORD50455</t>
  </si>
  <si>
    <t>ORD50456</t>
  </si>
  <si>
    <t>ORD50457</t>
  </si>
  <si>
    <t>ORD50458</t>
  </si>
  <si>
    <t>ORD50459</t>
  </si>
  <si>
    <t>ORD50460</t>
  </si>
  <si>
    <t>ORD50461</t>
  </si>
  <si>
    <t>ORD50462</t>
  </si>
  <si>
    <t>ORD50463</t>
  </si>
  <si>
    <t>ORD50464</t>
  </si>
  <si>
    <t>ORD50465</t>
  </si>
  <si>
    <t>ORD50466</t>
  </si>
  <si>
    <t>ORD50467</t>
  </si>
  <si>
    <t>CUST1017</t>
  </si>
  <si>
    <t>ORD50468</t>
  </si>
  <si>
    <t>ORD50469</t>
  </si>
  <si>
    <t>ORD50470</t>
  </si>
  <si>
    <t>ORD50471</t>
  </si>
  <si>
    <t>ORD50472</t>
  </si>
  <si>
    <t>ORD50473</t>
  </si>
  <si>
    <t>ORD50474</t>
  </si>
  <si>
    <t>ORD50475</t>
  </si>
  <si>
    <t>ORD50476</t>
  </si>
  <si>
    <t>ORD50477</t>
  </si>
  <si>
    <t>CUST1022</t>
  </si>
  <si>
    <t>ORD50478</t>
  </si>
  <si>
    <t>ORD50479</t>
  </si>
  <si>
    <t>ORD50480</t>
  </si>
  <si>
    <t>ORD50481</t>
  </si>
  <si>
    <t>CUST1087</t>
  </si>
  <si>
    <t>ORD50482</t>
  </si>
  <si>
    <t>ORD50483</t>
  </si>
  <si>
    <t>ORD50484</t>
  </si>
  <si>
    <t>ORD50485</t>
  </si>
  <si>
    <t>ORD50486</t>
  </si>
  <si>
    <t>ORD50487</t>
  </si>
  <si>
    <t>ORD50488</t>
  </si>
  <si>
    <t>ORD50489</t>
  </si>
  <si>
    <t>ORD50490</t>
  </si>
  <si>
    <t>ORD50491</t>
  </si>
  <si>
    <t>CUST1225</t>
  </si>
  <si>
    <t>ORD50492</t>
  </si>
  <si>
    <t>ORD50493</t>
  </si>
  <si>
    <t>ORD50494</t>
  </si>
  <si>
    <t>ORD50495</t>
  </si>
  <si>
    <t>CUST1154</t>
  </si>
  <si>
    <t>ORD50496</t>
  </si>
  <si>
    <t>CUST1141</t>
  </si>
  <si>
    <t>ORD50497</t>
  </si>
  <si>
    <t>ORD50498</t>
  </si>
  <si>
    <t>ORD50499</t>
  </si>
  <si>
    <t>ORD50500</t>
  </si>
  <si>
    <t>ORD50501</t>
  </si>
  <si>
    <t>ORD50502</t>
  </si>
  <si>
    <t>CUST1002</t>
  </si>
  <si>
    <t>ORD50503</t>
  </si>
  <si>
    <t>ORD50504</t>
  </si>
  <si>
    <t>ORD50505</t>
  </si>
  <si>
    <t>ORD50506</t>
  </si>
  <si>
    <t>ORD50507</t>
  </si>
  <si>
    <t>ORD50508</t>
  </si>
  <si>
    <t>ORD50509</t>
  </si>
  <si>
    <t>ORD50510</t>
  </si>
  <si>
    <t>ORD50511</t>
  </si>
  <si>
    <t>ORD50512</t>
  </si>
  <si>
    <t>CUST1053</t>
  </si>
  <si>
    <t>ORD50513</t>
  </si>
  <si>
    <t>ORD50514</t>
  </si>
  <si>
    <t>ORD50515</t>
  </si>
  <si>
    <t>ORD50516</t>
  </si>
  <si>
    <t>ORD50517</t>
  </si>
  <si>
    <t>ORD50518</t>
  </si>
  <si>
    <t>ORD50519</t>
  </si>
  <si>
    <t>CUST1115</t>
  </si>
  <si>
    <t>ORD50520</t>
  </si>
  <si>
    <t>ORD50521</t>
  </si>
  <si>
    <t>CUST1240</t>
  </si>
  <si>
    <t>ORD50522</t>
  </si>
  <si>
    <t>ORD50523</t>
  </si>
  <si>
    <t>ORD50524</t>
  </si>
  <si>
    <t>ORD50525</t>
  </si>
  <si>
    <t>ORD50526</t>
  </si>
  <si>
    <t>CUST1114</t>
  </si>
  <si>
    <t>ORD50527</t>
  </si>
  <si>
    <t>ORD50528</t>
  </si>
  <si>
    <t>CUST1112</t>
  </si>
  <si>
    <t>ORD50529</t>
  </si>
  <si>
    <t>ORD50530</t>
  </si>
  <si>
    <t>ORD50531</t>
  </si>
  <si>
    <t>ORD50532</t>
  </si>
  <si>
    <t>ORD50533</t>
  </si>
  <si>
    <t>ORD50534</t>
  </si>
  <si>
    <t>CUST1126</t>
  </si>
  <si>
    <t>ORD50535</t>
  </si>
  <si>
    <t>ORD50536</t>
  </si>
  <si>
    <t>ORD50537</t>
  </si>
  <si>
    <t>ORD50538</t>
  </si>
  <si>
    <t>ORD50539</t>
  </si>
  <si>
    <t>ORD50540</t>
  </si>
  <si>
    <t>ORD50541</t>
  </si>
  <si>
    <t>ORD50542</t>
  </si>
  <si>
    <t>ORD50543</t>
  </si>
  <si>
    <t>ORD50544</t>
  </si>
  <si>
    <t>ORD50545</t>
  </si>
  <si>
    <t>ORD50546</t>
  </si>
  <si>
    <t>ORD50547</t>
  </si>
  <si>
    <t>ORD50548</t>
  </si>
  <si>
    <t>ORD50549</t>
  </si>
  <si>
    <t>CUST1254</t>
  </si>
  <si>
    <t>ORD50550</t>
  </si>
  <si>
    <t>ORD50551</t>
  </si>
  <si>
    <t>ORD50552</t>
  </si>
  <si>
    <t>ORD50553</t>
  </si>
  <si>
    <t>ORD50554</t>
  </si>
  <si>
    <t>ORD50555</t>
  </si>
  <si>
    <t>ORD50556</t>
  </si>
  <si>
    <t>CUST1104</t>
  </si>
  <si>
    <t>ORD50557</t>
  </si>
  <si>
    <t>ORD50558</t>
  </si>
  <si>
    <t>ORD50559</t>
  </si>
  <si>
    <t>ORD50560</t>
  </si>
  <si>
    <t>ORD50561</t>
  </si>
  <si>
    <t>ORD50562</t>
  </si>
  <si>
    <t>ORD50563</t>
  </si>
  <si>
    <t>ORD50564</t>
  </si>
  <si>
    <t>ORD50565</t>
  </si>
  <si>
    <t>ORD50566</t>
  </si>
  <si>
    <t>ORD50567</t>
  </si>
  <si>
    <t>ORD50568</t>
  </si>
  <si>
    <t>ORD50569</t>
  </si>
  <si>
    <t>ORD50570</t>
  </si>
  <si>
    <t>ORD50571</t>
  </si>
  <si>
    <t>ORD50572</t>
  </si>
  <si>
    <t>ORD50573</t>
  </si>
  <si>
    <t>ORD50574</t>
  </si>
  <si>
    <t>ORD50575</t>
  </si>
  <si>
    <t>ORD50576</t>
  </si>
  <si>
    <t>ORD50577</t>
  </si>
  <si>
    <t>ORD50578</t>
  </si>
  <si>
    <t>ORD50579</t>
  </si>
  <si>
    <t>ORD50580</t>
  </si>
  <si>
    <t>ORD50581</t>
  </si>
  <si>
    <t>ORD50582</t>
  </si>
  <si>
    <t>ORD50583</t>
  </si>
  <si>
    <t>ORD50584</t>
  </si>
  <si>
    <t>ORD50585</t>
  </si>
  <si>
    <t>ORD50586</t>
  </si>
  <si>
    <t>ORD50587</t>
  </si>
  <si>
    <t>ORD50588</t>
  </si>
  <si>
    <t>ORD50589</t>
  </si>
  <si>
    <t>ORD50590</t>
  </si>
  <si>
    <t>ORD50591</t>
  </si>
  <si>
    <t>ORD50592</t>
  </si>
  <si>
    <t>ORD50593</t>
  </si>
  <si>
    <t>ORD50594</t>
  </si>
  <si>
    <t>ORD50595</t>
  </si>
  <si>
    <t>ORD50596</t>
  </si>
  <si>
    <t>ORD50597</t>
  </si>
  <si>
    <t>ORD50598</t>
  </si>
  <si>
    <t>ORD50599</t>
  </si>
  <si>
    <t>ORD50600</t>
  </si>
  <si>
    <t>ORD50601</t>
  </si>
  <si>
    <t>ORD50602</t>
  </si>
  <si>
    <t>ORD50603</t>
  </si>
  <si>
    <t>ORD50604</t>
  </si>
  <si>
    <t>ORD50605</t>
  </si>
  <si>
    <t>ORD50606</t>
  </si>
  <si>
    <t>ORD50607</t>
  </si>
  <si>
    <t>ORD50608</t>
  </si>
  <si>
    <t>ORD50609</t>
  </si>
  <si>
    <t>ORD50610</t>
  </si>
  <si>
    <t>ORD50611</t>
  </si>
  <si>
    <t>CUST1042</t>
  </si>
  <si>
    <t>ORD50612</t>
  </si>
  <si>
    <t>ORD50613</t>
  </si>
  <si>
    <t>ORD50614</t>
  </si>
  <si>
    <t>ORD50615</t>
  </si>
  <si>
    <t>ORD50616</t>
  </si>
  <si>
    <t>ORD50617</t>
  </si>
  <si>
    <t>ORD50618</t>
  </si>
  <si>
    <t>ORD50619</t>
  </si>
  <si>
    <t>ORD50620</t>
  </si>
  <si>
    <t>ORD50621</t>
  </si>
  <si>
    <t>CUST1167</t>
  </si>
  <si>
    <t>ORD50622</t>
  </si>
  <si>
    <t>ORD50623</t>
  </si>
  <si>
    <t>CUST1068</t>
  </si>
  <si>
    <t>ORD50624</t>
  </si>
  <si>
    <t>ORD50625</t>
  </si>
  <si>
    <t>ORD50626</t>
  </si>
  <si>
    <t>ORD50627</t>
  </si>
  <si>
    <t>ORD50628</t>
  </si>
  <si>
    <t>ORD50629</t>
  </si>
  <si>
    <t>ORD50630</t>
  </si>
  <si>
    <t>CUST1150</t>
  </si>
  <si>
    <t>ORD50631</t>
  </si>
  <si>
    <t>ORD50632</t>
  </si>
  <si>
    <t>ORD50633</t>
  </si>
  <si>
    <t>ORD50634</t>
  </si>
  <si>
    <t>ORD50635</t>
  </si>
  <si>
    <t>CUST1101</t>
  </si>
  <si>
    <t>ORD50636</t>
  </si>
  <si>
    <t>ORD50637</t>
  </si>
  <si>
    <t>ORD50638</t>
  </si>
  <si>
    <t>ORD50639</t>
  </si>
  <si>
    <t>ORD50640</t>
  </si>
  <si>
    <t>ORD50641</t>
  </si>
  <si>
    <t>ORD50642</t>
  </si>
  <si>
    <t>ORD50643</t>
  </si>
  <si>
    <t>ORD50644</t>
  </si>
  <si>
    <t>ORD50645</t>
  </si>
  <si>
    <t>ORD50646</t>
  </si>
  <si>
    <t>ORD50647</t>
  </si>
  <si>
    <t>ORD50648</t>
  </si>
  <si>
    <t>ORD50649</t>
  </si>
  <si>
    <t>ORD50650</t>
  </si>
  <si>
    <t>ORD50651</t>
  </si>
  <si>
    <t>ORD50652</t>
  </si>
  <si>
    <t>ORD50653</t>
  </si>
  <si>
    <t>ORD50654</t>
  </si>
  <si>
    <t>ORD50655</t>
  </si>
  <si>
    <t>ORD50656</t>
  </si>
  <si>
    <t>ORD50657</t>
  </si>
  <si>
    <t>ORD50658</t>
  </si>
  <si>
    <t>ORD50659</t>
  </si>
  <si>
    <t>CUST1183</t>
  </si>
  <si>
    <t>ORD50660</t>
  </si>
  <si>
    <t>ORD50661</t>
  </si>
  <si>
    <t>ORD50662</t>
  </si>
  <si>
    <t>ORD50663</t>
  </si>
  <si>
    <t>ORD50664</t>
  </si>
  <si>
    <t>ORD50665</t>
  </si>
  <si>
    <t>ORD50666</t>
  </si>
  <si>
    <t>ORD50667</t>
  </si>
  <si>
    <t>CUST1245</t>
  </si>
  <si>
    <t>ORD50668</t>
  </si>
  <si>
    <t>ORD50669</t>
  </si>
  <si>
    <t>ORD50670</t>
  </si>
  <si>
    <t>ORD50671</t>
  </si>
  <si>
    <t>ORD50672</t>
  </si>
  <si>
    <t>ORD50673</t>
  </si>
  <si>
    <t>ORD50674</t>
  </si>
  <si>
    <t>ORD50675</t>
  </si>
  <si>
    <t>ORD50676</t>
  </si>
  <si>
    <t>ORD50677</t>
  </si>
  <si>
    <t>CUST1047</t>
  </si>
  <si>
    <t>ORD50678</t>
  </si>
  <si>
    <t>ORD50679</t>
  </si>
  <si>
    <t>ORD50680</t>
  </si>
  <si>
    <t>ORD50681</t>
  </si>
  <si>
    <t>CUST1160</t>
  </si>
  <si>
    <t>ORD50682</t>
  </si>
  <si>
    <t>ORD50683</t>
  </si>
  <si>
    <t>ORD50684</t>
  </si>
  <si>
    <t>ORD50685</t>
  </si>
  <si>
    <t>ORD50686</t>
  </si>
  <si>
    <t>ORD50687</t>
  </si>
  <si>
    <t>ORD50688</t>
  </si>
  <si>
    <t>ORD50689</t>
  </si>
  <si>
    <t>ORD50690</t>
  </si>
  <si>
    <t>ORD50691</t>
  </si>
  <si>
    <t>ORD50692</t>
  </si>
  <si>
    <t>ORD50693</t>
  </si>
  <si>
    <t>ORD50694</t>
  </si>
  <si>
    <t>ORD50695</t>
  </si>
  <si>
    <t>ORD50696</t>
  </si>
  <si>
    <t>ORD50697</t>
  </si>
  <si>
    <t>ORD50698</t>
  </si>
  <si>
    <t>ORD50699</t>
  </si>
  <si>
    <t>ORD50700</t>
  </si>
  <si>
    <t>ORD50701</t>
  </si>
  <si>
    <t>ORD50702</t>
  </si>
  <si>
    <t>ORD50703</t>
  </si>
  <si>
    <t>ORD50704</t>
  </si>
  <si>
    <t>ORD50705</t>
  </si>
  <si>
    <t>ORD50706</t>
  </si>
  <si>
    <t>ORD50707</t>
  </si>
  <si>
    <t>ORD50708</t>
  </si>
  <si>
    <t>ORD50709</t>
  </si>
  <si>
    <t>ORD50710</t>
  </si>
  <si>
    <t>ORD50711</t>
  </si>
  <si>
    <t>ORD50712</t>
  </si>
  <si>
    <t>ORD50713</t>
  </si>
  <si>
    <t>ORD50714</t>
  </si>
  <si>
    <t>ORD50715</t>
  </si>
  <si>
    <t>ORD50716</t>
  </si>
  <si>
    <t>ORD50717</t>
  </si>
  <si>
    <t>ORD50718</t>
  </si>
  <si>
    <t>ORD50719</t>
  </si>
  <si>
    <t>ORD50720</t>
  </si>
  <si>
    <t>ORD50721</t>
  </si>
  <si>
    <t>ORD50722</t>
  </si>
  <si>
    <t>ORD50723</t>
  </si>
  <si>
    <t>ORD50724</t>
  </si>
  <si>
    <t>ORD50725</t>
  </si>
  <si>
    <t>CUST1044</t>
  </si>
  <si>
    <t>ORD50726</t>
  </si>
  <si>
    <t>ORD50727</t>
  </si>
  <si>
    <t>ORD50728</t>
  </si>
  <si>
    <t>ORD50729</t>
  </si>
  <si>
    <t>CUST1237</t>
  </si>
  <si>
    <t>ORD50730</t>
  </si>
  <si>
    <t>ORD50731</t>
  </si>
  <si>
    <t>ORD50732</t>
  </si>
  <si>
    <t>ORD50733</t>
  </si>
  <si>
    <t>ORD50734</t>
  </si>
  <si>
    <t>CUST1192</t>
  </si>
  <si>
    <t>ORD50735</t>
  </si>
  <si>
    <t>ORD50736</t>
  </si>
  <si>
    <t>ORD50737</t>
  </si>
  <si>
    <t>ORD50738</t>
  </si>
  <si>
    <t>ORD50739</t>
  </si>
  <si>
    <t>ORD50740</t>
  </si>
  <si>
    <t>ORD50741</t>
  </si>
  <si>
    <t>CUST1133</t>
  </si>
  <si>
    <t>ORD50742</t>
  </si>
  <si>
    <t>ORD50743</t>
  </si>
  <si>
    <t>ORD50744</t>
  </si>
  <si>
    <t>ORD50745</t>
  </si>
  <si>
    <t>ORD50746</t>
  </si>
  <si>
    <t>ORD50747</t>
  </si>
  <si>
    <t>ORD50748</t>
  </si>
  <si>
    <t>ORD50749</t>
  </si>
  <si>
    <t>ORD50750</t>
  </si>
  <si>
    <t>ORD50751</t>
  </si>
  <si>
    <t>ORD50752</t>
  </si>
  <si>
    <t>ORD50753</t>
  </si>
  <si>
    <t>ORD50754</t>
  </si>
  <si>
    <t>ORD50755</t>
  </si>
  <si>
    <t>ORD50756</t>
  </si>
  <si>
    <t>ORD50757</t>
  </si>
  <si>
    <t>ORD50758</t>
  </si>
  <si>
    <t>ORD50759</t>
  </si>
  <si>
    <t>CUST1075</t>
  </si>
  <si>
    <t>ORD50760</t>
  </si>
  <si>
    <t>ORD50761</t>
  </si>
  <si>
    <t>ORD50762</t>
  </si>
  <si>
    <t>ORD50763</t>
  </si>
  <si>
    <t>ORD50764</t>
  </si>
  <si>
    <t>ORD50765</t>
  </si>
  <si>
    <t>ORD50766</t>
  </si>
  <si>
    <t>ORD50767</t>
  </si>
  <si>
    <t>ORD50768</t>
  </si>
  <si>
    <t>ORD50769</t>
  </si>
  <si>
    <t>ORD50770</t>
  </si>
  <si>
    <t>ORD50771</t>
  </si>
  <si>
    <t>ORD50772</t>
  </si>
  <si>
    <t>ORD50773</t>
  </si>
  <si>
    <t>ORD50774</t>
  </si>
  <si>
    <t>ORD50775</t>
  </si>
  <si>
    <t>ORD50776</t>
  </si>
  <si>
    <t>ORD50777</t>
  </si>
  <si>
    <t>ORD50778</t>
  </si>
  <si>
    <t>ORD50779</t>
  </si>
  <si>
    <t>CUST1015</t>
  </si>
  <si>
    <t>ORD50780</t>
  </si>
  <si>
    <t>ORD50781</t>
  </si>
  <si>
    <t>ORD50782</t>
  </si>
  <si>
    <t>ORD50783</t>
  </si>
  <si>
    <t>ORD50784</t>
  </si>
  <si>
    <t>ORD50785</t>
  </si>
  <si>
    <t>ORD50786</t>
  </si>
  <si>
    <t>ORD50787</t>
  </si>
  <si>
    <t>ORD50788</t>
  </si>
  <si>
    <t>ORD50789</t>
  </si>
  <si>
    <t>ORD50790</t>
  </si>
  <si>
    <t>ORD50791</t>
  </si>
  <si>
    <t>ORD50792</t>
  </si>
  <si>
    <t>ORD50793</t>
  </si>
  <si>
    <t>ORD50794</t>
  </si>
  <si>
    <t>ORD50795</t>
  </si>
  <si>
    <t>ORD50796</t>
  </si>
  <si>
    <t>ORD50797</t>
  </si>
  <si>
    <t>ORD50798</t>
  </si>
  <si>
    <t>ORD50799</t>
  </si>
  <si>
    <t>ORD50800</t>
  </si>
  <si>
    <t>ORD50801</t>
  </si>
  <si>
    <t>ORD50802</t>
  </si>
  <si>
    <t>ORD50803</t>
  </si>
  <si>
    <t>ORD50804</t>
  </si>
  <si>
    <t>ORD50805</t>
  </si>
  <si>
    <t>ORD50806</t>
  </si>
  <si>
    <t>ORD50807</t>
  </si>
  <si>
    <t>ORD50808</t>
  </si>
  <si>
    <t>ORD50809</t>
  </si>
  <si>
    <t>ORD50810</t>
  </si>
  <si>
    <t>ORD50811</t>
  </si>
  <si>
    <t>ORD50812</t>
  </si>
  <si>
    <t>ORD50813</t>
  </si>
  <si>
    <t>ORD50814</t>
  </si>
  <si>
    <t>ORD50815</t>
  </si>
  <si>
    <t>ORD50816</t>
  </si>
  <si>
    <t>ORD50817</t>
  </si>
  <si>
    <t>CUST1260</t>
  </si>
  <si>
    <t>ORD50818</t>
  </si>
  <si>
    <t>ORD50819</t>
  </si>
  <si>
    <t>ORD50820</t>
  </si>
  <si>
    <t>ORD50821</t>
  </si>
  <si>
    <t>ORD50822</t>
  </si>
  <si>
    <t>ORD50823</t>
  </si>
  <si>
    <t>ORD50824</t>
  </si>
  <si>
    <t>ORD50825</t>
  </si>
  <si>
    <t>ORD50826</t>
  </si>
  <si>
    <t>ORD50827</t>
  </si>
  <si>
    <t>ORD50828</t>
  </si>
  <si>
    <t>ORD50829</t>
  </si>
  <si>
    <t>ORD50830</t>
  </si>
  <si>
    <t>ORD50831</t>
  </si>
  <si>
    <t>ORD50832</t>
  </si>
  <si>
    <t>ORD50833</t>
  </si>
  <si>
    <t>ORD50834</t>
  </si>
  <si>
    <t>ORD50835</t>
  </si>
  <si>
    <t>ORD50836</t>
  </si>
  <si>
    <t>ORD50837</t>
  </si>
  <si>
    <t>ORD50838</t>
  </si>
  <si>
    <t>ORD50839</t>
  </si>
  <si>
    <t>ORD50840</t>
  </si>
  <si>
    <t>ORD50841</t>
  </si>
  <si>
    <t>ORD50842</t>
  </si>
  <si>
    <t>ORD50843</t>
  </si>
  <si>
    <t>ORD50844</t>
  </si>
  <si>
    <t>ORD50845</t>
  </si>
  <si>
    <t>ORD50846</t>
  </si>
  <si>
    <t>CUST1239</t>
  </si>
  <si>
    <t>ORD50847</t>
  </si>
  <si>
    <t>ORD50848</t>
  </si>
  <si>
    <t>ORD50849</t>
  </si>
  <si>
    <t>ORD50850</t>
  </si>
  <si>
    <t>ORD50851</t>
  </si>
  <si>
    <t>ORD50852</t>
  </si>
  <si>
    <t>ORD50853</t>
  </si>
  <si>
    <t>ORD50854</t>
  </si>
  <si>
    <t>CUST1200</t>
  </si>
  <si>
    <t>ORD50855</t>
  </si>
  <si>
    <t>ORD50856</t>
  </si>
  <si>
    <t>ORD50857</t>
  </si>
  <si>
    <t>ORD50858</t>
  </si>
  <si>
    <t>ORD50859</t>
  </si>
  <si>
    <t>ORD50860</t>
  </si>
  <si>
    <t>ORD50861</t>
  </si>
  <si>
    <t>ORD50862</t>
  </si>
  <si>
    <t>ORD50863</t>
  </si>
  <si>
    <t>ORD50864</t>
  </si>
  <si>
    <t>CUST1241</t>
  </si>
  <si>
    <t>ORD50865</t>
  </si>
  <si>
    <t>ORD50866</t>
  </si>
  <si>
    <t>ORD50867</t>
  </si>
  <si>
    <t>ORD50868</t>
  </si>
  <si>
    <t>CUST1048</t>
  </si>
  <si>
    <t>ORD50869</t>
  </si>
  <si>
    <t>ORD50870</t>
  </si>
  <si>
    <t>ORD50871</t>
  </si>
  <si>
    <t>ORD50872</t>
  </si>
  <si>
    <t>ORD50873</t>
  </si>
  <si>
    <t>ORD50874</t>
  </si>
  <si>
    <t>ORD50875</t>
  </si>
  <si>
    <t>ORD50876</t>
  </si>
  <si>
    <t>ORD50877</t>
  </si>
  <si>
    <t>ORD50878</t>
  </si>
  <si>
    <t>ORD50879</t>
  </si>
  <si>
    <t>ORD50880</t>
  </si>
  <si>
    <t>ORD50881</t>
  </si>
  <si>
    <t>ORD50882</t>
  </si>
  <si>
    <t>ORD50883</t>
  </si>
  <si>
    <t>ORD50884</t>
  </si>
  <si>
    <t>ORD50885</t>
  </si>
  <si>
    <t>ORD50886</t>
  </si>
  <si>
    <t>ORD50887</t>
  </si>
  <si>
    <t>ORD50888</t>
  </si>
  <si>
    <t>ORD50889</t>
  </si>
  <si>
    <t>ORD50890</t>
  </si>
  <si>
    <t>ORD50891</t>
  </si>
  <si>
    <t>ORD50892</t>
  </si>
  <si>
    <t>ORD50893</t>
  </si>
  <si>
    <t>ORD50894</t>
  </si>
  <si>
    <t>ORD50895</t>
  </si>
  <si>
    <t>ORD50896</t>
  </si>
  <si>
    <t>ORD50897</t>
  </si>
  <si>
    <t>CUST1179</t>
  </si>
  <si>
    <t>ORD50898</t>
  </si>
  <si>
    <t>ORD50899</t>
  </si>
  <si>
    <t>ORD50900</t>
  </si>
  <si>
    <t>ORD50901</t>
  </si>
  <si>
    <t>ORD50902</t>
  </si>
  <si>
    <t>ORD50903</t>
  </si>
  <si>
    <t>ORD50904</t>
  </si>
  <si>
    <t>ORD50905</t>
  </si>
  <si>
    <t>CUST1186</t>
  </si>
  <si>
    <t>ORD50906</t>
  </si>
  <si>
    <t>ORD50907</t>
  </si>
  <si>
    <t>ORD50908</t>
  </si>
  <si>
    <t>ORD50909</t>
  </si>
  <si>
    <t>ORD50910</t>
  </si>
  <si>
    <t>ORD50911</t>
  </si>
  <si>
    <t>CUST1203</t>
  </si>
  <si>
    <t>ORD50912</t>
  </si>
  <si>
    <t>ORD50913</t>
  </si>
  <si>
    <t>ORD50914</t>
  </si>
  <si>
    <t>ORD50915</t>
  </si>
  <si>
    <t>ORD50916</t>
  </si>
  <si>
    <t>ORD50917</t>
  </si>
  <si>
    <t>ORD50918</t>
  </si>
  <si>
    <t>ORD50919</t>
  </si>
  <si>
    <t>ORD50920</t>
  </si>
  <si>
    <t>ORD50921</t>
  </si>
  <si>
    <t>ORD50922</t>
  </si>
  <si>
    <t>CUST1168</t>
  </si>
  <si>
    <t>ORD50923</t>
  </si>
  <si>
    <t>ORD50924</t>
  </si>
  <si>
    <t>ORD50925</t>
  </si>
  <si>
    <t>ORD50926</t>
  </si>
  <si>
    <t>ORD50927</t>
  </si>
  <si>
    <t>ORD50928</t>
  </si>
  <si>
    <t>ORD50929</t>
  </si>
  <si>
    <t>ORD50930</t>
  </si>
  <si>
    <t>ORD50931</t>
  </si>
  <si>
    <t>ORD50932</t>
  </si>
  <si>
    <t>ORD50933</t>
  </si>
  <si>
    <t>ORD50934</t>
  </si>
  <si>
    <t>ORD50935</t>
  </si>
  <si>
    <t>ORD50936</t>
  </si>
  <si>
    <t>ORD50937</t>
  </si>
  <si>
    <t>ORD50938</t>
  </si>
  <si>
    <t>ORD50939</t>
  </si>
  <si>
    <t>ORD50940</t>
  </si>
  <si>
    <t>ORD50941</t>
  </si>
  <si>
    <t>ORD50942</t>
  </si>
  <si>
    <t>ORD50943</t>
  </si>
  <si>
    <t>ORD50944</t>
  </si>
  <si>
    <t>ORD50945</t>
  </si>
  <si>
    <t>ORD50946</t>
  </si>
  <si>
    <t>ORD50947</t>
  </si>
  <si>
    <t>ORD50948</t>
  </si>
  <si>
    <t>ORD50949</t>
  </si>
  <si>
    <t>ORD50950</t>
  </si>
  <si>
    <t>ORD50951</t>
  </si>
  <si>
    <t>ORD50952</t>
  </si>
  <si>
    <t>ORD50953</t>
  </si>
  <si>
    <t>ORD50954</t>
  </si>
  <si>
    <t>ORD50955</t>
  </si>
  <si>
    <t>ORD50956</t>
  </si>
  <si>
    <t>ORD50957</t>
  </si>
  <si>
    <t>ORD50958</t>
  </si>
  <si>
    <t>ORD50959</t>
  </si>
  <si>
    <t>ORD50960</t>
  </si>
  <si>
    <t>ORD50961</t>
  </si>
  <si>
    <t>ORD50962</t>
  </si>
  <si>
    <t>ORD50963</t>
  </si>
  <si>
    <t>ORD50964</t>
  </si>
  <si>
    <t>ORD50965</t>
  </si>
  <si>
    <t>ORD50966</t>
  </si>
  <si>
    <t>ORD50967</t>
  </si>
  <si>
    <t>ORD50968</t>
  </si>
  <si>
    <t>ORD50969</t>
  </si>
  <si>
    <t>ORD50970</t>
  </si>
  <si>
    <t>ORD50971</t>
  </si>
  <si>
    <t>ORD50972</t>
  </si>
  <si>
    <t>ORD50973</t>
  </si>
  <si>
    <t>ORD50974</t>
  </si>
  <si>
    <t>ORD50975</t>
  </si>
  <si>
    <t>ORD50976</t>
  </si>
  <si>
    <t>ORD50977</t>
  </si>
  <si>
    <t>ORD50978</t>
  </si>
  <si>
    <t>ORD50979</t>
  </si>
  <si>
    <t>ORD50980</t>
  </si>
  <si>
    <t>ORD50981</t>
  </si>
  <si>
    <t>ORD50982</t>
  </si>
  <si>
    <t>ORD50983</t>
  </si>
  <si>
    <t>ORD50984</t>
  </si>
  <si>
    <t>ORD50985</t>
  </si>
  <si>
    <t>ORD50986</t>
  </si>
  <si>
    <t>ORD50987</t>
  </si>
  <si>
    <t>ORD50988</t>
  </si>
  <si>
    <t>ORD50989</t>
  </si>
  <si>
    <t>CUST1021</t>
  </si>
  <si>
    <t>ORD50990</t>
  </si>
  <si>
    <t>ORD50991</t>
  </si>
  <si>
    <t>ORD50992</t>
  </si>
  <si>
    <t>ORD50993</t>
  </si>
  <si>
    <t>ORD50994</t>
  </si>
  <si>
    <t>ORD50995</t>
  </si>
  <si>
    <t>ORD50996</t>
  </si>
  <si>
    <t>ORD50997</t>
  </si>
  <si>
    <t>ORD50998</t>
  </si>
  <si>
    <t>ORD50999</t>
  </si>
  <si>
    <t>ORD51000</t>
  </si>
  <si>
    <t>ORD51001</t>
  </si>
  <si>
    <t>ORD51002</t>
  </si>
  <si>
    <t>ORD51003</t>
  </si>
  <si>
    <t>ORD51004</t>
  </si>
  <si>
    <t>ORD51005</t>
  </si>
  <si>
    <t>ORD51006</t>
  </si>
  <si>
    <t>ORD51007</t>
  </si>
  <si>
    <t>ORD51008</t>
  </si>
  <si>
    <t>ORD51009</t>
  </si>
  <si>
    <t>ORD51010</t>
  </si>
  <si>
    <t>ORD51011</t>
  </si>
  <si>
    <t>ORD51012</t>
  </si>
  <si>
    <t>ORD51013</t>
  </si>
  <si>
    <t>ORD51014</t>
  </si>
  <si>
    <t>ORD51015</t>
  </si>
  <si>
    <t>ORD51016</t>
  </si>
  <si>
    <t>ORD51017</t>
  </si>
  <si>
    <t>ORD51018</t>
  </si>
  <si>
    <t>ORD51019</t>
  </si>
  <si>
    <t>ORD51020</t>
  </si>
  <si>
    <t>ORD51021</t>
  </si>
  <si>
    <t>ORD51022</t>
  </si>
  <si>
    <t>ORD51023</t>
  </si>
  <si>
    <t>ORD51024</t>
  </si>
  <si>
    <t>ORD51025</t>
  </si>
  <si>
    <t>ORD51026</t>
  </si>
  <si>
    <t>ORD51027</t>
  </si>
  <si>
    <t>ORD51028</t>
  </si>
  <si>
    <t>ORD51029</t>
  </si>
  <si>
    <t>ORD51030</t>
  </si>
  <si>
    <t>ORD51031</t>
  </si>
  <si>
    <t>ORD51032</t>
  </si>
  <si>
    <t>ORD51033</t>
  </si>
  <si>
    <t>ORD51034</t>
  </si>
  <si>
    <t>ORD51035</t>
  </si>
  <si>
    <t>ORD51036</t>
  </si>
  <si>
    <t>ORD51037</t>
  </si>
  <si>
    <t>ORD51038</t>
  </si>
  <si>
    <t>ORD51039</t>
  </si>
  <si>
    <t>ORD51040</t>
  </si>
  <si>
    <t>ORD51041</t>
  </si>
  <si>
    <t>ORD51042</t>
  </si>
  <si>
    <t>ORD51043</t>
  </si>
  <si>
    <t>ORD51044</t>
  </si>
  <si>
    <t>ORD51045</t>
  </si>
  <si>
    <t>ORD51046</t>
  </si>
  <si>
    <t>ORD51047</t>
  </si>
  <si>
    <t>ORD51048</t>
  </si>
  <si>
    <t>ORD51049</t>
  </si>
  <si>
    <t>ORD51050</t>
  </si>
  <si>
    <t>ORD51051</t>
  </si>
  <si>
    <t>ORD51052</t>
  </si>
  <si>
    <t>ORD51053</t>
  </si>
  <si>
    <t>ORD51054</t>
  </si>
  <si>
    <t>ORD51055</t>
  </si>
  <si>
    <t>ORD51056</t>
  </si>
  <si>
    <t>ORD51057</t>
  </si>
  <si>
    <t>ORD51058</t>
  </si>
  <si>
    <t>ORD51059</t>
  </si>
  <si>
    <t>ORD51060</t>
  </si>
  <si>
    <t>ORD51061</t>
  </si>
  <si>
    <t>ORD51062</t>
  </si>
  <si>
    <t>ORD51063</t>
  </si>
  <si>
    <t>ORD51064</t>
  </si>
  <si>
    <t>ORD51065</t>
  </si>
  <si>
    <t>ORD51066</t>
  </si>
  <si>
    <t>ORD51067</t>
  </si>
  <si>
    <t>ORD51068</t>
  </si>
  <si>
    <t>ORD51069</t>
  </si>
  <si>
    <t>ORD51070</t>
  </si>
  <si>
    <t>ORD51071</t>
  </si>
  <si>
    <t>ORD51072</t>
  </si>
  <si>
    <t>ORD51073</t>
  </si>
  <si>
    <t>ORD51074</t>
  </si>
  <si>
    <t>ORD51075</t>
  </si>
  <si>
    <t>ORD51076</t>
  </si>
  <si>
    <t>ORD51077</t>
  </si>
  <si>
    <t>ORD51078</t>
  </si>
  <si>
    <t>ORD51079</t>
  </si>
  <si>
    <t>ORD51080</t>
  </si>
  <si>
    <t>ORD51081</t>
  </si>
  <si>
    <t>ORD51082</t>
  </si>
  <si>
    <t>ORD51083</t>
  </si>
  <si>
    <t>ORD51084</t>
  </si>
  <si>
    <t>ORD51085</t>
  </si>
  <si>
    <t>ORD51086</t>
  </si>
  <si>
    <t>ORD51087</t>
  </si>
  <si>
    <t>ORD51088</t>
  </si>
  <si>
    <t>ORD51089</t>
  </si>
  <si>
    <t>ORD51090</t>
  </si>
  <si>
    <t>ORD51091</t>
  </si>
  <si>
    <t>ORD51092</t>
  </si>
  <si>
    <t>ORD51093</t>
  </si>
  <si>
    <t>ORD51094</t>
  </si>
  <si>
    <t>ORD51095</t>
  </si>
  <si>
    <t>ORD51096</t>
  </si>
  <si>
    <t>ORD51097</t>
  </si>
  <si>
    <t>ORD51098</t>
  </si>
  <si>
    <t>ORD51099</t>
  </si>
  <si>
    <t>ORD51100</t>
  </si>
  <si>
    <t>ORD51101</t>
  </si>
  <si>
    <t>ORD51102</t>
  </si>
  <si>
    <t>ORD51103</t>
  </si>
  <si>
    <t>ORD51104</t>
  </si>
  <si>
    <t>ORD51105</t>
  </si>
  <si>
    <t>ORD51106</t>
  </si>
  <si>
    <t>ORD51107</t>
  </si>
  <si>
    <t>ORD51108</t>
  </si>
  <si>
    <t>ORD51109</t>
  </si>
  <si>
    <t>ORD51110</t>
  </si>
  <si>
    <t>ORD51111</t>
  </si>
  <si>
    <t>ORD51112</t>
  </si>
  <si>
    <t>ORD51113</t>
  </si>
  <si>
    <t>ORD51114</t>
  </si>
  <si>
    <t>ORD51115</t>
  </si>
  <si>
    <t>ORD51116</t>
  </si>
  <si>
    <t>ORD51117</t>
  </si>
  <si>
    <t>ORD51118</t>
  </si>
  <si>
    <t>ORD51119</t>
  </si>
  <si>
    <t>ORD51120</t>
  </si>
  <si>
    <t>ORD51121</t>
  </si>
  <si>
    <t>ORD51122</t>
  </si>
  <si>
    <t>ORD51123</t>
  </si>
  <si>
    <t>ORD51124</t>
  </si>
  <si>
    <t>ORD51125</t>
  </si>
  <si>
    <t>ORD51126</t>
  </si>
  <si>
    <t>ORD51127</t>
  </si>
  <si>
    <t>ORD51128</t>
  </si>
  <si>
    <t>ORD51129</t>
  </si>
  <si>
    <t>ORD51130</t>
  </si>
  <si>
    <t>ORD51131</t>
  </si>
  <si>
    <t>CUST1124</t>
  </si>
  <si>
    <t>ORD51132</t>
  </si>
  <si>
    <t>ORD51133</t>
  </si>
  <si>
    <t>ORD51134</t>
  </si>
  <si>
    <t>ORD51135</t>
  </si>
  <si>
    <t>ORD51136</t>
  </si>
  <si>
    <t>ORD51137</t>
  </si>
  <si>
    <t>ORD51138</t>
  </si>
  <si>
    <t>ORD51139</t>
  </si>
  <si>
    <t>ORD51140</t>
  </si>
  <si>
    <t>ORD51141</t>
  </si>
  <si>
    <t>ORD51142</t>
  </si>
  <si>
    <t>ORD51143</t>
  </si>
  <si>
    <t>ORD51144</t>
  </si>
  <si>
    <t>ORD51145</t>
  </si>
  <si>
    <t>ORD51146</t>
  </si>
  <si>
    <t>ORD51147</t>
  </si>
  <si>
    <t>ORD51148</t>
  </si>
  <si>
    <t>CUST1093</t>
  </si>
  <si>
    <t>ORD51149</t>
  </si>
  <si>
    <t>ORD51150</t>
  </si>
  <si>
    <t>ORD51151</t>
  </si>
  <si>
    <t>ORD51152</t>
  </si>
  <si>
    <t>ORD51153</t>
  </si>
  <si>
    <t>ORD51154</t>
  </si>
  <si>
    <t>ORD51155</t>
  </si>
  <si>
    <t>ORD51156</t>
  </si>
  <si>
    <t>ORD51157</t>
  </si>
  <si>
    <t>ORD51158</t>
  </si>
  <si>
    <t>ORD51159</t>
  </si>
  <si>
    <t>ORD51160</t>
  </si>
  <si>
    <t>ORD51161</t>
  </si>
  <si>
    <t>ORD51162</t>
  </si>
  <si>
    <t>ORD51163</t>
  </si>
  <si>
    <t>ORD51164</t>
  </si>
  <si>
    <t>ORD51165</t>
  </si>
  <si>
    <t>ORD51166</t>
  </si>
  <si>
    <t>ORD51167</t>
  </si>
  <si>
    <t>ORD51168</t>
  </si>
  <si>
    <t>ORD51169</t>
  </si>
  <si>
    <t>ORD51170</t>
  </si>
  <si>
    <t>ORD51171</t>
  </si>
  <si>
    <t>ORD51172</t>
  </si>
  <si>
    <t>ORD51173</t>
  </si>
  <si>
    <t>ORD51174</t>
  </si>
  <si>
    <t>ORD51175</t>
  </si>
  <si>
    <t>ORD51176</t>
  </si>
  <si>
    <t>ORD51177</t>
  </si>
  <si>
    <t>ORD51178</t>
  </si>
  <si>
    <t>ORD51179</t>
  </si>
  <si>
    <t>ORD51180</t>
  </si>
  <si>
    <t>ORD51181</t>
  </si>
  <si>
    <t>ORD51182</t>
  </si>
  <si>
    <t>ORD51183</t>
  </si>
  <si>
    <t>ORD51184</t>
  </si>
  <si>
    <t>ORD51185</t>
  </si>
  <si>
    <t>ORD51186</t>
  </si>
  <si>
    <t>ORD51187</t>
  </si>
  <si>
    <t>ORD51188</t>
  </si>
  <si>
    <t>ORD51189</t>
  </si>
  <si>
    <t>ORD51190</t>
  </si>
  <si>
    <t>ORD51191</t>
  </si>
  <si>
    <t>ORD51192</t>
  </si>
  <si>
    <t>ORD51193</t>
  </si>
  <si>
    <t>ORD51194</t>
  </si>
  <si>
    <t>ORD51195</t>
  </si>
  <si>
    <t>ORD51196</t>
  </si>
  <si>
    <t>ORD51197</t>
  </si>
  <si>
    <t>ORD51198</t>
  </si>
  <si>
    <t>ORD51199</t>
  </si>
  <si>
    <t>ORD51200</t>
  </si>
  <si>
    <t>ORD51201</t>
  </si>
  <si>
    <t>ORD51202</t>
  </si>
  <si>
    <t>ORD51203</t>
  </si>
  <si>
    <t>ORD51204</t>
  </si>
  <si>
    <t>ORD51205</t>
  </si>
  <si>
    <t>ORD51206</t>
  </si>
  <si>
    <t>ORD51207</t>
  </si>
  <si>
    <t>ORD51208</t>
  </si>
  <si>
    <t>ORD51209</t>
  </si>
  <si>
    <t>ORD51210</t>
  </si>
  <si>
    <t>ORD51211</t>
  </si>
  <si>
    <t>ORD51212</t>
  </si>
  <si>
    <t>ORD51213</t>
  </si>
  <si>
    <t>ORD51214</t>
  </si>
  <si>
    <t>ORD51215</t>
  </si>
  <si>
    <t>ORD51216</t>
  </si>
  <si>
    <t>ORD51217</t>
  </si>
  <si>
    <t>ORD51218</t>
  </si>
  <si>
    <t>ORD51219</t>
  </si>
  <si>
    <t>ORD51220</t>
  </si>
  <si>
    <t>ORD51221</t>
  </si>
  <si>
    <t>ORD51222</t>
  </si>
  <si>
    <t>ORD51223</t>
  </si>
  <si>
    <t>ORD51224</t>
  </si>
  <si>
    <t>ORD51225</t>
  </si>
  <si>
    <t>ORD51226</t>
  </si>
  <si>
    <t>ORD51227</t>
  </si>
  <si>
    <t>ORD51228</t>
  </si>
  <si>
    <t>ORD51229</t>
  </si>
  <si>
    <t>ORD51230</t>
  </si>
  <si>
    <t>ORD51231</t>
  </si>
  <si>
    <t>ORD51232</t>
  </si>
  <si>
    <t>ORD51233</t>
  </si>
  <si>
    <t>ORD51234</t>
  </si>
  <si>
    <t>ORD51235</t>
  </si>
  <si>
    <t>ORD51236</t>
  </si>
  <si>
    <t>ORD51237</t>
  </si>
  <si>
    <t>ORD51238</t>
  </si>
  <si>
    <t>ORD51239</t>
  </si>
  <si>
    <t>ORD51240</t>
  </si>
  <si>
    <t>ORD51241</t>
  </si>
  <si>
    <t>ORD51242</t>
  </si>
  <si>
    <t>ORD51243</t>
  </si>
  <si>
    <t>ORD51244</t>
  </si>
  <si>
    <t>ORD51245</t>
  </si>
  <si>
    <t>ORD51246</t>
  </si>
  <si>
    <t>ORD51247</t>
  </si>
  <si>
    <t>ORD51248</t>
  </si>
  <si>
    <t>ORD51249</t>
  </si>
  <si>
    <t>ORD51250</t>
  </si>
  <si>
    <t>ORD51251</t>
  </si>
  <si>
    <t>ORD51252</t>
  </si>
  <si>
    <t>ORD51253</t>
  </si>
  <si>
    <t>ORD51254</t>
  </si>
  <si>
    <t>ORD51255</t>
  </si>
  <si>
    <t>ORD51256</t>
  </si>
  <si>
    <t>ORD51257</t>
  </si>
  <si>
    <t>ORD51258</t>
  </si>
  <si>
    <t>ORD51259</t>
  </si>
  <si>
    <t>ORD51260</t>
  </si>
  <si>
    <t>ORD51261</t>
  </si>
  <si>
    <t>ORD51262</t>
  </si>
  <si>
    <t>ORD51263</t>
  </si>
  <si>
    <t>ORD51264</t>
  </si>
  <si>
    <t>ORD51265</t>
  </si>
  <si>
    <t>ORD51266</t>
  </si>
  <si>
    <t>ORD51267</t>
  </si>
  <si>
    <t>ORD51268</t>
  </si>
  <si>
    <t>ORD51269</t>
  </si>
  <si>
    <t>ORD51270</t>
  </si>
  <si>
    <t>ORD51271</t>
  </si>
  <si>
    <t>ORD51272</t>
  </si>
  <si>
    <t>ORD51273</t>
  </si>
  <si>
    <t>ORD51274</t>
  </si>
  <si>
    <t>ORD51275</t>
  </si>
  <si>
    <t>ORD51276</t>
  </si>
  <si>
    <t>ORD51277</t>
  </si>
  <si>
    <t>ORD51278</t>
  </si>
  <si>
    <t>ORD51279</t>
  </si>
  <si>
    <t>ORD51280</t>
  </si>
  <si>
    <t>ORD51281</t>
  </si>
  <si>
    <t>ORD51282</t>
  </si>
  <si>
    <t>ORD51283</t>
  </si>
  <si>
    <t>ORD51284</t>
  </si>
  <si>
    <t>ORD51285</t>
  </si>
  <si>
    <t>ORD51286</t>
  </si>
  <si>
    <t>ORD51287</t>
  </si>
  <si>
    <t>ORD51288</t>
  </si>
  <si>
    <t>ORD51289</t>
  </si>
  <si>
    <t>ORD51290</t>
  </si>
  <si>
    <t>ORD51291</t>
  </si>
  <si>
    <t>ORD51292</t>
  </si>
  <si>
    <t>ORD51293</t>
  </si>
  <si>
    <t>ORD51294</t>
  </si>
  <si>
    <t>ORD51295</t>
  </si>
  <si>
    <t>ORD51296</t>
  </si>
  <si>
    <t>ORD51297</t>
  </si>
  <si>
    <t>ORD51298</t>
  </si>
  <si>
    <t>ORD51299</t>
  </si>
  <si>
    <t>ORD51300</t>
  </si>
  <si>
    <t>ORD51301</t>
  </si>
  <si>
    <t>ORD51302</t>
  </si>
  <si>
    <t>ORD51303</t>
  </si>
  <si>
    <t>ORD51304</t>
  </si>
  <si>
    <t>ORD51305</t>
  </si>
  <si>
    <t>ORD51306</t>
  </si>
  <si>
    <t>ORD51307</t>
  </si>
  <si>
    <t>ORD51308</t>
  </si>
  <si>
    <t>ORD51309</t>
  </si>
  <si>
    <t>ORD51310</t>
  </si>
  <si>
    <t>ORD51311</t>
  </si>
  <si>
    <t>ORD51312</t>
  </si>
  <si>
    <t>ORD51313</t>
  </si>
  <si>
    <t>ORD51314</t>
  </si>
  <si>
    <t>ORD51315</t>
  </si>
  <si>
    <t>ORD51316</t>
  </si>
  <si>
    <t>ORD51317</t>
  </si>
  <si>
    <t>ORD51318</t>
  </si>
  <si>
    <t>ORD51319</t>
  </si>
  <si>
    <t>ORD51320</t>
  </si>
  <si>
    <t>ORD51321</t>
  </si>
  <si>
    <t>ORD51322</t>
  </si>
  <si>
    <t>ORD51323</t>
  </si>
  <si>
    <t>ORD51324</t>
  </si>
  <si>
    <t>ORD51325</t>
  </si>
  <si>
    <t>ORD51326</t>
  </si>
  <si>
    <t>ORD51327</t>
  </si>
  <si>
    <t>CUST1157</t>
  </si>
  <si>
    <t>ORD51328</t>
  </si>
  <si>
    <t>ORD51329</t>
  </si>
  <si>
    <t>ORD51330</t>
  </si>
  <si>
    <t>ORD51331</t>
  </si>
  <si>
    <t>ORD51332</t>
  </si>
  <si>
    <t>ORD51333</t>
  </si>
  <si>
    <t>ORD51334</t>
  </si>
  <si>
    <t>ORD51335</t>
  </si>
  <si>
    <t>ORD51336</t>
  </si>
  <si>
    <t>ORD51337</t>
  </si>
  <si>
    <t>ORD51338</t>
  </si>
  <si>
    <t>ORD51339</t>
  </si>
  <si>
    <t>ORD51340</t>
  </si>
  <si>
    <t>ORD51341</t>
  </si>
  <si>
    <t>ORD51342</t>
  </si>
  <si>
    <t>ORD51343</t>
  </si>
  <si>
    <t>ORD51344</t>
  </si>
  <si>
    <t>ORD51345</t>
  </si>
  <si>
    <t>ORD51346</t>
  </si>
  <si>
    <t>ORD51347</t>
  </si>
  <si>
    <t>ORD51348</t>
  </si>
  <si>
    <t>ORD51349</t>
  </si>
  <si>
    <t>ORD51350</t>
  </si>
  <si>
    <t>ORD51351</t>
  </si>
  <si>
    <t>ORD51352</t>
  </si>
  <si>
    <t>ORD51353</t>
  </si>
  <si>
    <t>ORD51354</t>
  </si>
  <si>
    <t>ORD51355</t>
  </si>
  <si>
    <t>ORD51356</t>
  </si>
  <si>
    <t>ORD51357</t>
  </si>
  <si>
    <t>ORD51358</t>
  </si>
  <si>
    <t>ORD51359</t>
  </si>
  <si>
    <t>ORD51360</t>
  </si>
  <si>
    <t>ORD51361</t>
  </si>
  <si>
    <t>ORD51362</t>
  </si>
  <si>
    <t>ORD51363</t>
  </si>
  <si>
    <t>ORD51364</t>
  </si>
  <si>
    <t>ORD51365</t>
  </si>
  <si>
    <t>ORD51366</t>
  </si>
  <si>
    <t>ORD51367</t>
  </si>
  <si>
    <t>ORD51368</t>
  </si>
  <si>
    <t>ORD51369</t>
  </si>
  <si>
    <t>ORD51370</t>
  </si>
  <si>
    <t>ORD51371</t>
  </si>
  <si>
    <t>ORD51372</t>
  </si>
  <si>
    <t>ORD51373</t>
  </si>
  <si>
    <t>ORD51374</t>
  </si>
  <si>
    <t>ORD51375</t>
  </si>
  <si>
    <t>ORD51376</t>
  </si>
  <si>
    <t>ORD51377</t>
  </si>
  <si>
    <t>ORD51378</t>
  </si>
  <si>
    <t>ORD51379</t>
  </si>
  <si>
    <t>ORD51380</t>
  </si>
  <si>
    <t>ORD51381</t>
  </si>
  <si>
    <t>ORD51382</t>
  </si>
  <si>
    <t>ORD51383</t>
  </si>
  <si>
    <t>ORD51384</t>
  </si>
  <si>
    <t>ORD51385</t>
  </si>
  <si>
    <t>ORD51386</t>
  </si>
  <si>
    <t>ORD51387</t>
  </si>
  <si>
    <t>ORD51388</t>
  </si>
  <si>
    <t>ORD51389</t>
  </si>
  <si>
    <t>ORD51390</t>
  </si>
  <si>
    <t>ORD51391</t>
  </si>
  <si>
    <t>ORD51392</t>
  </si>
  <si>
    <t>ORD51393</t>
  </si>
  <si>
    <t>ORD51394</t>
  </si>
  <si>
    <t>ORD51395</t>
  </si>
  <si>
    <t>ORD51396</t>
  </si>
  <si>
    <t>ORD51397</t>
  </si>
  <si>
    <t>ORD51398</t>
  </si>
  <si>
    <t>ORD51399</t>
  </si>
  <si>
    <t>ORD51400</t>
  </si>
  <si>
    <t>ORD51401</t>
  </si>
  <si>
    <t>ORD51402</t>
  </si>
  <si>
    <t>ORD51403</t>
  </si>
  <si>
    <t>ORD51404</t>
  </si>
  <si>
    <t>ORD51405</t>
  </si>
  <si>
    <t>ORD51406</t>
  </si>
  <si>
    <t>ORD51407</t>
  </si>
  <si>
    <t>ORD51408</t>
  </si>
  <si>
    <t>ORD51409</t>
  </si>
  <si>
    <t>ORD51410</t>
  </si>
  <si>
    <t>ORD51411</t>
  </si>
  <si>
    <t>ORD51412</t>
  </si>
  <si>
    <t>ORD51413</t>
  </si>
  <si>
    <t>ORD51414</t>
  </si>
  <si>
    <t>ORD51415</t>
  </si>
  <si>
    <t>ORD51416</t>
  </si>
  <si>
    <t>ORD51417</t>
  </si>
  <si>
    <t>ORD51418</t>
  </si>
  <si>
    <t>ORD51419</t>
  </si>
  <si>
    <t>ORD51420</t>
  </si>
  <si>
    <t>ORD51421</t>
  </si>
  <si>
    <t>ORD51422</t>
  </si>
  <si>
    <t>ORD51423</t>
  </si>
  <si>
    <t>ORD51424</t>
  </si>
  <si>
    <t>ORD51425</t>
  </si>
  <si>
    <t>ORD51426</t>
  </si>
  <si>
    <t>ORD51427</t>
  </si>
  <si>
    <t>ORD51428</t>
  </si>
  <si>
    <t>ORD51429</t>
  </si>
  <si>
    <t>ORD51430</t>
  </si>
  <si>
    <t>ORD51431</t>
  </si>
  <si>
    <t>ORD51432</t>
  </si>
  <si>
    <t>ORD51433</t>
  </si>
  <si>
    <t>ORD51434</t>
  </si>
  <si>
    <t>ORD51435</t>
  </si>
  <si>
    <t>ORD51436</t>
  </si>
  <si>
    <t>ORD51437</t>
  </si>
  <si>
    <t>ORD51438</t>
  </si>
  <si>
    <t>ORD51439</t>
  </si>
  <si>
    <t>ORD51440</t>
  </si>
  <si>
    <t>ORD51441</t>
  </si>
  <si>
    <t>ORD51442</t>
  </si>
  <si>
    <t>ORD51443</t>
  </si>
  <si>
    <t>ORD51444</t>
  </si>
  <si>
    <t>ORD51445</t>
  </si>
  <si>
    <t>ORD51446</t>
  </si>
  <si>
    <t>ORD51447</t>
  </si>
  <si>
    <t>ORD51448</t>
  </si>
  <si>
    <t>ORD51449</t>
  </si>
  <si>
    <t>ORD51450</t>
  </si>
  <si>
    <t>ORD51451</t>
  </si>
  <si>
    <t>ORD51452</t>
  </si>
  <si>
    <t>ORD51453</t>
  </si>
  <si>
    <t>ORD51454</t>
  </si>
  <si>
    <t>ORD51455</t>
  </si>
  <si>
    <t>ORD51456</t>
  </si>
  <si>
    <t>ORD51457</t>
  </si>
  <si>
    <t>ORD51458</t>
  </si>
  <si>
    <t>ORD51459</t>
  </si>
  <si>
    <t>ORD51460</t>
  </si>
  <si>
    <t>ORD51461</t>
  </si>
  <si>
    <t>ORD51462</t>
  </si>
  <si>
    <t>ORD51463</t>
  </si>
  <si>
    <t>ORD51464</t>
  </si>
  <si>
    <t>ORD51465</t>
  </si>
  <si>
    <t>ORD51466</t>
  </si>
  <si>
    <t>ORD51467</t>
  </si>
  <si>
    <t>ORD51468</t>
  </si>
  <si>
    <t>ORD51469</t>
  </si>
  <si>
    <t>N/A</t>
  </si>
  <si>
    <t>ORD51470</t>
  </si>
  <si>
    <t>ORD51471</t>
  </si>
  <si>
    <t>ORD51472</t>
  </si>
  <si>
    <t>ORD51473</t>
  </si>
  <si>
    <t>ORD51474</t>
  </si>
  <si>
    <t>ORD51475</t>
  </si>
  <si>
    <t>ORD51476</t>
  </si>
  <si>
    <t>ORD51477</t>
  </si>
  <si>
    <t>ORD51478</t>
  </si>
  <si>
    <t>ORD51479</t>
  </si>
  <si>
    <t>ORD51480</t>
  </si>
  <si>
    <t>ORD51481</t>
  </si>
  <si>
    <t>ORD51482</t>
  </si>
  <si>
    <t>ORD51483</t>
  </si>
  <si>
    <t>ORD51484</t>
  </si>
  <si>
    <t>ORD51485</t>
  </si>
  <si>
    <t>ORD51486</t>
  </si>
  <si>
    <t>ORD51487</t>
  </si>
  <si>
    <t>ORD51488</t>
  </si>
  <si>
    <t>ORD51489</t>
  </si>
  <si>
    <t>ORD51490</t>
  </si>
  <si>
    <t>ORD51491</t>
  </si>
  <si>
    <t>ORD51492</t>
  </si>
  <si>
    <t>ORD51493</t>
  </si>
  <si>
    <t>ORD51494</t>
  </si>
  <si>
    <t>ORD51495</t>
  </si>
  <si>
    <t>ORD51496</t>
  </si>
  <si>
    <t>ORD51497</t>
  </si>
  <si>
    <t>ORD51498</t>
  </si>
  <si>
    <t>ORD51499</t>
  </si>
  <si>
    <t>ORD51500</t>
  </si>
  <si>
    <t>Total Records</t>
  </si>
  <si>
    <t>Missing Customer ID</t>
  </si>
  <si>
    <t>Missing Cities</t>
  </si>
  <si>
    <t>Total Colums</t>
  </si>
  <si>
    <t>Missing Quantities</t>
  </si>
  <si>
    <t>Missing Discounts</t>
  </si>
  <si>
    <t>Missing Payment Method</t>
  </si>
  <si>
    <t>Missing Salesperosns</t>
  </si>
  <si>
    <t>Order_Status_Clean</t>
  </si>
  <si>
    <t>Sales_Channel_Clean</t>
  </si>
  <si>
    <t>Payment_Method_Clean</t>
  </si>
  <si>
    <t>Category_Clean</t>
  </si>
  <si>
    <t>Quantity_Status</t>
  </si>
  <si>
    <t>Quantity_Review</t>
  </si>
  <si>
    <t>Discount_Status</t>
  </si>
  <si>
    <t>Gross_Sales</t>
  </si>
  <si>
    <t>Net_Sales</t>
  </si>
  <si>
    <t>Question</t>
  </si>
  <si>
    <t>Total Sales</t>
  </si>
  <si>
    <t>Answer</t>
  </si>
  <si>
    <t>Total Quantity</t>
  </si>
  <si>
    <t>Lowest Sales Amount</t>
  </si>
  <si>
    <t>Average Sales Amount</t>
  </si>
  <si>
    <t>Completed Orders</t>
  </si>
  <si>
    <t>Cancelled Orders</t>
  </si>
  <si>
    <t>Returned Orders</t>
  </si>
  <si>
    <t>Highest Sales Amount</t>
  </si>
  <si>
    <t>Row Labels</t>
  </si>
  <si>
    <t>Grand Total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</si>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</sst>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9" fillId="0" borderId="0" xfId="0" applyFont="1"/>
    <xf numFmtId="0" fontId="20" fillId="0" borderId="0" xfId="0" applyFont="1"/>
    <xf numFmtId="0" fontId="19" fillId="0" borderId="0" xfId="0" pivotButton="1" applyFont="1"/>
    <xf numFmtId="0" fontId="19" fillId="0" borderId="0" xfId="0" applyFont="1" applyAlignment="1">
      <alignment horizontal="left"/>
    </xf>
    <xf numFmtId="0" fontId="16" fillId="0" borderId="0" xfId="0" applyFont="1"/>
    <xf numFmtId="0" fontId="21" fillId="0" borderId="10" xfId="0" applyFont="1" applyBorder="1"/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1"/>
      </font>
    </dxf>
    <dxf>
      <font>
        <color theme="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6.534596990743" createdVersion="8" refreshedVersion="8" minRefreshableVersion="3" recordCount="1504" xr:uid="{80684E6A-01C4-48F2-AE79-B8060D9CD966}">
  <cacheSource type="worksheet">
    <worksheetSource ref="A1:Y1505" sheet="Clean_data "/>
  </cacheSource>
  <cacheFields count="25">
    <cacheField name="Order_ID" numFmtId="0">
      <sharedItems/>
    </cacheField>
    <cacheField name="Order_Date" numFmtId="0">
      <sharedItems containsDate="1" containsMixedTypes="1" minDate="2024-01-01T00:00:00" maxDate="2028-01-01T00:00:00"/>
    </cacheField>
    <cacheField name="Customer_ID" numFmtId="0">
      <sharedItems containsBlank="1"/>
    </cacheField>
    <cacheField name="Product_ID" numFmtId="0">
      <sharedItems/>
    </cacheField>
    <cacheField name="Product_Name" numFmtId="0">
      <sharedItems count="15">
        <s v="Water Bottle"/>
        <s v="Headphones"/>
        <s v="Desk Lamp"/>
        <s v="Keyboard"/>
        <s v="Pen Set"/>
        <s v="Webcam"/>
        <s v="Monitor 24-inch"/>
        <s v="Backpack"/>
        <s v="Phone Stand"/>
        <s v="Wireless Mouse"/>
        <s v="Desk"/>
        <s v="Notebook Pack"/>
        <s v="Office Chair"/>
        <s v="Laptop 15-inch"/>
        <s v="USB-C Hub"/>
      </sharedItems>
    </cacheField>
    <cacheField name="Category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City" numFmtId="0">
      <sharedItems containsBlank="1" count="17">
        <s v="Kolkata"/>
        <s v="Pune"/>
        <s v="Ranchi"/>
        <s v="Surat"/>
        <s v="Chennai"/>
        <s v="Hyderabad"/>
        <s v="Mumbai"/>
        <s v="Ahmedabad"/>
        <s v="Lucknow"/>
        <s v="Jaipur"/>
        <s v="Bhubaneswar"/>
        <s v="Delhi"/>
        <s v="Bengaluru"/>
        <s v="Visakhapatnam"/>
        <s v="Patna"/>
        <s v="Chandigarh"/>
        <m/>
      </sharedItems>
    </cacheField>
    <cacheField name="Quantity" numFmtId="0">
      <sharedItems containsString="0" containsBlank="1" containsNumber="1" containsInteger="1" minValue="-2" maxValue="100"/>
    </cacheField>
    <cacheField name="Unit_Price" numFmtId="0">
      <sharedItems containsSemiMixedTypes="0" containsString="0" containsNumber="1" minValue="202.48" maxValue="70158.559999999998"/>
    </cacheField>
    <cacheField name="Discount" numFmtId="0">
      <sharedItems containsString="0" containsBlank="1" containsNumber="1" minValue="-0.1" maxValue="1.25"/>
    </cacheField>
    <cacheField name="Sales_Amount" numFmtId="0">
      <sharedItems containsSemiMixedTypes="0" containsString="0" containsNumber="1" minValue="166.5" maxValue="339764.2" count="1498">
        <n v="2420.08"/>
        <n v="9523.7999999999993"/>
        <n v="4454.5600000000004"/>
        <n v="7355.13"/>
        <n v="208.32"/>
        <n v="2448.0100000000002"/>
        <n v="9610.39"/>
        <n v="7821.92"/>
        <n v="3268.5"/>
        <n v="33593.910000000003"/>
        <n v="4245.4399999999996"/>
        <n v="631.01"/>
        <n v="5673.73"/>
        <n v="4055.11"/>
        <n v="9016.26"/>
        <n v="12273.09"/>
        <n v="2784.67"/>
        <n v="12314.13"/>
        <n v="9242.7199999999993"/>
        <n v="760.71"/>
        <n v="7023.6"/>
        <n v="1070.9000000000001"/>
        <n v="4466.3"/>
        <n v="5428.46"/>
        <n v="33688.36"/>
        <n v="11262.49"/>
        <n v="1210.81"/>
        <n v="40381.4"/>
        <n v="451.38"/>
        <n v="5521.28"/>
        <n v="4367.05"/>
        <n v="590.41"/>
        <n v="2917.37"/>
        <n v="5638.8"/>
        <n v="807.42"/>
        <n v="8482.1"/>
        <n v="13466.82"/>
        <n v="36554.080000000002"/>
        <n v="737.5"/>
        <n v="42420.01"/>
        <n v="8062.84"/>
        <n v="4986.2700000000004"/>
        <n v="5941.77"/>
        <n v="5017.3599999999997"/>
        <n v="97371.82"/>
        <n v="14476.18"/>
        <n v="7523.18"/>
        <n v="2945.66"/>
        <n v="22365.18"/>
        <n v="2711.68"/>
        <n v="10335.23"/>
        <n v="4065.72"/>
        <n v="5474.47"/>
        <n v="2689.52"/>
        <n v="5370.6"/>
        <n v="423.32"/>
        <n v="5424.65"/>
        <n v="8111.78"/>
        <n v="907.64"/>
        <n v="5960.67"/>
        <n v="2084.27"/>
        <n v="2050.91"/>
        <n v="5792.55"/>
        <n v="54666.52"/>
        <n v="6522.08"/>
        <n v="8490.74"/>
        <n v="8253.6"/>
        <n v="4589.25"/>
        <n v="878.55"/>
        <n v="1273.76"/>
        <n v="8468.19"/>
        <n v="36069.69"/>
        <n v="4839.91"/>
        <n v="4640.9799999999996"/>
        <n v="31244.720000000001"/>
        <n v="2279.36"/>
        <n v="2523.38"/>
        <n v="1440.84"/>
        <n v="4471.3500000000004"/>
        <n v="5082.0200000000004"/>
        <n v="2926.48"/>
        <n v="2967.44"/>
        <n v="1987.95"/>
        <n v="13578.74"/>
        <n v="6055.15"/>
        <n v="59828.5"/>
        <n v="225.13"/>
        <n v="3327.44"/>
        <n v="792.61"/>
        <n v="19971.88"/>
        <n v="2091.44"/>
        <n v="373.08"/>
        <n v="2333.6999999999998"/>
        <n v="4953.9799999999996"/>
        <n v="10627.3"/>
        <n v="135768.74"/>
        <n v="1960.5"/>
        <n v="881.66"/>
        <n v="13290.36"/>
        <n v="1767.78"/>
        <n v="1940"/>
        <n v="9913.7900000000009"/>
        <n v="2316.62"/>
        <n v="1748.97"/>
        <n v="7808.12"/>
        <n v="41678.1"/>
        <n v="3275.05"/>
        <n v="1290.94"/>
        <n v="9088.5499999999993"/>
        <n v="6578.8"/>
        <n v="5255.51"/>
        <n v="6742.64"/>
        <n v="1065.06"/>
        <n v="7889.97"/>
        <n v="5827.61"/>
        <n v="4414"/>
        <n v="5814.61"/>
        <n v="6783.2"/>
        <n v="56081.74"/>
        <n v="381.12"/>
        <n v="58451.51"/>
        <n v="4663.9799999999996"/>
        <n v="941.5"/>
        <n v="47940.94"/>
        <n v="2934.02"/>
        <n v="3828.84"/>
        <n v="8452.99"/>
        <n v="66821.789999999994"/>
        <n v="26779.759999999998"/>
        <n v="14663.1"/>
        <n v="5127.26"/>
        <n v="10684.16"/>
        <n v="22398.81"/>
        <n v="2849.73"/>
        <n v="269123.40000000002"/>
        <n v="19157.39"/>
        <n v="3218.14"/>
        <n v="236015.78"/>
        <n v="11441.88"/>
        <n v="2158.4499999999998"/>
        <n v="3892.57"/>
        <n v="2155.6"/>
        <n v="1702.17"/>
        <n v="3976.03"/>
        <n v="635.58000000000004"/>
        <n v="1941.5"/>
        <n v="17610.330000000002"/>
        <n v="119420.27"/>
        <n v="1160.6500000000001"/>
        <n v="627.95000000000005"/>
        <n v="5306.93"/>
        <n v="2780.5"/>
        <n v="26960.29"/>
        <n v="364.46"/>
        <n v="422.76"/>
        <n v="1698.39"/>
        <n v="7598.6"/>
        <n v="1366.83"/>
        <n v="27630.639999999999"/>
        <n v="8334.35"/>
        <n v="4925.12"/>
        <n v="6908.16"/>
        <n v="3721.25"/>
        <n v="2205.06"/>
        <n v="26072.32"/>
        <n v="7432.4"/>
        <n v="14607.77"/>
        <n v="1186.31"/>
        <n v="17228.23"/>
        <n v="3505.62"/>
        <n v="917.81"/>
        <n v="1938.48"/>
        <n v="43213.5"/>
        <n v="416.85"/>
        <n v="213.1"/>
        <n v="21972.02"/>
        <n v="915.1"/>
        <n v="8501.1"/>
        <n v="153413.92000000001"/>
        <n v="54688.4"/>
        <n v="26966.45"/>
        <n v="26355.11"/>
        <n v="1770.77"/>
        <n v="9063.09"/>
        <n v="41502.239999999998"/>
        <n v="20042.939999999999"/>
        <n v="1817.64"/>
        <n v="5108.43"/>
        <n v="10114.459999999999"/>
        <n v="432.66"/>
        <n v="2275.64"/>
        <n v="14071.38"/>
        <n v="11808.54"/>
        <n v="8041.43"/>
        <n v="838.18"/>
        <n v="28195.439999999999"/>
        <n v="2180.23"/>
        <n v="9020.15"/>
        <n v="22660.7"/>
        <n v="621.87"/>
        <n v="30637.84"/>
        <n v="6427.7"/>
        <n v="52521.4"/>
        <n v="21180.15"/>
        <n v="20427"/>
        <n v="10569.02"/>
        <n v="6820.04"/>
        <n v="13124.68"/>
        <n v="14919.93"/>
        <n v="6352.2"/>
        <n v="384.62"/>
        <n v="3292.27"/>
        <n v="6109.92"/>
        <n v="3834.4"/>
        <n v="1635.12"/>
        <n v="10546.41"/>
        <n v="3265.31"/>
        <n v="4369.4399999999996"/>
        <n v="9016.1"/>
        <n v="8432.6"/>
        <n v="10586.28"/>
        <n v="24799.14"/>
        <n v="67210.789999999994"/>
        <n v="1047.69"/>
        <n v="33092.870000000003"/>
        <n v="2034.76"/>
        <n v="7169.37"/>
        <n v="1117.54"/>
        <n v="2840.09"/>
        <n v="39959.040000000001"/>
        <n v="9122.1200000000008"/>
        <n v="9575.4599999999991"/>
        <n v="45209.25"/>
        <n v="10300.5"/>
        <n v="966.15"/>
        <n v="3008.8"/>
        <n v="3630.55"/>
        <n v="17115.310000000001"/>
        <n v="1551.61"/>
        <n v="7631.23"/>
        <n v="2744.4"/>
        <n v="8823.9699999999993"/>
        <n v="1507.51"/>
        <n v="1122.06"/>
        <n v="18412.95"/>
        <n v="743.46"/>
        <n v="54635.53"/>
        <n v="20717.189999999999"/>
        <n v="1378.67"/>
        <n v="5448.43"/>
        <n v="1568.66"/>
        <n v="853.2"/>
        <n v="46782.32"/>
        <n v="895.51"/>
        <n v="19738.669999999998"/>
        <n v="4162"/>
        <n v="12988.25"/>
        <n v="2878.01"/>
        <n v="2267.96"/>
        <n v="2183.52"/>
        <n v="3749.22"/>
        <n v="17893.34"/>
        <n v="6171.06"/>
        <n v="900.22"/>
        <n v="28802.82"/>
        <n v="32472.03"/>
        <n v="29950.639999999999"/>
        <n v="1657.26"/>
        <n v="305485.21999999997"/>
        <n v="1028.42"/>
        <n v="1858.55"/>
        <n v="8922.57"/>
        <n v="5323.93"/>
        <n v="2007.94"/>
        <n v="1549.45"/>
        <n v="11466.45"/>
        <n v="4329.3599999999997"/>
        <n v="9278.7000000000007"/>
        <n v="1186.83"/>
        <n v="4600.01"/>
        <n v="6829.66"/>
        <n v="7672.03"/>
        <n v="3212.95"/>
        <n v="5562.3"/>
        <n v="37599.71"/>
        <n v="4956.33"/>
        <n v="34375.43"/>
        <n v="877"/>
        <n v="2933.72"/>
        <n v="1128.1400000000001"/>
        <n v="9230.17"/>
        <n v="679.43"/>
        <n v="48020.74"/>
        <n v="42848.41"/>
        <n v="8071.25"/>
        <n v="7193.16"/>
        <n v="12922.82"/>
        <n v="44611.54"/>
        <n v="4079.24"/>
        <n v="4113.58"/>
        <n v="602.13"/>
        <n v="735.66"/>
        <n v="6718.25"/>
        <n v="7468.56"/>
        <n v="1975.7"/>
        <n v="2451.6799999999998"/>
        <n v="1578.46"/>
        <n v="5413.75"/>
        <n v="2883.34"/>
        <n v="1738.54"/>
        <n v="425.66"/>
        <n v="1300.3900000000001"/>
        <n v="641.74"/>
        <n v="4433.12"/>
        <n v="3551.83"/>
        <n v="7373.67"/>
        <n v="27533.87"/>
        <n v="2407.31"/>
        <n v="1184.43"/>
        <n v="3168.46"/>
        <n v="11615.9"/>
        <n v="760.9"/>
        <n v="53258.62"/>
        <n v="6714.32"/>
        <n v="13925.95"/>
        <n v="961.58"/>
        <n v="20499.810000000001"/>
        <n v="1242.69"/>
        <n v="3517.8"/>
        <n v="2018.57"/>
        <n v="2336.8000000000002"/>
        <n v="11058.26"/>
        <n v="389.79"/>
        <n v="7114.72"/>
        <n v="36611.58"/>
        <n v="2342.0500000000002"/>
        <n v="216.27"/>
        <n v="11376.04"/>
        <n v="413.16"/>
        <n v="11642.51"/>
        <n v="1989.39"/>
        <n v="5589.25"/>
        <n v="7436.48"/>
        <n v="3029.53"/>
        <n v="2897.14"/>
        <n v="6508.34"/>
        <n v="16945.099999999999"/>
        <n v="4739.8999999999996"/>
        <n v="389.26"/>
        <n v="4397.71"/>
        <n v="185618.52"/>
        <n v="9603.18"/>
        <n v="3608.32"/>
        <n v="2521.19"/>
        <n v="2448.21"/>
        <n v="32807.71"/>
        <n v="14558.19"/>
        <n v="620.34"/>
        <n v="5196.03"/>
        <n v="810.07"/>
        <n v="1599.84"/>
        <n v="2956.16"/>
        <n v="5228.6899999999996"/>
        <n v="8967.7999999999993"/>
        <n v="37628.67"/>
        <n v="3811.35"/>
        <n v="15105.55"/>
        <n v="3742.88"/>
        <n v="7377.61"/>
        <n v="27132.12"/>
        <n v="31006.9"/>
        <n v="201.99"/>
        <n v="4853.54"/>
        <n v="2885.95"/>
        <n v="9110.76"/>
        <n v="1651.82"/>
        <n v="649.89"/>
        <n v="2071.9499999999998"/>
        <n v="2161.7399999999998"/>
        <n v="1610.15"/>
        <n v="2257.1"/>
        <n v="7326.07"/>
        <n v="31934.2"/>
        <n v="2468.88"/>
        <n v="3059.32"/>
        <n v="5578.34"/>
        <n v="7038.32"/>
        <n v="25832.17"/>
        <n v="34501.760000000002"/>
        <n v="6439.13"/>
        <n v="1071.7"/>
        <n v="17477.990000000002"/>
        <n v="8657.85"/>
        <n v="12622.49"/>
        <n v="332.11"/>
        <n v="7385.11"/>
        <n v="18071.66"/>
        <n v="5631.27"/>
        <n v="4783.1000000000004"/>
        <n v="1723.16"/>
        <n v="5622.88"/>
        <n v="1617.72"/>
        <n v="27548.16"/>
        <n v="3451"/>
        <n v="6548.3"/>
        <n v="6193.3"/>
        <n v="31405.8"/>
        <n v="6837.2"/>
        <n v="1421.08"/>
        <n v="7286.18"/>
        <n v="26564.01"/>
        <n v="1616.58"/>
        <n v="1694.22"/>
        <n v="37014.379999999997"/>
        <n v="2884.56"/>
        <n v="8450.3700000000008"/>
        <n v="2193.71"/>
        <n v="666.31"/>
        <n v="799.85"/>
        <n v="122752.69"/>
        <n v="118409.53"/>
        <n v="1490.49"/>
        <n v="627.12"/>
        <n v="10345.36"/>
        <n v="1928.1"/>
        <n v="706.22"/>
        <n v="5838.59"/>
        <n v="4308.33"/>
        <n v="1069.5"/>
        <n v="6295.75"/>
        <n v="5577.93"/>
        <n v="1907.49"/>
        <n v="650.09"/>
        <n v="2756.92"/>
        <n v="3898.49"/>
        <n v="9863.94"/>
        <n v="19062.349999999999"/>
        <n v="216765.13"/>
        <n v="2954.13"/>
        <n v="1226.5899999999999"/>
        <n v="3258.8"/>
        <n v="9639.31"/>
        <n v="1209.54"/>
        <n v="290316.82"/>
        <n v="4932.3100000000004"/>
        <n v="781.52"/>
        <n v="30428.25"/>
        <n v="6802.56"/>
        <n v="28004.38"/>
        <n v="6692.45"/>
        <n v="9199.17"/>
        <n v="11586.61"/>
        <n v="846.05"/>
        <n v="784.24"/>
        <n v="31845.89"/>
        <n v="34390.75"/>
        <n v="3848.02"/>
        <n v="11729.41"/>
        <n v="6493.1"/>
        <n v="4283.3"/>
        <n v="4491.32"/>
        <n v="819.13"/>
        <n v="20838.64"/>
        <n v="603.25"/>
        <n v="1074.57"/>
        <n v="26282.62"/>
        <n v="15191.85"/>
        <n v="2606.75"/>
        <n v="1272.43"/>
        <n v="814.76"/>
        <n v="1410.95"/>
        <n v="9797.1"/>
        <n v="251385.09"/>
        <n v="4750.38"/>
        <n v="2883.14"/>
        <n v="428.84"/>
        <n v="10417.34"/>
        <n v="2130.23"/>
        <n v="165938.57"/>
        <n v="3037.56"/>
        <n v="48196.4"/>
        <n v="252329.54"/>
        <n v="204161.41"/>
        <n v="3131.16"/>
        <n v="3020.44"/>
        <n v="44783.55"/>
        <n v="11303.68"/>
        <n v="13637.02"/>
        <n v="199923.97"/>
        <n v="4390.26"/>
        <n v="34548.53"/>
        <n v="8840.0499999999993"/>
        <n v="1488.02"/>
        <n v="9660.74"/>
        <n v="1465.1"/>
        <n v="6848.44"/>
        <n v="10763.87"/>
        <n v="17179.080000000002"/>
        <n v="5383.56"/>
        <n v="1991.49"/>
        <n v="2728.72"/>
        <n v="418.1"/>
        <n v="1288.57"/>
        <n v="618.33000000000004"/>
        <n v="1189.8399999999999"/>
        <n v="820.24"/>
        <n v="33009.879999999997"/>
        <n v="57973.65"/>
        <n v="8131.28"/>
        <n v="194207.35999999999"/>
        <n v="734.56"/>
        <n v="424.16"/>
        <n v="3515.03"/>
        <n v="1552.75"/>
        <n v="4922.37"/>
        <n v="403.55"/>
        <n v="3289.99"/>
        <n v="2221.3200000000002"/>
        <n v="25215.55"/>
        <n v="44097.39"/>
        <n v="1860.43"/>
        <n v="193848.74"/>
        <n v="4095.3"/>
        <n v="329.52"/>
        <n v="4910.09"/>
        <n v="7547.27"/>
        <n v="13668.96"/>
        <n v="1201.8"/>
        <n v="3317.59"/>
        <n v="25207.09"/>
        <n v="2372.7800000000002"/>
        <n v="263884.27"/>
        <n v="1045.6600000000001"/>
        <n v="1252.46"/>
        <n v="3281.35"/>
        <n v="12904.96"/>
        <n v="3027.36"/>
        <n v="1592.79"/>
        <n v="643.64"/>
        <n v="3011.12"/>
        <n v="1534.5"/>
        <n v="16197.82"/>
        <n v="1095.3499999999999"/>
        <n v="30873.279999999999"/>
        <n v="425.51"/>
        <n v="7020.31"/>
        <n v="1712.98"/>
        <n v="2792.87"/>
        <n v="10013.76"/>
        <n v="35542.160000000003"/>
        <n v="5982.63"/>
        <n v="1520.98"/>
        <n v="560.35"/>
        <n v="3080.71"/>
        <n v="4374.5600000000004"/>
        <n v="7655.25"/>
        <n v="48469.39"/>
        <n v="11634.06"/>
        <n v="462.68"/>
        <n v="9008.2199999999993"/>
        <n v="25643.62"/>
        <n v="18907.3"/>
        <n v="53120.12"/>
        <n v="10121.31"/>
        <n v="292971.5"/>
        <n v="256909.64"/>
        <n v="2933.06"/>
        <n v="3449.31"/>
        <n v="199482.4"/>
        <n v="3457.93"/>
        <n v="1885.57"/>
        <n v="2041.86"/>
        <n v="3263.4"/>
        <n v="7157.56"/>
        <n v="2456.9499999999998"/>
        <n v="4936.41"/>
        <n v="3253.78"/>
        <n v="49673.85"/>
        <n v="4088.19"/>
        <n v="3494.1"/>
        <n v="10040.92"/>
        <n v="36235.22"/>
        <n v="228160.47"/>
        <n v="7632.97"/>
        <n v="415.88"/>
        <n v="2189.71"/>
        <n v="699.19"/>
        <n v="1667.92"/>
        <n v="8252.6200000000008"/>
        <n v="1507.97"/>
        <n v="212.54"/>
        <n v="22181.94"/>
        <n v="21037.62"/>
        <n v="278688.92"/>
        <n v="6486.88"/>
        <n v="2184.62"/>
        <n v="590.54"/>
        <n v="7165.23"/>
        <n v="6982.34"/>
        <n v="7687.15"/>
        <n v="1305.56"/>
        <n v="14009.79"/>
        <n v="858.32"/>
        <n v="9590.2999999999993"/>
        <n v="11330.5"/>
        <n v="912.52"/>
        <n v="40284.519999999997"/>
        <n v="2841.8"/>
        <n v="116183.42"/>
        <n v="3204.79"/>
        <n v="2531.89"/>
        <n v="828.1"/>
        <n v="36181.51"/>
        <n v="366.45"/>
        <n v="3211.32"/>
        <n v="1699.91"/>
        <n v="519.05999999999995"/>
        <n v="408.46"/>
        <n v="5244.48"/>
        <n v="376.75"/>
        <n v="4794.6099999999997"/>
        <n v="7408.36"/>
        <n v="408.06"/>
        <n v="49780.6"/>
        <n v="941.64"/>
        <n v="3376.03"/>
        <n v="1148.17"/>
        <n v="6286.71"/>
        <n v="10006.74"/>
        <n v="28471.06"/>
        <n v="1366.09"/>
        <n v="8398.4699999999993"/>
        <n v="45247.86"/>
        <n v="4358.22"/>
        <n v="4479.7700000000004"/>
        <n v="232.53"/>
        <n v="255132.72"/>
        <n v="9215.9699999999993"/>
        <n v="3408.74"/>
        <n v="398.08"/>
        <n v="1279.6600000000001"/>
        <n v="38679.519999999997"/>
        <n v="7429.72"/>
        <n v="1162.74"/>
        <n v="10702.69"/>
        <n v="2248.64"/>
        <n v="49590.44"/>
        <n v="393.17"/>
        <n v="33547.03"/>
        <n v="9041.2199999999993"/>
        <n v="348.09"/>
        <n v="6820.2"/>
        <n v="1059.52"/>
        <n v="1747.72"/>
        <n v="1145.3800000000001"/>
        <n v="9580.39"/>
        <n v="197.85"/>
        <n v="2652.98"/>
        <n v="335919.97"/>
        <n v="1180.74"/>
        <n v="8529.14"/>
        <n v="7043.8"/>
        <n v="265579.65000000002"/>
        <n v="2753.84"/>
        <n v="15646.54"/>
        <n v="2345.66"/>
        <n v="62612.7"/>
        <n v="3550.26"/>
        <n v="1219.06"/>
        <n v="14687.39"/>
        <n v="11638.52"/>
        <n v="5070.66"/>
        <n v="30320.720000000001"/>
        <n v="19438.55"/>
        <n v="1371.11"/>
        <n v="20237.88"/>
        <n v="2457.4499999999998"/>
        <n v="29969.81"/>
        <n v="9401.93"/>
        <n v="8360.24"/>
        <n v="1614.65"/>
        <n v="22736.13"/>
        <n v="906.7"/>
        <n v="19343.759999999998"/>
        <n v="5015.38"/>
        <n v="4200.55"/>
        <n v="3495.01"/>
        <n v="1803.53"/>
        <n v="1269.02"/>
        <n v="35612"/>
        <n v="48171.12"/>
        <n v="5845.64"/>
        <n v="1624.58"/>
        <n v="825.68"/>
        <n v="9961.1200000000008"/>
        <n v="2624.01"/>
        <n v="7896.53"/>
        <n v="1484.46"/>
        <n v="5640.28"/>
        <n v="4786.91"/>
        <n v="454.34"/>
        <n v="1532.07"/>
        <n v="166.5"/>
        <n v="1267.5899999999999"/>
        <n v="3191.72"/>
        <n v="4644.74"/>
        <n v="5285.53"/>
        <n v="2584.15"/>
        <n v="929.84"/>
        <n v="8665.32"/>
        <n v="3187.44"/>
        <n v="3391.1"/>
        <n v="3425.94"/>
        <n v="172882.45"/>
        <n v="4125.46"/>
        <n v="2003.22"/>
        <n v="4121.43"/>
        <n v="30624.57"/>
        <n v="243832.8"/>
        <n v="690.23"/>
        <n v="25111.02"/>
        <n v="2991.45"/>
        <n v="986.47"/>
        <n v="3230.61"/>
        <n v="1181.1400000000001"/>
        <n v="5043"/>
        <n v="6312.47"/>
        <n v="11973.33"/>
        <n v="26431.439999999999"/>
        <n v="185858.31"/>
        <n v="63858.03"/>
        <n v="308935.58"/>
        <n v="8736.2800000000007"/>
        <n v="6630.98"/>
        <n v="2966.29"/>
        <n v="3530.56"/>
        <n v="6660.33"/>
        <n v="1001.79"/>
        <n v="921.32"/>
        <n v="753.63"/>
        <n v="14843.37"/>
        <n v="8651.49"/>
        <n v="1759.88"/>
        <n v="963.86"/>
        <n v="5886.86"/>
        <n v="1693.96"/>
        <n v="731.59"/>
        <n v="28528.67"/>
        <n v="4941.41"/>
        <n v="3181.68"/>
        <n v="1707.99"/>
        <n v="32999.01"/>
        <n v="12137.37"/>
        <n v="7855.56"/>
        <n v="34166.75"/>
        <n v="46337.39"/>
        <n v="9054.68"/>
        <n v="870.47"/>
        <n v="835.01"/>
        <n v="1672.14"/>
        <n v="1020.28"/>
        <n v="1184.27"/>
        <n v="48394.15"/>
        <n v="13211.39"/>
        <n v="14197.18"/>
        <n v="11539.64"/>
        <n v="6831.6"/>
        <n v="5505.21"/>
        <n v="3583.02"/>
        <n v="1672.34"/>
        <n v="4852.7299999999996"/>
        <n v="6263.08"/>
        <n v="33964.93"/>
        <n v="1385.02"/>
        <n v="7332.65"/>
        <n v="59225.72"/>
        <n v="7258.5"/>
        <n v="6272.78"/>
        <n v="23454.76"/>
        <n v="18446.919999999998"/>
        <n v="339764.2"/>
        <n v="1325.98"/>
        <n v="12186.9"/>
        <n v="9444.66"/>
        <n v="1581.62"/>
        <n v="7103.83"/>
        <n v="1063.3800000000001"/>
        <n v="198.14"/>
        <n v="204.09"/>
        <n v="5604.42"/>
        <n v="5230.82"/>
        <n v="20813.95"/>
        <n v="573.34"/>
        <n v="61431.13"/>
        <n v="1607.51"/>
        <n v="5550.24"/>
        <n v="1063.1400000000001"/>
        <n v="951.26"/>
        <n v="10555.6"/>
        <n v="6708.3"/>
        <n v="7408.94"/>
        <n v="378.82"/>
        <n v="1637.74"/>
        <n v="34894.51"/>
        <n v="1395.29"/>
        <n v="177133.36"/>
        <n v="60957.5"/>
        <n v="1003.46"/>
        <n v="110938.16"/>
        <n v="7063.92"/>
        <n v="5926.78"/>
        <n v="728.84"/>
        <n v="2227.23"/>
        <n v="47910.55"/>
        <n v="251453.24"/>
        <n v="3398.53"/>
        <n v="6667.59"/>
        <n v="21294.86"/>
        <n v="3119.02"/>
        <n v="5246.01"/>
        <n v="3542.25"/>
        <n v="575.15"/>
        <n v="5108.1000000000004"/>
        <n v="2187.48"/>
        <n v="8083.06"/>
        <n v="30834.36"/>
        <n v="861.32"/>
        <n v="17165.86"/>
        <n v="880.69"/>
        <n v="8608.0499999999993"/>
        <n v="52197.64"/>
        <n v="20398.22"/>
        <n v="940.88"/>
        <n v="1934.79"/>
        <n v="2804.66"/>
        <n v="6353.79"/>
        <n v="17903"/>
        <n v="2443.37"/>
        <n v="3322.85"/>
        <n v="1936.42"/>
        <n v="47676.76"/>
        <n v="829.65"/>
        <n v="2619.14"/>
        <n v="3686.71"/>
        <n v="10552.89"/>
        <n v="193726.04"/>
        <n v="450.19"/>
        <n v="7771.57"/>
        <n v="6007.3"/>
        <n v="8012.97"/>
        <n v="7257.17"/>
        <n v="1468.03"/>
        <n v="120034.3"/>
        <n v="14927.74"/>
        <n v="4762.7299999999996"/>
        <n v="6229.72"/>
        <n v="14031.38"/>
        <n v="2062.42"/>
        <n v="1608.96"/>
        <n v="58265.97"/>
        <n v="7180.94"/>
        <n v="5737.47"/>
        <n v="1675.8"/>
        <n v="9155.1"/>
        <n v="23917.78"/>
        <n v="183.68"/>
        <n v="1577.12"/>
        <n v="37665"/>
        <n v="50007.71"/>
        <n v="9059.1"/>
        <n v="9319.36"/>
        <n v="6481.97"/>
        <n v="6042.22"/>
        <n v="564.09"/>
        <n v="1754.71"/>
        <n v="338447.25"/>
        <n v="1502.73"/>
        <n v="6736.18"/>
        <n v="857.74"/>
        <n v="1625.9"/>
        <n v="2622.47"/>
        <n v="11767.96"/>
        <n v="9189.44"/>
        <n v="9666.42"/>
        <n v="65517.99"/>
        <n v="3075.16"/>
        <n v="32989.06"/>
        <n v="4834.3500000000004"/>
        <n v="3569.6"/>
        <n v="7513.25"/>
        <n v="3579.28"/>
        <n v="34112.519999999997"/>
        <n v="4432.71"/>
        <n v="14108.87"/>
        <n v="6357.1"/>
        <n v="13626.37"/>
        <n v="647.01"/>
        <n v="1541.69"/>
        <n v="3360.7"/>
        <n v="5831.49"/>
        <n v="3219.73"/>
        <n v="5888.21"/>
        <n v="2122.92"/>
        <n v="5456.56"/>
        <n v="5114.49"/>
        <n v="8112.7"/>
        <n v="6493.46"/>
        <n v="2548"/>
        <n v="6099.87"/>
        <n v="8634.1200000000008"/>
        <n v="2687.01"/>
        <n v="11918.91"/>
        <n v="1583.4"/>
        <n v="772.63"/>
        <n v="1426.03"/>
        <n v="5352.56"/>
        <n v="33573.78"/>
        <n v="7269.72"/>
        <n v="623.47"/>
        <n v="1077.0999999999999"/>
        <n v="8508.42"/>
        <n v="222.43"/>
        <n v="11047.31"/>
        <n v="5018.7"/>
        <n v="3030.89"/>
        <n v="3630.56"/>
        <n v="1017.86"/>
        <n v="4066.67"/>
        <n v="12475.12"/>
        <n v="233140.31"/>
        <n v="6694.6"/>
        <n v="1231.57"/>
        <n v="68233.09"/>
        <n v="2262.67"/>
        <n v="5291.7"/>
        <n v="59501.26"/>
        <n v="6897.84"/>
        <n v="13782.56"/>
        <n v="2367.69"/>
        <n v="7066.1"/>
        <n v="6699.03"/>
        <n v="2237.8000000000002"/>
        <n v="555.07000000000005"/>
        <n v="829.46"/>
        <n v="14855.77"/>
        <n v="4971.42"/>
        <n v="21462.82"/>
        <n v="205495.94"/>
        <n v="2468.1999999999998"/>
        <n v="24669.29"/>
        <n v="8287.6"/>
        <n v="2888"/>
        <n v="572.91999999999996"/>
        <n v="2201.91"/>
        <n v="11602.12"/>
        <n v="4860.1400000000003"/>
        <n v="27931.37"/>
        <n v="444.29"/>
        <n v="2187.54"/>
        <n v="3883.1"/>
        <n v="33182.19"/>
        <n v="3343.29"/>
        <n v="5103.1899999999996"/>
        <n v="1658.15"/>
        <n v="229864.61"/>
        <n v="1323.98"/>
        <n v="13196.79"/>
        <n v="2182.35"/>
        <n v="4309.57"/>
        <n v="324927.40000000002"/>
        <n v="690.3"/>
        <n v="30987.01"/>
        <n v="2008.12"/>
        <n v="1287.52"/>
        <n v="31504.38"/>
        <n v="1850.01"/>
        <n v="1741.65"/>
        <n v="3289.14"/>
        <n v="2746.74"/>
        <n v="6043.82"/>
        <n v="794.91"/>
        <n v="1179.79"/>
        <n v="892.66"/>
        <n v="1205.76"/>
        <n v="11749.61"/>
        <n v="2468.81"/>
        <n v="11467.46"/>
        <n v="13175.79"/>
        <n v="18259.66"/>
        <n v="8939.49"/>
        <n v="12358.96"/>
        <n v="2668.26"/>
        <n v="3087.4"/>
        <n v="6929.09"/>
        <n v="948.27"/>
        <n v="4980.4399999999996"/>
        <n v="2052.39"/>
        <n v="9411.81"/>
        <n v="5760.05"/>
        <n v="45542.559999999998"/>
        <n v="881.5"/>
        <n v="110882.74"/>
        <n v="8867.08"/>
        <n v="2222.7399999999998"/>
        <n v="4401.5200000000004"/>
        <n v="666.83"/>
        <n v="1334.1"/>
        <n v="1976.31"/>
        <n v="8312.2099999999991"/>
        <n v="4986.07"/>
        <n v="3379.15"/>
        <n v="2740.44"/>
        <n v="9848.89"/>
        <n v="394.49"/>
        <n v="2751.49"/>
        <n v="1164.83"/>
        <n v="3357.96"/>
        <n v="3599.87"/>
        <n v="2916.59"/>
        <n v="4673.2"/>
        <n v="26827.759999999998"/>
        <n v="2095.3200000000002"/>
        <n v="8179.63"/>
        <n v="8027.72"/>
        <n v="3108.97"/>
        <n v="26662.16"/>
        <n v="8085.01"/>
        <n v="1154.31"/>
        <n v="18100.3"/>
        <n v="218.54"/>
        <n v="2255.67"/>
        <n v="25813.96"/>
        <n v="21337.200000000001"/>
        <n v="1699.36"/>
        <n v="6092.95"/>
        <n v="3316.88"/>
        <n v="608.97"/>
        <n v="1152.5999999999999"/>
        <n v="180495.11"/>
        <n v="18042.47"/>
        <n v="1899.51"/>
        <n v="9193.91"/>
        <n v="1709.75"/>
        <n v="1997.59"/>
        <n v="5124.3"/>
        <n v="671.77"/>
        <n v="5818.66"/>
        <n v="125170.36"/>
        <n v="1651.1"/>
        <n v="3779.01"/>
        <n v="3208.54"/>
        <n v="3254.51"/>
        <n v="24967.73"/>
        <n v="3437.24"/>
        <n v="395.62"/>
        <n v="12930.34"/>
        <n v="28273.89"/>
        <n v="10118.08"/>
        <n v="3356.67"/>
        <n v="8679.91"/>
        <n v="26656.94"/>
        <n v="831.6"/>
        <n v="29235.759999999998"/>
        <n v="1214.58"/>
        <n v="1345.73"/>
        <n v="278325.90000000002"/>
        <n v="4509.3100000000004"/>
        <n v="7738.07"/>
        <n v="344.38"/>
        <n v="2265.86"/>
        <n v="4488.33"/>
        <n v="5176.0600000000004"/>
        <n v="1291.03"/>
        <n v="3385.68"/>
        <n v="3340.92"/>
        <n v="3254.82"/>
        <n v="54509"/>
        <n v="3335.56"/>
        <n v="2966.75"/>
        <n v="4596.26"/>
        <n v="1033.82"/>
        <n v="1086.77"/>
        <n v="13224.04"/>
        <n v="686.88"/>
        <n v="346.94"/>
        <n v="6641.52"/>
        <n v="27476.1"/>
        <n v="34051.410000000003"/>
        <n v="3129.72"/>
        <n v="4719.3599999999997"/>
        <n v="10210.4"/>
        <n v="32753.48"/>
        <n v="7553.12"/>
        <n v="4958.68"/>
        <n v="37749.760000000002"/>
        <n v="2222.0500000000002"/>
        <n v="41969.74"/>
        <n v="2111.7600000000002"/>
        <n v="7290.48"/>
        <n v="4406.79"/>
        <n v="4398.2"/>
        <n v="3436.77"/>
        <n v="4665.68"/>
        <n v="14176.04"/>
        <n v="6124.33"/>
        <n v="5453.02"/>
        <n v="255936.88"/>
        <n v="20784.759999999998"/>
        <n v="3701.86"/>
        <n v="7383.48"/>
        <n v="6879.8"/>
        <n v="8722.33"/>
        <n v="34010.89"/>
        <n v="7240.1"/>
        <n v="1821.64"/>
        <n v="934.67"/>
        <n v="10470.280000000001"/>
        <n v="2673.18"/>
        <n v="2560.17"/>
        <n v="1196.95"/>
        <n v="6673.93"/>
        <n v="47729.120000000003"/>
        <n v="4011.18"/>
        <n v="5761.43"/>
        <n v="7936.6"/>
        <n v="3193.72"/>
        <n v="28199.07"/>
        <n v="2842.75"/>
        <n v="2944.6"/>
        <n v="6468.55"/>
        <n v="35677.94"/>
        <n v="9126.0499999999993"/>
        <n v="4837.1400000000003"/>
        <n v="1253"/>
        <n v="4288.9799999999996"/>
        <n v="12587.34"/>
        <n v="46350.38"/>
        <n v="67094"/>
        <n v="2933.93"/>
        <n v="4130.91"/>
        <n v="873.41"/>
        <n v="7820.66"/>
        <n v="2559.88"/>
        <n v="3483.72"/>
        <n v="390.83"/>
        <n v="701.76"/>
        <n v="269262.95"/>
        <n v="19355.849999999999"/>
        <n v="599.86"/>
        <n v="53425.35"/>
        <n v="1885.67"/>
        <n v="15205.56"/>
        <n v="3055.83"/>
        <n v="777.63"/>
        <n v="9864.8700000000008"/>
        <n v="1567.74"/>
        <n v="1275.33"/>
        <n v="40048.03"/>
        <n v="1461.46"/>
        <n v="17501.8"/>
        <n v="38714.5"/>
        <n v="2498.4"/>
        <n v="279829.48"/>
        <n v="13462.37"/>
        <n v="12255.98"/>
        <n v="211926.59"/>
        <n v="8241.7000000000007"/>
        <n v="387.91"/>
        <n v="2720.56"/>
        <n v="2244.6999999999998"/>
        <n v="15289.71"/>
        <n v="6130.38"/>
        <n v="13516.02"/>
        <n v="4744.99"/>
        <n v="5779.66"/>
        <n v="4091.42"/>
        <n v="772.33"/>
        <n v="844.78"/>
        <n v="585.63"/>
        <n v="3097.92"/>
        <n v="1439.38"/>
        <n v="60844.54"/>
        <n v="46647.4"/>
        <n v="2664.03"/>
        <n v="6195.76"/>
        <n v="115257.89"/>
        <n v="108611.37"/>
        <n v="25663.54"/>
        <n v="26919.32"/>
        <n v="6024.29"/>
        <n v="42072.38"/>
        <n v="180273.18"/>
        <n v="1287.18"/>
        <n v="52219.94"/>
        <n v="9359.99"/>
        <n v="32970.9"/>
        <n v="3970.8"/>
        <n v="1304.1199999999999"/>
        <n v="7180.88"/>
        <n v="4735.47"/>
        <n v="34798.58"/>
        <n v="11183.72"/>
        <n v="766.9"/>
        <n v="788.94"/>
        <n v="42019.4"/>
        <n v="5440.08"/>
        <n v="5652.33"/>
        <n v="216737.17"/>
        <n v="365.11"/>
        <n v="3523.5"/>
        <n v="3236.45"/>
        <n v="7984.6"/>
        <n v="2473.0100000000002"/>
        <n v="3946.39"/>
        <n v="699.99"/>
        <n v="7248.61"/>
        <n v="316239.99"/>
        <n v="1105.33"/>
        <n v="22948.42"/>
        <n v="840.71"/>
        <n v="705.69"/>
        <n v="2675.92"/>
        <n v="14645.43"/>
        <n v="8557.52"/>
        <n v="253206.74"/>
        <n v="4087.66"/>
        <n v="11999.2"/>
        <n v="216.78"/>
        <n v="6340.23"/>
        <n v="2192.61"/>
        <n v="4720.3100000000004"/>
        <n v="4744.12"/>
        <n v="59949.9"/>
        <n v="43373.43"/>
        <n v="275900.31"/>
        <n v="164630.39999999999"/>
        <n v="1898.99"/>
        <n v="774.44"/>
        <n v="4442.7700000000004"/>
        <n v="2422.9499999999998"/>
        <n v="2073.1999999999998"/>
        <n v="7383.85"/>
        <n v="589.89"/>
        <n v="8882.4599999999991"/>
        <n v="2474.71"/>
        <n v="3670.81"/>
        <n v="2396.86"/>
        <n v="13852.35"/>
        <n v="18679.57"/>
        <n v="53114.33"/>
        <n v="1585.48"/>
        <n v="10168.799999999999"/>
        <n v="619.23"/>
        <n v="1586.97"/>
        <n v="26344.87"/>
        <n v="5796.54"/>
        <n v="5032.38"/>
        <n v="1410.94"/>
        <n v="17086.95"/>
        <n v="2234.41"/>
        <n v="2832.9"/>
        <n v="2628.73"/>
        <n v="5039.58"/>
        <n v="2193"/>
        <n v="4322.53"/>
        <n v="1322.7"/>
        <n v="1325.58"/>
        <n v="174531.89"/>
        <n v="46868.33"/>
        <n v="2094.14"/>
        <n v="4838.99"/>
        <n v="10863.87"/>
        <n v="3372.88"/>
        <n v="4836.92"/>
        <n v="7406.86"/>
        <n v="8679.7099999999991"/>
        <n v="6804.18"/>
        <n v="2061.44"/>
        <n v="166947.6"/>
        <n v="220139.05"/>
        <n v="3675.29"/>
        <n v="415.93"/>
        <n v="1980.6"/>
        <n v="2457.15"/>
        <n v="1616.01"/>
        <n v="2647.9"/>
        <n v="36819.94"/>
        <n v="26777.3"/>
        <n v="33813.589999999997"/>
        <n v="6024.7"/>
        <n v="2439.77"/>
        <n v="1404.19"/>
        <n v="739.91"/>
        <n v="1736.68"/>
        <n v="19026.23"/>
        <n v="30697.34"/>
        <n v="4296.71"/>
        <n v="11081.6"/>
        <n v="602.48"/>
        <n v="25861.09"/>
        <n v="5658.37"/>
        <n v="15934.27"/>
        <n v="2676.78"/>
        <n v="1523.18"/>
        <n v="5797.75"/>
        <n v="52471.42"/>
        <n v="4948.91"/>
        <n v="419.92"/>
        <n v="8800.52"/>
        <n v="2281.48"/>
        <n v="1416.91"/>
        <n v="11790.1"/>
        <n v="101369.26"/>
        <n v="10255.1"/>
        <n v="838.12"/>
        <n v="1727.16"/>
        <n v="1781.73"/>
        <n v="764.76"/>
        <n v="3147.43"/>
        <n v="35258.480000000003"/>
        <n v="438.45"/>
        <n v="6194.12"/>
        <n v="42569.06"/>
        <n v="6537.04"/>
        <n v="14765.44"/>
        <n v="5047.2"/>
        <n v="238386.65"/>
        <n v="1882.78"/>
        <n v="28616.92"/>
        <n v="4680.0600000000004"/>
        <n v="4948.28"/>
        <n v="625.54999999999995"/>
        <n v="31145.17"/>
        <n v="5424.34"/>
        <n v="11412.44"/>
        <n v="1666.17"/>
        <n v="6734.04"/>
        <n v="6433.57"/>
        <n v="3144.91"/>
        <n v="1534.02"/>
        <n v="2530.0100000000002"/>
        <n v="1082.52"/>
        <n v="3680.38"/>
        <n v="14487.98"/>
        <n v="6930.32"/>
        <n v="35749.550000000003"/>
        <n v="31894.11"/>
        <n v="11824.55"/>
        <n v="5545.03"/>
        <n v="1809.31"/>
        <n v="42668.77"/>
        <n v="20190.78"/>
        <n v="7942.82"/>
        <n v="52584.12"/>
        <n v="1348.28"/>
        <n v="4484.38"/>
        <n v="553.51"/>
        <n v="3275.84"/>
        <n v="1737.1"/>
        <n v="45740.37"/>
        <n v="5157.1400000000003"/>
        <n v="7226.57"/>
        <n v="3390.6"/>
        <n v="125929.22"/>
        <n v="871.95"/>
        <n v="6015.2"/>
        <n v="1548.68"/>
        <n v="2890.46"/>
        <n v="37157.31"/>
        <n v="35703.199999999997"/>
        <n v="10711.6"/>
        <n v="4016.95"/>
        <n v="9172.85"/>
        <n v="2713.34"/>
        <n v="2817.18"/>
        <n v="199173.36"/>
        <n v="1898.83"/>
        <n v="2135.87"/>
        <n v="2378.35"/>
        <n v="6242.5"/>
        <n v="3705.43"/>
        <n v="8229.0400000000009"/>
        <n v="4909.26"/>
        <n v="908.92"/>
        <n v="176085.66"/>
        <n v="12276.11"/>
        <n v="7167.44"/>
        <n v="4459.3"/>
        <n v="44117.72"/>
        <n v="11165.36"/>
        <n v="1304.71"/>
        <n v="20979.4"/>
        <n v="7750.49"/>
        <n v="2901.97"/>
        <n v="831.81"/>
        <n v="8578.6"/>
        <n v="4185.8500000000004"/>
        <n v="5366.84"/>
        <n v="28603.26"/>
        <n v="366.91"/>
        <n v="592.42999999999995"/>
        <n v="3729.6"/>
        <n v="48636.69"/>
        <n v="1237.52"/>
        <n v="5164.8"/>
        <n v="810.48"/>
        <n v="997.01"/>
        <n v="12570.08"/>
        <n v="25065.360000000001"/>
        <n v="929.24"/>
        <n v="731.93"/>
        <n v="3112.94"/>
        <n v="25595.33"/>
        <n v="33072.31"/>
        <n v="256522.44"/>
        <n v="3187.4"/>
        <n v="2561.9"/>
        <n v="33034.78"/>
        <n v="235474.21"/>
        <n v="11408.73"/>
        <n v="24136.880000000001"/>
        <n v="12264.36"/>
        <n v="8632.08"/>
        <n v="25082.09"/>
        <n v="2540.5100000000002"/>
        <n v="3104.52"/>
        <n v="199.82"/>
        <n v="9050.93"/>
        <n v="6269.12"/>
        <n v="5090.22"/>
        <n v="24715.86"/>
        <n v="29217.22"/>
        <n v="8981.4"/>
        <n v="1009.62"/>
        <n v="10530.7"/>
        <n v="3884.31"/>
        <n v="5680.82"/>
        <n v="12792.78"/>
        <n v="28558.2"/>
        <n v="1995.38"/>
        <n v="1814.06"/>
        <n v="3035.74"/>
        <n v="12521.68"/>
        <n v="1047.67"/>
        <n v="11566.37"/>
        <n v="3509.84"/>
        <n v="58061.66"/>
        <n v="416.47"/>
        <n v="849.39"/>
        <n v="3264.09"/>
        <n v="228.71"/>
        <n v="6652.19"/>
        <n v="57800.2"/>
        <n v="1442.08"/>
        <n v="1141.6600000000001"/>
        <n v="653.23"/>
        <n v="1461.44"/>
        <n v="10914.29"/>
        <n v="35424.980000000003"/>
        <n v="6715.78"/>
        <n v="30337.94"/>
        <n v="3179.67"/>
        <n v="5011.42"/>
        <n v="8094.4"/>
        <n v="40273.83"/>
        <n v="901.98"/>
        <n v="1301.4000000000001"/>
        <n v="825.8"/>
        <n v="126534.68"/>
        <n v="4979.1499999999996"/>
        <n v="4426.74"/>
        <n v="4791.88"/>
        <n v="125526.2"/>
        <n v="14502.65"/>
        <n v="624.42999999999995"/>
        <n v="1503.58"/>
        <n v="1142.6099999999999"/>
        <n v="8055.02"/>
        <n v="7106.11"/>
        <n v="106682.54"/>
        <n v="36511.35"/>
        <n v="1650.03"/>
        <n v="1300.6199999999999"/>
        <n v="196.57"/>
        <n v="13163.39"/>
        <n v="40576.720000000001"/>
        <n v="7874.85"/>
        <n v="2995.19"/>
        <n v="258362.56"/>
        <n v="1814.32"/>
        <n v="3209.48"/>
        <n v="25868.99"/>
        <n v="1904.95"/>
        <n v="2281.02"/>
        <n v="10561.25"/>
        <n v="5461.6"/>
        <n v="6995.64"/>
        <n v="741.55"/>
      </sharedItems>
    </cacheField>
    <cacheField name="Sales_Channel" numFmtId="0">
      <sharedItems count="3">
        <s v="Online"/>
        <s v="Marketplace"/>
        <s v="Store"/>
      </sharedItems>
    </cacheField>
    <cacheField name="Payment_Method" numFmtId="0">
      <sharedItems containsBlank="1"/>
    </cacheField>
    <cacheField name="Order_Status" numFmtId="0">
      <sharedItems/>
    </cacheField>
    <cacheField name="Salesperson" numFmtId="0">
      <sharedItems containsBlank="1" count="9">
        <s v="Arjun"/>
        <s v="Rahul"/>
        <s v="Priya"/>
        <s v="Sneha"/>
        <s v="Anil"/>
        <s v="Vikram"/>
        <s v="Meena"/>
        <s v="Kiran"/>
        <m/>
      </sharedItems>
    </cacheField>
    <cacheField name="Order_Status_Clean" numFmtId="0">
      <sharedItems/>
    </cacheField>
    <cacheField name="Sales_Channel_Clean" numFmtId="0">
      <sharedItems/>
    </cacheField>
    <cacheField name="Payment_Method_Clean" numFmtId="0">
      <sharedItems/>
    </cacheField>
    <cacheField name="Category_Clean" numFmtId="0">
      <sharedItems count="4">
        <s v="Accessories"/>
        <s v="Electronics"/>
        <s v="Furniture"/>
        <s v="Stationery"/>
      </sharedItems>
    </cacheField>
    <cacheField name="Quantity_Status" numFmtId="0">
      <sharedItems/>
    </cacheField>
    <cacheField name="Quantity_Review" numFmtId="0">
      <sharedItems/>
    </cacheField>
    <cacheField name="Discount_Status" numFmtId="0">
      <sharedItems/>
    </cacheField>
    <cacheField name="Gross_Sales" numFmtId="0">
      <sharedItems containsSemiMixedTypes="0" containsString="0" containsNumber="1" minValue="-3725.42" maxValue="900806"/>
    </cacheField>
    <cacheField name="Net_Sales" numFmtId="0">
      <sharedItems containsSemiMixedTypes="0" containsString="0" containsNumber="1" minValue="-2980.3360000000002" maxValue="855765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4">
  <r>
    <s v="ORD50001"/>
    <d v="2024-03-22T00:00:00"/>
    <s v="CUST1224"/>
    <s v="P012"/>
    <x v="0"/>
    <s v="Accessories"/>
    <x v="0"/>
    <x v="0"/>
    <n v="3"/>
    <n v="876.84"/>
    <n v="0.08"/>
    <x v="0"/>
    <x v="0"/>
    <s v="Debit Card"/>
    <s v="Returned"/>
    <x v="0"/>
    <s v="Returned"/>
    <s v="Online"/>
    <s v="Debit Card"/>
    <x v="0"/>
    <s v="VALID"/>
    <s v="NORMAL"/>
    <s v="Valid"/>
    <n v="2630.52"/>
    <n v="2420.0783999999999"/>
  </r>
  <r>
    <s v="ORD50002"/>
    <d v="2025-11-25T00:00:00"/>
    <s v="CUST1131"/>
    <s v="P011"/>
    <x v="1"/>
    <s v="Electronics"/>
    <x v="1"/>
    <x v="1"/>
    <n v="3"/>
    <n v="3174.6"/>
    <n v="0"/>
    <x v="1"/>
    <x v="0"/>
    <s v="Cash on Delivery"/>
    <s v="Cancelled"/>
    <x v="0"/>
    <s v="Cancelled"/>
    <s v="Online"/>
    <s v="Cash On Delivery"/>
    <x v="1"/>
    <s v="VALID"/>
    <s v="NORMAL"/>
    <s v="Valid"/>
    <n v="9523.7999999999993"/>
    <n v="9523.7999999999993"/>
  </r>
  <r>
    <s v="ORD50003"/>
    <d v="2025-01-02T00:00:00"/>
    <s v="CUST1060"/>
    <s v="P013"/>
    <x v="2"/>
    <s v="Furniture"/>
    <x v="0"/>
    <x v="2"/>
    <n v="3"/>
    <n v="1613.97"/>
    <n v="0.08"/>
    <x v="2"/>
    <x v="0"/>
    <s v="Cash on Delivery"/>
    <s v="Cancelled"/>
    <x v="1"/>
    <s v="Cancelled"/>
    <s v="Online"/>
    <s v="Cash On Delivery"/>
    <x v="2"/>
    <s v="VALID"/>
    <s v="NORMAL"/>
    <s v="Valid"/>
    <n v="4841.91"/>
    <n v="4454.5572000000002"/>
  </r>
  <r>
    <s v="ORD50004"/>
    <d v="2025-07-30T00:00:00"/>
    <s v="CUST1116"/>
    <s v="P003"/>
    <x v="3"/>
    <s v="Electronics"/>
    <x v="1"/>
    <x v="3"/>
    <n v="4"/>
    <n v="1935.56"/>
    <n v="0.05"/>
    <x v="3"/>
    <x v="1"/>
    <s v="Net Banking"/>
    <s v="Cancelled"/>
    <x v="2"/>
    <s v="Cancelled"/>
    <s v="Marketplace"/>
    <s v="Net Banking"/>
    <x v="1"/>
    <s v="VALID"/>
    <s v="NORMAL"/>
    <s v="Valid"/>
    <n v="7742.24"/>
    <n v="7355.1279999999997"/>
  </r>
  <r>
    <s v="ORD50005"/>
    <d v="2024-11-27T00:00:00"/>
    <s v="CUST1041"/>
    <s v="P008"/>
    <x v="4"/>
    <s v="Stationery"/>
    <x v="2"/>
    <x v="4"/>
    <n v="1"/>
    <n v="226.44"/>
    <n v="0.08"/>
    <x v="4"/>
    <x v="1"/>
    <s v="Credit Card"/>
    <s v="Returned"/>
    <x v="3"/>
    <s v="Returned"/>
    <s v="Marketplace"/>
    <s v="Credit Card"/>
    <x v="3"/>
    <s v="VALID"/>
    <s v="NORMAL"/>
    <s v="Valid"/>
    <n v="226.44"/>
    <n v="208.32479999999998"/>
  </r>
  <r>
    <s v="ORD50006"/>
    <d v="2024-10-24T00:00:00"/>
    <s v="CUST1121"/>
    <s v="P014"/>
    <x v="5"/>
    <s v="Electronics"/>
    <x v="2"/>
    <x v="5"/>
    <n v="1"/>
    <n v="2660.88"/>
    <n v="0.08"/>
    <x v="5"/>
    <x v="1"/>
    <s v="Debit Card"/>
    <s v="Completed"/>
    <x v="2"/>
    <s v="Completed"/>
    <s v="Marketplace"/>
    <s v="Debit Card"/>
    <x v="1"/>
    <s v="VALID"/>
    <s v="NORMAL"/>
    <s v="Valid"/>
    <n v="2660.88"/>
    <n v="2448.0096000000003"/>
  </r>
  <r>
    <s v="ORD50007"/>
    <d v="2025-05-29T00:00:00"/>
    <s v="CUST1217"/>
    <s v="P011"/>
    <x v="1"/>
    <s v="Electronics"/>
    <x v="1"/>
    <x v="6"/>
    <n v="3"/>
    <n v="3302.54"/>
    <n v="0.03"/>
    <x v="6"/>
    <x v="0"/>
    <s v="Net Banking"/>
    <s v="Cancelled"/>
    <x v="3"/>
    <s v="Cancelled"/>
    <s v="Online"/>
    <s v="Net Banking"/>
    <x v="1"/>
    <s v="VALID"/>
    <s v="NORMAL"/>
    <s v="Valid"/>
    <n v="9907.619999999999"/>
    <n v="9610.3913999999986"/>
  </r>
  <r>
    <s v="ORD50008"/>
    <d v="2026-01-03T00:00:00"/>
    <s v="CUST1166"/>
    <s v="P013"/>
    <x v="2"/>
    <s v="Furniture"/>
    <x v="2"/>
    <x v="5"/>
    <n v="5"/>
    <n v="1646.72"/>
    <n v="0.05"/>
    <x v="7"/>
    <x v="1"/>
    <s v="UPI"/>
    <s v="Cancelled"/>
    <x v="4"/>
    <s v="Cancelled"/>
    <s v="Marketplace"/>
    <s v="Upi"/>
    <x v="2"/>
    <s v="VALID"/>
    <s v="NORMAL"/>
    <s v="Valid"/>
    <n v="8233.6"/>
    <n v="7821.92"/>
  </r>
  <r>
    <s v="ORD50009"/>
    <d v="2025-12-27T00:00:00"/>
    <s v="CUST1184"/>
    <s v="P012"/>
    <x v="0"/>
    <s v="Accessories"/>
    <x v="1"/>
    <x v="7"/>
    <n v="4"/>
    <n v="888.18"/>
    <n v="0.08"/>
    <x v="8"/>
    <x v="2"/>
    <s v="Debit Card"/>
    <s v="Completed"/>
    <x v="4"/>
    <s v="Completed"/>
    <s v="Store"/>
    <s v="Debit Card"/>
    <x v="0"/>
    <s v="VALID"/>
    <s v="NORMAL"/>
    <s v="Valid"/>
    <n v="3552.72"/>
    <n v="3268.5023999999999"/>
  </r>
  <r>
    <s v="ORD50010"/>
    <d v="2024-05-07T00:00:00"/>
    <s v="CUST1223"/>
    <s v="P004"/>
    <x v="6"/>
    <s v="Electronics"/>
    <x v="3"/>
    <x v="8"/>
    <n v="3"/>
    <n v="12442.19"/>
    <n v="0.1"/>
    <x v="9"/>
    <x v="0"/>
    <s v="Net Banking"/>
    <s v="Completed"/>
    <x v="0"/>
    <s v="Completed"/>
    <s v="Online"/>
    <s v="Net Banking"/>
    <x v="1"/>
    <s v="VALID"/>
    <s v="NORMAL"/>
    <s v="Valid"/>
    <n v="37326.57"/>
    <n v="33593.913"/>
  </r>
  <r>
    <s v="ORD50011"/>
    <d v="2025-05-30T00:00:00"/>
    <s v="CUST1080"/>
    <s v="P009"/>
    <x v="7"/>
    <s v="Accessories"/>
    <x v="3"/>
    <x v="9"/>
    <n v="3"/>
    <n v="1664.88"/>
    <n v="0.15"/>
    <x v="10"/>
    <x v="2"/>
    <s v="Cash on Delivery"/>
    <s v="Completed"/>
    <x v="1"/>
    <s v="Completed"/>
    <s v="Store"/>
    <s v="Cash On Delivery"/>
    <x v="0"/>
    <s v="VALID"/>
    <s v="NORMAL"/>
    <s v="Valid"/>
    <n v="4994.6400000000003"/>
    <n v="4245.4440000000004"/>
  </r>
  <r>
    <s v="ORD50012"/>
    <d v="2025-01-07T00:00:00"/>
    <s v="CUST1223"/>
    <s v="P015"/>
    <x v="8"/>
    <s v="Accessories"/>
    <x v="1"/>
    <x v="1"/>
    <n v="1"/>
    <n v="650.53"/>
    <n v="0.03"/>
    <x v="11"/>
    <x v="1"/>
    <s v="Credit Card"/>
    <s v="Completed"/>
    <x v="0"/>
    <s v="Completed"/>
    <s v="Marketplace"/>
    <s v="Credit Card"/>
    <x v="0"/>
    <s v="VALID"/>
    <s v="NORMAL"/>
    <s v="Valid"/>
    <n v="650.53"/>
    <n v="631.01409999999998"/>
  </r>
  <r>
    <s v="ORD50013"/>
    <d v="2024-04-25T00:00:00"/>
    <s v="CUST1173"/>
    <s v="P009"/>
    <x v="7"/>
    <s v="Accessories"/>
    <x v="0"/>
    <x v="10"/>
    <n v="4"/>
    <n v="1773.04"/>
    <n v="0.2"/>
    <x v="12"/>
    <x v="1"/>
    <s v="Credit Card"/>
    <s v="Completed"/>
    <x v="1"/>
    <s v="Completed"/>
    <s v="Marketplace"/>
    <s v="Credit Card"/>
    <x v="0"/>
    <s v="VALID"/>
    <s v="NORMAL"/>
    <s v="Valid"/>
    <n v="7092.16"/>
    <n v="5673.7280000000001"/>
  </r>
  <r>
    <s v="ORD50014"/>
    <d v="2024-01-21T00:00:00"/>
    <s v="CUST1187"/>
    <s v="P002"/>
    <x v="9"/>
    <s v="Electronics"/>
    <x v="3"/>
    <x v="11"/>
    <n v="4"/>
    <n v="1192.68"/>
    <n v="0.15"/>
    <x v="13"/>
    <x v="1"/>
    <s v="Debit Card"/>
    <s v="Returned"/>
    <x v="2"/>
    <s v="Returned"/>
    <s v="Marketplace"/>
    <s v="Debit Card"/>
    <x v="1"/>
    <s v="VALID"/>
    <s v="NORMAL"/>
    <s v="Valid"/>
    <n v="4770.72"/>
    <n v="4055.1120000000001"/>
  </r>
  <r>
    <s v="ORD50015"/>
    <d v="2025-03-29T00:00:00"/>
    <s v="CUST1100"/>
    <s v="P011"/>
    <x v="1"/>
    <s v="Electronics"/>
    <x v="2"/>
    <x v="12"/>
    <n v="3"/>
    <n v="3098.37"/>
    <n v="0.03"/>
    <x v="14"/>
    <x v="2"/>
    <s v="Net Banking"/>
    <s v="Completed"/>
    <x v="5"/>
    <s v="Completed"/>
    <s v="Store"/>
    <s v="Net Banking"/>
    <x v="1"/>
    <s v="VALID"/>
    <s v="NORMAL"/>
    <s v="Valid"/>
    <n v="9295.11"/>
    <n v="9016.2566999999999"/>
  </r>
  <r>
    <s v="ORD50016"/>
    <d v="2024-03-20T00:00:00"/>
    <s v="CUST1129"/>
    <s v="P006"/>
    <x v="10"/>
    <s v="Furniture"/>
    <x v="3"/>
    <x v="8"/>
    <n v="2"/>
    <n v="7670.68"/>
    <n v="0.2"/>
    <x v="15"/>
    <x v="2"/>
    <s v="Credit Card"/>
    <s v="Cancelled"/>
    <x v="5"/>
    <s v="Cancelled"/>
    <s v="Store"/>
    <s v="Credit Card"/>
    <x v="2"/>
    <s v="VALID"/>
    <s v="NORMAL"/>
    <s v="Valid"/>
    <n v="15341.36"/>
    <n v="12273.088"/>
  </r>
  <r>
    <s v="ORD50017"/>
    <d v="2024-08-28T00:00:00"/>
    <s v="CUST1117"/>
    <s v="P012"/>
    <x v="0"/>
    <s v="Accessories"/>
    <x v="2"/>
    <x v="5"/>
    <n v="4"/>
    <n v="819.02"/>
    <n v="0.15"/>
    <x v="16"/>
    <x v="0"/>
    <s v="Debit Card"/>
    <s v="Returned"/>
    <x v="2"/>
    <s v="Returned"/>
    <s v="Online"/>
    <s v="Debit Card"/>
    <x v="0"/>
    <s v="VALID"/>
    <s v="NORMAL"/>
    <s v="Valid"/>
    <n v="3276.08"/>
    <n v="2784.6680000000001"/>
  </r>
  <r>
    <s v="ORD50018"/>
    <d v="2025-02-19T00:00:00"/>
    <s v="CUST1143"/>
    <s v="P011"/>
    <x v="1"/>
    <s v="Electronics"/>
    <x v="3"/>
    <x v="11"/>
    <n v="4"/>
    <n v="3240.56"/>
    <n v="0.05"/>
    <x v="17"/>
    <x v="2"/>
    <s v="Cash on Delivery"/>
    <s v="Completed"/>
    <x v="6"/>
    <s v="Completed"/>
    <s v="Store"/>
    <s v="Cash On Delivery"/>
    <x v="1"/>
    <s v="VALID"/>
    <s v="NORMAL"/>
    <s v="Valid"/>
    <n v="12962.24"/>
    <n v="12314.128000000001"/>
  </r>
  <r>
    <s v="ORD50019"/>
    <d v="2025-03-25T00:00:00"/>
    <s v="CUST1164"/>
    <s v="P011"/>
    <x v="1"/>
    <s v="Electronics"/>
    <x v="0"/>
    <x v="0"/>
    <n v="3"/>
    <n v="3243.06"/>
    <n v="0.05"/>
    <x v="18"/>
    <x v="2"/>
    <s v="Net Banking"/>
    <s v="Completed"/>
    <x v="6"/>
    <s v="Completed"/>
    <s v="Store"/>
    <s v="Net Banking"/>
    <x v="1"/>
    <s v="VALID"/>
    <s v="NORMAL"/>
    <s v="Valid"/>
    <n v="9729.18"/>
    <n v="9242.7209999999995"/>
  </r>
  <r>
    <s v="ORD50020"/>
    <d v="2025-01-14T00:00:00"/>
    <s v="CUST1172"/>
    <s v="P012"/>
    <x v="0"/>
    <s v="Accessories"/>
    <x v="3"/>
    <x v="11"/>
    <n v="1"/>
    <n v="826.86"/>
    <n v="0.08"/>
    <x v="19"/>
    <x v="1"/>
    <s v="UPI"/>
    <s v="Completed"/>
    <x v="7"/>
    <s v="Completed"/>
    <s v="Marketplace"/>
    <s v="Upi"/>
    <x v="0"/>
    <s v="VALID"/>
    <s v="NORMAL"/>
    <s v="Valid"/>
    <n v="826.86"/>
    <n v="760.71119999999996"/>
  </r>
  <r>
    <s v="ORD50021"/>
    <d v="2025-12-24T00:00:00"/>
    <s v="CUST1152"/>
    <s v="P003"/>
    <x v="3"/>
    <s v="Electronics"/>
    <x v="2"/>
    <x v="12"/>
    <n v="5"/>
    <n v="1755.9"/>
    <n v="0.2"/>
    <x v="20"/>
    <x v="2"/>
    <s v="Credit Card"/>
    <s v="Completed"/>
    <x v="2"/>
    <s v="Completed"/>
    <s v="Store"/>
    <s v="Credit Card"/>
    <x v="1"/>
    <s v="VALID"/>
    <s v="NORMAL"/>
    <s v="Valid"/>
    <n v="8779.5"/>
    <n v="7023.6"/>
  </r>
  <r>
    <s v="ORD50022"/>
    <d v="2026-05-24T00:00:00"/>
    <s v="CUST1072"/>
    <s v="P007"/>
    <x v="11"/>
    <s v="Stationery"/>
    <x v="2"/>
    <x v="13"/>
    <n v="3"/>
    <n v="419.96"/>
    <n v="0.15"/>
    <x v="21"/>
    <x v="1"/>
    <s v="Debit Card"/>
    <s v="Completed"/>
    <x v="5"/>
    <s v="Completed"/>
    <s v="Marketplace"/>
    <s v="Debit Card"/>
    <x v="3"/>
    <s v="VALID"/>
    <s v="NORMAL"/>
    <s v="Valid"/>
    <n v="1259.8799999999999"/>
    <n v="1070.8979999999999"/>
  </r>
  <r>
    <s v="ORD50023"/>
    <d v="2024-05-26T00:00:00"/>
    <s v="CUST1070"/>
    <s v="P009"/>
    <x v="7"/>
    <s v="Accessories"/>
    <x v="0"/>
    <x v="14"/>
    <n v="3"/>
    <n v="1751.49"/>
    <n v="0.15"/>
    <x v="22"/>
    <x v="2"/>
    <s v="Cash on Delivery"/>
    <s v="Completed"/>
    <x v="1"/>
    <s v="Completed"/>
    <s v="Store"/>
    <s v="Cash On Delivery"/>
    <x v="0"/>
    <s v="VALID"/>
    <s v="NORMAL"/>
    <s v="Valid"/>
    <n v="5254.47"/>
    <n v="4466.2995000000001"/>
  </r>
  <r>
    <s v="ORD50024"/>
    <d v="2024-01-20T00:00:00"/>
    <s v="CUST1079"/>
    <s v="P006"/>
    <x v="10"/>
    <s v="Furniture"/>
    <x v="1"/>
    <x v="7"/>
    <n v="1"/>
    <n v="6785.57"/>
    <n v="0.2"/>
    <x v="23"/>
    <x v="0"/>
    <s v="UPI"/>
    <s v="Completed"/>
    <x v="0"/>
    <s v="Completed"/>
    <s v="Online"/>
    <s v="Upi"/>
    <x v="2"/>
    <s v="VALID"/>
    <s v="NORMAL"/>
    <s v="Valid"/>
    <n v="6785.57"/>
    <n v="5428.4560000000001"/>
  </r>
  <r>
    <s v="ORD50025"/>
    <d v="2024-04-18T00:00:00"/>
    <s v="CUST1190"/>
    <s v="P005"/>
    <x v="12"/>
    <s v="Furniture"/>
    <x v="3"/>
    <x v="9"/>
    <n v="4"/>
    <n v="9908.34"/>
    <n v="0.15"/>
    <x v="24"/>
    <x v="0"/>
    <s v="Net Banking"/>
    <s v="Returned"/>
    <x v="5"/>
    <s v="Returned"/>
    <s v="Online"/>
    <s v="Net Banking"/>
    <x v="2"/>
    <s v="VALID"/>
    <s v="NORMAL"/>
    <s v="Valid"/>
    <n v="39633.360000000001"/>
    <n v="33688.356"/>
  </r>
  <r>
    <s v="ORD50026"/>
    <d v="2024-07-28T00:00:00"/>
    <s v="CUST1081"/>
    <s v="P004"/>
    <x v="6"/>
    <s v="Electronics"/>
    <x v="3"/>
    <x v="15"/>
    <n v="1"/>
    <n v="12241.84"/>
    <n v="0.08"/>
    <x v="25"/>
    <x v="2"/>
    <s v="Cash on Delivery"/>
    <s v="Returned"/>
    <x v="1"/>
    <s v="Returned"/>
    <s v="Store"/>
    <s v="Cash On Delivery"/>
    <x v="1"/>
    <s v="VALID"/>
    <s v="NORMAL"/>
    <s v="Valid"/>
    <n v="12241.84"/>
    <n v="11262.4928"/>
  </r>
  <r>
    <s v="ORD50027"/>
    <d v="2024-07-03T00:00:00"/>
    <s v="CUST1134"/>
    <s v="P015"/>
    <x v="8"/>
    <s v="Accessories"/>
    <x v="0"/>
    <x v="2"/>
    <n v="2"/>
    <n v="672.67"/>
    <n v="0.1"/>
    <x v="26"/>
    <x v="1"/>
    <s v="UPI"/>
    <s v="Completed"/>
    <x v="7"/>
    <s v="Completed"/>
    <s v="Marketplace"/>
    <s v="Upi"/>
    <x v="0"/>
    <s v="VALID"/>
    <s v="NORMAL"/>
    <s v="Valid"/>
    <n v="1345.34"/>
    <n v="1210.806"/>
  </r>
  <r>
    <s v="ORD50028"/>
    <d v="2024-02-10T00:00:00"/>
    <s v="CUST1024"/>
    <s v="P005"/>
    <x v="12"/>
    <s v="Furniture"/>
    <x v="2"/>
    <x v="12"/>
    <n v="5"/>
    <n v="10095.35"/>
    <n v="0.2"/>
    <x v="27"/>
    <x v="1"/>
    <s v="Cash on Delivery"/>
    <s v="Completed"/>
    <x v="5"/>
    <s v="Completed"/>
    <s v="Marketplace"/>
    <s v="Cash On Delivery"/>
    <x v="2"/>
    <s v="VALID"/>
    <s v="NORMAL"/>
    <s v="Valid"/>
    <n v="50476.75"/>
    <n v="40381.4"/>
  </r>
  <r>
    <s v="ORD50029"/>
    <d v="2024-04-15T00:00:00"/>
    <s v="CUST1201"/>
    <s v="P008"/>
    <x v="4"/>
    <s v="Stationery"/>
    <x v="2"/>
    <x v="13"/>
    <n v="2"/>
    <n v="225.69"/>
    <n v="0"/>
    <x v="28"/>
    <x v="2"/>
    <s v="Cash on Delivery"/>
    <s v="Completed"/>
    <x v="0"/>
    <s v="Completed"/>
    <s v="Store"/>
    <s v="Cash On Delivery"/>
    <x v="3"/>
    <s v="VALID"/>
    <s v="NORMAL"/>
    <s v="Valid"/>
    <n v="451.38"/>
    <n v="451.38"/>
  </r>
  <r>
    <s v="ORD50030"/>
    <d v="2025-11-12T00:00:00"/>
    <s v="CUST1009"/>
    <s v="P006"/>
    <x v="10"/>
    <s v="Furniture"/>
    <x v="2"/>
    <x v="5"/>
    <n v="1"/>
    <n v="6901.6"/>
    <n v="0.2"/>
    <x v="29"/>
    <x v="0"/>
    <s v="Cash on Delivery"/>
    <s v="Returned"/>
    <x v="2"/>
    <s v="Returned"/>
    <s v="Online"/>
    <s v="Cash On Delivery"/>
    <x v="2"/>
    <s v="VALID"/>
    <s v="NORMAL"/>
    <s v="Valid"/>
    <n v="6901.6"/>
    <n v="5521.2800000000007"/>
  </r>
  <r>
    <s v="ORD50031"/>
    <d v="2025-11-12T00:00:00"/>
    <m/>
    <s v="P003"/>
    <x v="3"/>
    <s v="Electronics"/>
    <x v="2"/>
    <x v="13"/>
    <n v="3"/>
    <n v="1712.57"/>
    <n v="0.15"/>
    <x v="30"/>
    <x v="0"/>
    <s v="Cash on Delivery"/>
    <s v="Cancelled"/>
    <x v="1"/>
    <s v="Cancelled"/>
    <s v="Online"/>
    <s v="Cash On Delivery"/>
    <x v="1"/>
    <s v="VALID"/>
    <s v="NORMAL"/>
    <s v="Valid"/>
    <n v="5137.71"/>
    <n v="4367.0535"/>
  </r>
  <r>
    <s v="ORD50032"/>
    <d v="2026-06-05T00:00:00"/>
    <m/>
    <s v="P008"/>
    <x v="4"/>
    <s v="Stationery"/>
    <x v="0"/>
    <x v="0"/>
    <n v="3"/>
    <n v="202.89"/>
    <n v="0.03"/>
    <x v="31"/>
    <x v="0"/>
    <s v="UPI"/>
    <s v="Completed"/>
    <x v="0"/>
    <s v="Completed"/>
    <s v="Online"/>
    <s v="Upi"/>
    <x v="3"/>
    <s v="VALID"/>
    <s v="NORMAL"/>
    <s v="Valid"/>
    <n v="608.66999999999996"/>
    <n v="590.40989999999999"/>
  </r>
  <r>
    <s v="ORD50033"/>
    <d v="2026-06-03T00:00:00"/>
    <s v="CUST1181"/>
    <s v="P002"/>
    <x v="9"/>
    <s v="Electronics"/>
    <x v="2"/>
    <x v="13"/>
    <n v="0"/>
    <n v="1215.57"/>
    <n v="0.2"/>
    <x v="32"/>
    <x v="0"/>
    <s v="Cash on Delivery"/>
    <s v="Cancelled"/>
    <x v="4"/>
    <s v="Cancelled"/>
    <s v="Online"/>
    <s v="Cash On Delivery"/>
    <x v="1"/>
    <s v="INVALID"/>
    <s v="NORMAL"/>
    <s v="Valid"/>
    <n v="0"/>
    <n v="0"/>
  </r>
  <r>
    <s v="ORD50034"/>
    <d v="2025-10-14T00:00:00"/>
    <s v="CUST1148"/>
    <s v="P002"/>
    <x v="9"/>
    <s v="Electronics"/>
    <x v="0"/>
    <x v="2"/>
    <n v="5"/>
    <n v="1127.76"/>
    <n v="0"/>
    <x v="33"/>
    <x v="0"/>
    <s v="Credit Card"/>
    <s v="Returned"/>
    <x v="1"/>
    <s v="Returned"/>
    <s v="Online"/>
    <s v="Credit Card"/>
    <x v="1"/>
    <s v="VALID"/>
    <s v="NORMAL"/>
    <s v="Valid"/>
    <n v="5638.8"/>
    <n v="5638.8"/>
  </r>
  <r>
    <s v="ORD50035"/>
    <d v="2024-04-30T00:00:00"/>
    <s v="CUST1249"/>
    <s v="P008"/>
    <x v="4"/>
    <s v="Stationery"/>
    <x v="0"/>
    <x v="2"/>
    <n v="4"/>
    <n v="212.48"/>
    <n v="0.05"/>
    <x v="34"/>
    <x v="1"/>
    <s v="Debit Card"/>
    <s v="Completed"/>
    <x v="7"/>
    <s v="Completed"/>
    <s v="Marketplace"/>
    <s v="Debit Card"/>
    <x v="3"/>
    <s v="VALID"/>
    <s v="NORMAL"/>
    <s v="Valid"/>
    <n v="849.92"/>
    <n v="807.42399999999998"/>
  </r>
  <r>
    <s v="ORD50036"/>
    <d v="2025-05-21T00:00:00"/>
    <s v="CUST1195"/>
    <s v="P003"/>
    <x v="3"/>
    <s v="Electronics"/>
    <x v="0"/>
    <x v="10"/>
    <n v="5"/>
    <n v="1696.42"/>
    <n v="0"/>
    <x v="35"/>
    <x v="0"/>
    <s v="Cash on Delivery"/>
    <s v="Completed"/>
    <x v="7"/>
    <s v="Completed"/>
    <s v="Online"/>
    <s v="Cash On Delivery"/>
    <x v="1"/>
    <s v="VALID"/>
    <s v="NORMAL"/>
    <s v="Valid"/>
    <n v="8482.1"/>
    <n v="8482.1"/>
  </r>
  <r>
    <s v="ORD50037"/>
    <d v="2024-06-14T00:00:00"/>
    <s v="CUST1122"/>
    <s v="P014"/>
    <x v="5"/>
    <s v="Electronics"/>
    <x v="0"/>
    <x v="2"/>
    <n v="5"/>
    <n v="2927.57"/>
    <n v="0.08"/>
    <x v="36"/>
    <x v="0"/>
    <s v="Net Banking"/>
    <s v="Completed"/>
    <x v="1"/>
    <s v="Completed"/>
    <s v="Online"/>
    <s v="Net Banking"/>
    <x v="1"/>
    <s v="VALID"/>
    <s v="NORMAL"/>
    <s v="Valid"/>
    <n v="14637.85"/>
    <n v="13466.822"/>
  </r>
  <r>
    <s v="ORD50038"/>
    <d v="2026-01-26T00:00:00"/>
    <s v="CUST1199"/>
    <s v="P004"/>
    <x v="6"/>
    <s v="Electronics"/>
    <x v="1"/>
    <x v="7"/>
    <n v="3"/>
    <n v="12561.54"/>
    <n v="0.03"/>
    <x v="37"/>
    <x v="1"/>
    <s v="Cash on Delivery"/>
    <s v="Cancelled"/>
    <x v="7"/>
    <s v="Cancelled"/>
    <s v="Marketplace"/>
    <s v="Cash On Delivery"/>
    <x v="1"/>
    <s v="VALID"/>
    <s v="NORMAL"/>
    <s v="Valid"/>
    <n v="37684.620000000003"/>
    <n v="36554.081400000003"/>
  </r>
  <r>
    <s v="ORD50039"/>
    <d v="2024-09-21T00:00:00"/>
    <s v="CUST1111"/>
    <s v="P007"/>
    <x v="11"/>
    <s v="Stationery"/>
    <x v="3"/>
    <x v="15"/>
    <n v="2"/>
    <n v="460.94"/>
    <n v="0.2"/>
    <x v="38"/>
    <x v="1"/>
    <s v="Credit Card"/>
    <s v="Completed"/>
    <x v="7"/>
    <s v="Completed"/>
    <s v="Marketplace"/>
    <s v="Credit Card"/>
    <x v="3"/>
    <s v="VALID"/>
    <s v="NORMAL"/>
    <s v="Valid"/>
    <n v="921.88"/>
    <n v="737.50400000000002"/>
  </r>
  <r>
    <s v="ORD50040"/>
    <d v="2024-08-14T00:00:00"/>
    <s v="CUST1250"/>
    <s v="P005"/>
    <x v="12"/>
    <s v="Furniture"/>
    <x v="3"/>
    <x v="11"/>
    <n v="5"/>
    <n v="9981.18"/>
    <n v="0.15"/>
    <x v="39"/>
    <x v="1"/>
    <s v="UPI"/>
    <s v="Completed"/>
    <x v="7"/>
    <s v="Completed"/>
    <s v="Marketplace"/>
    <s v="Upi"/>
    <x v="2"/>
    <s v="VALID"/>
    <s v="NORMAL"/>
    <s v="Valid"/>
    <n v="49905.9"/>
    <n v="42420.014999999999"/>
  </r>
  <r>
    <s v="ORD50041"/>
    <d v="2024-11-22T00:00:00"/>
    <s v="CUST1081"/>
    <s v="P003"/>
    <x v="3"/>
    <s v="Electronics"/>
    <x v="3"/>
    <x v="15"/>
    <n v="5"/>
    <n v="1697.44"/>
    <n v="0.05"/>
    <x v="40"/>
    <x v="1"/>
    <s v="Debit Card"/>
    <s v="Completed"/>
    <x v="2"/>
    <s v="Completed"/>
    <s v="Marketplace"/>
    <s v="Debit Card"/>
    <x v="1"/>
    <s v="VALID"/>
    <s v="NORMAL"/>
    <s v="Valid"/>
    <n v="8487.2000000000007"/>
    <n v="8062.8400000000011"/>
  </r>
  <r>
    <s v="ORD50042"/>
    <d v="2024-09-16T00:00:00"/>
    <s v="CUST1185"/>
    <s v="P009"/>
    <x v="7"/>
    <s v="Accessories"/>
    <x v="3"/>
    <x v="11"/>
    <n v="3"/>
    <n v="1662.09"/>
    <n v="0"/>
    <x v="41"/>
    <x v="0"/>
    <s v="UPI"/>
    <s v="Cancelled"/>
    <x v="4"/>
    <s v="Cancelled"/>
    <s v="Online"/>
    <s v="Upi"/>
    <x v="0"/>
    <s v="VALID"/>
    <s v="NORMAL"/>
    <s v="Valid"/>
    <n v="4986.2699999999995"/>
    <n v="4986.2699999999995"/>
  </r>
  <r>
    <s v="ORD50043"/>
    <d v="2025-01-26T00:00:00"/>
    <s v="CUST1103"/>
    <s v="P009"/>
    <x v="7"/>
    <s v="Accessories"/>
    <x v="0"/>
    <x v="2"/>
    <n v="4"/>
    <n v="1747.58"/>
    <n v="0.15"/>
    <x v="42"/>
    <x v="2"/>
    <s v="Net Banking"/>
    <s v="Returned"/>
    <x v="6"/>
    <s v="Returned"/>
    <s v="Store"/>
    <s v="Net Banking"/>
    <x v="0"/>
    <s v="VALID"/>
    <s v="NORMAL"/>
    <s v="Valid"/>
    <n v="6990.32"/>
    <n v="5941.7719999999999"/>
  </r>
  <r>
    <s v="ORD50044"/>
    <d v="2026-02-15T00:00:00"/>
    <s v="CUST1060"/>
    <s v="P009"/>
    <x v="7"/>
    <s v="Accessories"/>
    <x v="3"/>
    <x v="11"/>
    <n v="3"/>
    <n v="1724.18"/>
    <n v="0.03"/>
    <x v="43"/>
    <x v="2"/>
    <s v="Debit Card"/>
    <s v="Returned"/>
    <x v="3"/>
    <s v="Returned"/>
    <s v="Store"/>
    <s v="Debit Card"/>
    <x v="0"/>
    <s v="VALID"/>
    <s v="NORMAL"/>
    <s v="Valid"/>
    <n v="5172.54"/>
    <n v="5017.3638000000001"/>
  </r>
  <r>
    <s v="ORD50045"/>
    <d v="2024-09-14T00:00:00"/>
    <s v="CUST1137"/>
    <s v="P001"/>
    <x v="13"/>
    <s v="Electronics"/>
    <x v="3"/>
    <x v="11"/>
    <n v="2"/>
    <n v="60857.39"/>
    <n v="0.2"/>
    <x v="44"/>
    <x v="1"/>
    <s v="UPI"/>
    <s v="Completed"/>
    <x v="3"/>
    <s v="Completed"/>
    <s v="Marketplace"/>
    <s v="Upi"/>
    <x v="1"/>
    <s v="VALID"/>
    <s v="NORMAL"/>
    <s v="Valid"/>
    <n v="121714.78"/>
    <n v="97371.823999999993"/>
  </r>
  <r>
    <s v="ORD50046"/>
    <d v="2026-04-23T00:00:00"/>
    <s v="CUST1063"/>
    <s v="P011"/>
    <x v="1"/>
    <s v="Electronics"/>
    <x v="3"/>
    <x v="15"/>
    <n v="5"/>
    <n v="3406.16"/>
    <n v="0.15"/>
    <x v="45"/>
    <x v="0"/>
    <s v="Cash on Delivery"/>
    <s v="Completed"/>
    <x v="6"/>
    <s v="Completed"/>
    <s v="Online"/>
    <s v="Cash On Delivery"/>
    <x v="1"/>
    <s v="VALID"/>
    <s v="NORMAL"/>
    <s v="Valid"/>
    <n v="17030.8"/>
    <n v="14476.18"/>
  </r>
  <r>
    <s v="ORD50047"/>
    <d v="2025-07-26T00:00:00"/>
    <s v="CUST1035"/>
    <s v="P010"/>
    <x v="14"/>
    <s v="Electronics"/>
    <x v="0"/>
    <x v="10"/>
    <n v="4"/>
    <n v="2212.6999999999998"/>
    <n v="0.15"/>
    <x v="46"/>
    <x v="2"/>
    <s v="Cash on Delivery"/>
    <s v="Returned"/>
    <x v="6"/>
    <s v="Returned"/>
    <s v="Store"/>
    <s v="Cash On Delivery"/>
    <x v="1"/>
    <s v="VALID"/>
    <s v="NORMAL"/>
    <s v="Valid"/>
    <n v="8850.7999999999993"/>
    <n v="7523.1799999999994"/>
  </r>
  <r>
    <s v="ORD50048"/>
    <d v="2025-02-26T00:00:00"/>
    <s v="CUST1016"/>
    <s v="P012"/>
    <x v="0"/>
    <s v="Accessories"/>
    <x v="2"/>
    <x v="5"/>
    <n v="4"/>
    <n v="818.24"/>
    <n v="0.1"/>
    <x v="47"/>
    <x v="2"/>
    <s v="Debit Card"/>
    <s v="Completed"/>
    <x v="3"/>
    <s v="Completed"/>
    <s v="Store"/>
    <s v="Debit Card"/>
    <x v="0"/>
    <s v="VALID"/>
    <s v="NORMAL"/>
    <s v="Valid"/>
    <n v="3272.96"/>
    <n v="2945.6639999999998"/>
  </r>
  <r>
    <s v="ORD50049"/>
    <d v="2025-07-05T00:00:00"/>
    <s v="CUST1096"/>
    <s v="P004"/>
    <x v="6"/>
    <s v="Electronics"/>
    <x v="2"/>
    <x v="13"/>
    <n v="2"/>
    <n v="12154.99"/>
    <n v="0.08"/>
    <x v="48"/>
    <x v="2"/>
    <s v="UPI"/>
    <s v="Cancelled"/>
    <x v="2"/>
    <s v="Cancelled"/>
    <s v="Store"/>
    <s v="Upi"/>
    <x v="1"/>
    <s v="VALID"/>
    <s v="NORMAL"/>
    <s v="Valid"/>
    <n v="24309.98"/>
    <n v="22365.1816"/>
  </r>
  <r>
    <s v="ORD50050"/>
    <d v="2024-09-27T00:00:00"/>
    <s v="CUST1201"/>
    <s v="P012"/>
    <x v="0"/>
    <s v="Accessories"/>
    <x v="1"/>
    <x v="1"/>
    <n v="4"/>
    <n v="847.4"/>
    <n v="0.2"/>
    <x v="49"/>
    <x v="2"/>
    <s v="Debit Card"/>
    <s v="Returned"/>
    <x v="6"/>
    <s v="Returned"/>
    <s v="Store"/>
    <s v="Debit Card"/>
    <x v="0"/>
    <s v="VALID"/>
    <s v="NORMAL"/>
    <s v="Valid"/>
    <n v="3389.6"/>
    <n v="2711.68"/>
  </r>
  <r>
    <s v="ORD50051"/>
    <d v="2025-03-22T00:00:00"/>
    <s v="CUST1139"/>
    <s v="P010"/>
    <x v="14"/>
    <s v="Electronics"/>
    <x v="3"/>
    <x v="11"/>
    <n v="5"/>
    <n v="2246.79"/>
    <n v="0.08"/>
    <x v="50"/>
    <x v="0"/>
    <s v="UPI"/>
    <s v="Cancelled"/>
    <x v="4"/>
    <s v="Cancelled"/>
    <s v="Online"/>
    <s v="Upi"/>
    <x v="1"/>
    <s v="VALID"/>
    <s v="NORMAL"/>
    <s v="Valid"/>
    <n v="11233.95"/>
    <n v="10335.234"/>
  </r>
  <r>
    <s v="ORD50052"/>
    <d v="2024-07-03T00:00:00"/>
    <s v="CUST1248"/>
    <s v="P009"/>
    <x v="7"/>
    <s v="Accessories"/>
    <x v="0"/>
    <x v="14"/>
    <n v="3"/>
    <n v="1694.05"/>
    <n v="0.2"/>
    <x v="51"/>
    <x v="2"/>
    <s v="UPI"/>
    <s v="Completed"/>
    <x v="0"/>
    <s v="Completed"/>
    <s v="Store"/>
    <s v="Upi"/>
    <x v="0"/>
    <s v="VALID"/>
    <s v="NORMAL"/>
    <s v="Valid"/>
    <n v="5082.1499999999996"/>
    <n v="4065.72"/>
  </r>
  <r>
    <s v="ORD50053"/>
    <d v="2025-06-13T00:00:00"/>
    <s v="CUST1036"/>
    <s v="P002"/>
    <x v="9"/>
    <s v="Electronics"/>
    <x v="0"/>
    <x v="0"/>
    <n v="5"/>
    <n v="1288.1099999999999"/>
    <n v="0.15"/>
    <x v="52"/>
    <x v="1"/>
    <s v="Debit Card"/>
    <s v="Completed"/>
    <x v="3"/>
    <s v="Completed"/>
    <s v="Marketplace"/>
    <s v="Debit Card"/>
    <x v="1"/>
    <s v="VALID"/>
    <s v="NORMAL"/>
    <s v="Valid"/>
    <n v="6440.5499999999993"/>
    <n v="5474.4674999999997"/>
  </r>
  <r>
    <s v="ORD50054"/>
    <d v="2025-12-14T00:00:00"/>
    <s v="CUST1188"/>
    <s v="P015"/>
    <x v="8"/>
    <s v="Accessories"/>
    <x v="1"/>
    <x v="16"/>
    <n v="5"/>
    <n v="672.38"/>
    <n v="0.2"/>
    <x v="53"/>
    <x v="0"/>
    <s v="UPI"/>
    <s v="Completed"/>
    <x v="7"/>
    <s v="Completed"/>
    <s v="Online"/>
    <s v="Upi"/>
    <x v="0"/>
    <s v="VALID"/>
    <s v="NORMAL"/>
    <s v="Valid"/>
    <n v="3361.9"/>
    <n v="2689.52"/>
  </r>
  <r>
    <s v="ORD50055"/>
    <d v="2024-06-01T00:00:00"/>
    <s v="CUST1149"/>
    <s v="P003"/>
    <x v="3"/>
    <s v="Electronics"/>
    <x v="3"/>
    <x v="8"/>
    <n v="3"/>
    <n v="1790.2"/>
    <m/>
    <x v="54"/>
    <x v="2"/>
    <s v="Net Banking"/>
    <s v="Cancelled"/>
    <x v="5"/>
    <s v="Cancelled"/>
    <s v="Store"/>
    <s v="Net Banking"/>
    <x v="1"/>
    <s v="VALID"/>
    <s v="NORMAL"/>
    <s v="Valid"/>
    <n v="5370.6"/>
    <n v="5370.6"/>
  </r>
  <r>
    <s v="ORD50056"/>
    <d v="2025-12-29T00:00:00"/>
    <s v="CUST1220"/>
    <s v="P008"/>
    <x v="4"/>
    <s v="Stationery"/>
    <x v="2"/>
    <x v="5"/>
    <n v="2"/>
    <n v="235.18"/>
    <n v="0.1"/>
    <x v="55"/>
    <x v="1"/>
    <s v="UPI"/>
    <s v="Cancelled"/>
    <x v="4"/>
    <s v="Cancelled"/>
    <s v="Marketplace"/>
    <s v="Upi"/>
    <x v="3"/>
    <s v="VALID"/>
    <s v="NORMAL"/>
    <s v="Valid"/>
    <n v="470.36"/>
    <n v="423.32400000000001"/>
  </r>
  <r>
    <s v="ORD50057"/>
    <d v="2025-03-21T00:00:00"/>
    <s v="CUST1202"/>
    <s v="P010"/>
    <x v="14"/>
    <s v="Electronics"/>
    <x v="0"/>
    <x v="14"/>
    <n v="3"/>
    <n v="2260.27"/>
    <n v="0.2"/>
    <x v="56"/>
    <x v="2"/>
    <s v="Net Banking"/>
    <s v="Returned"/>
    <x v="6"/>
    <s v="Returned"/>
    <s v="Store"/>
    <s v="Net Banking"/>
    <x v="1"/>
    <s v="VALID"/>
    <s v="NORMAL"/>
    <s v="Valid"/>
    <n v="6780.8099999999995"/>
    <n v="5424.6479999999992"/>
  </r>
  <r>
    <s v="ORD50058"/>
    <d v="2025-11-26T00:00:00"/>
    <m/>
    <s v="P010"/>
    <x v="14"/>
    <s v="Electronics"/>
    <x v="2"/>
    <x v="5"/>
    <n v="4"/>
    <n v="2134.6799999999998"/>
    <n v="0.05"/>
    <x v="57"/>
    <x v="1"/>
    <m/>
    <s v="Completed"/>
    <x v="5"/>
    <s v="Completed"/>
    <s v="Marketplace"/>
    <s v=""/>
    <x v="1"/>
    <s v="VALID"/>
    <s v="NORMAL"/>
    <s v="Valid"/>
    <n v="8538.7199999999993"/>
    <n v="8111.7839999999997"/>
  </r>
  <r>
    <s v="ORD50059"/>
    <d v="2025-05-21T00:00:00"/>
    <s v="CUST1190"/>
    <s v="P007"/>
    <x v="11"/>
    <s v="Stationery"/>
    <x v="0"/>
    <x v="2"/>
    <n v="2"/>
    <n v="453.82"/>
    <n v="0"/>
    <x v="58"/>
    <x v="1"/>
    <s v="Credit Card"/>
    <s v="Cancelled"/>
    <x v="7"/>
    <s v="Cancelled"/>
    <s v="Marketplace"/>
    <s v="Credit Card"/>
    <x v="3"/>
    <s v="VALID"/>
    <s v="NORMAL"/>
    <s v="Valid"/>
    <n v="907.64"/>
    <n v="907.64"/>
  </r>
  <r>
    <s v="ORD50060"/>
    <d v="2025-03-13T00:00:00"/>
    <s v="CUST1221"/>
    <s v="P003"/>
    <x v="3"/>
    <s v="Electronics"/>
    <x v="2"/>
    <x v="4"/>
    <n v="-2"/>
    <n v="1862.71"/>
    <n v="0.2"/>
    <x v="59"/>
    <x v="2"/>
    <s v="UPI"/>
    <s v="Completed"/>
    <x v="6"/>
    <s v="Completed"/>
    <s v="Store"/>
    <s v="Upi"/>
    <x v="1"/>
    <s v="INVALID"/>
    <s v="NORMAL"/>
    <s v="Valid"/>
    <n v="-3725.42"/>
    <n v="-2980.3360000000002"/>
  </r>
  <r>
    <s v="ORD50061"/>
    <d v="2026-03-11T00:00:00"/>
    <s v="CUST1153"/>
    <s v="P010"/>
    <x v="14"/>
    <s v="Electronics"/>
    <x v="3"/>
    <x v="8"/>
    <n v="1"/>
    <n v="2265.5100000000002"/>
    <n v="0.08"/>
    <x v="60"/>
    <x v="0"/>
    <s v="UPI"/>
    <s v="Completed"/>
    <x v="0"/>
    <s v="Completed"/>
    <s v="Online"/>
    <s v="Upi"/>
    <x v="1"/>
    <s v="VALID"/>
    <s v="NORMAL"/>
    <s v="Valid"/>
    <n v="2265.5100000000002"/>
    <n v="2084.2692000000002"/>
  </r>
  <r>
    <s v="ORD50062"/>
    <d v="2026-01-22T00:00:00"/>
    <s v="CUST1004"/>
    <s v="P007"/>
    <x v="11"/>
    <s v="Stationery"/>
    <x v="2"/>
    <x v="13"/>
    <n v="5"/>
    <n v="445.85"/>
    <n v="0.08"/>
    <x v="61"/>
    <x v="2"/>
    <s v="Cash on Delivery"/>
    <s v="Cancelled"/>
    <x v="6"/>
    <s v="Cancelled"/>
    <s v="Store"/>
    <s v="Cash On Delivery"/>
    <x v="3"/>
    <s v="VALID"/>
    <s v="NORMAL"/>
    <s v="Valid"/>
    <n v="2229.25"/>
    <n v="2050.91"/>
  </r>
  <r>
    <s v="ORD50063"/>
    <d v="2025-05-11T00:00:00"/>
    <s v="CUST1229"/>
    <s v="P002"/>
    <x v="9"/>
    <s v="Electronics"/>
    <x v="2"/>
    <x v="4"/>
    <n v="5"/>
    <n v="1158.51"/>
    <n v="0"/>
    <x v="62"/>
    <x v="1"/>
    <s v="UPI"/>
    <s v="Completed"/>
    <x v="0"/>
    <s v="Completed"/>
    <s v="Marketplace"/>
    <s v="Upi"/>
    <x v="1"/>
    <s v="VALID"/>
    <s v="NORMAL"/>
    <s v="Valid"/>
    <n v="5792.55"/>
    <n v="5792.55"/>
  </r>
  <r>
    <s v="ORD50064"/>
    <d v="2026-06-30T00:00:00"/>
    <s v="CUST1177"/>
    <s v="P001"/>
    <x v="13"/>
    <s v="Electronics"/>
    <x v="0"/>
    <x v="2"/>
    <n v="1"/>
    <n v="60740.58"/>
    <n v="0.1"/>
    <x v="63"/>
    <x v="1"/>
    <s v="UPI"/>
    <s v="Completed"/>
    <x v="2"/>
    <s v="Completed"/>
    <s v="Marketplace"/>
    <s v="Upi"/>
    <x v="1"/>
    <s v="VALID"/>
    <s v="NORMAL"/>
    <s v="Valid"/>
    <n v="60740.58"/>
    <n v="54666.521999999997"/>
  </r>
  <r>
    <s v="ORD50065"/>
    <d v="2025-02-17T00:00:00"/>
    <s v="CUST1052"/>
    <s v="P003"/>
    <x v="3"/>
    <s v="Electronics"/>
    <x v="1"/>
    <x v="1"/>
    <n v="4"/>
    <n v="1918.26"/>
    <n v="0.15"/>
    <x v="64"/>
    <x v="2"/>
    <s v="Cash on Delivery"/>
    <s v="Completed"/>
    <x v="4"/>
    <s v="Completed"/>
    <s v="Store"/>
    <s v="Cash On Delivery"/>
    <x v="1"/>
    <s v="VALID"/>
    <s v="NORMAL"/>
    <s v="Valid"/>
    <n v="7673.04"/>
    <n v="6522.0839999999998"/>
  </r>
  <r>
    <s v="ORD50066"/>
    <d v="2024-01-05T00:00:00"/>
    <s v="CUST1251"/>
    <s v="P003"/>
    <x v="3"/>
    <s v="Electronics"/>
    <x v="3"/>
    <x v="11"/>
    <n v="5"/>
    <n v="1886.83"/>
    <n v="0.1"/>
    <x v="65"/>
    <x v="0"/>
    <s v="Cash on Delivery"/>
    <s v="Completed"/>
    <x v="4"/>
    <s v="Completed"/>
    <s v="Online"/>
    <s v="Cash On Delivery"/>
    <x v="1"/>
    <s v="VALID"/>
    <s v="NORMAL"/>
    <s v="Valid"/>
    <n v="9434.15"/>
    <n v="8490.7350000000006"/>
  </r>
  <r>
    <s v="ORD50067"/>
    <d v="2025-09-02T00:00:00"/>
    <s v="CUST1201"/>
    <s v="P013"/>
    <x v="2"/>
    <s v="Furniture"/>
    <x v="1"/>
    <x v="3"/>
    <n v="5"/>
    <n v="1650.72"/>
    <n v="0"/>
    <x v="66"/>
    <x v="1"/>
    <s v="Debit Card"/>
    <s v="Completed"/>
    <x v="3"/>
    <s v="Completed"/>
    <s v="Marketplace"/>
    <s v="Debit Card"/>
    <x v="2"/>
    <s v="VALID"/>
    <s v="NORMAL"/>
    <s v="Valid"/>
    <n v="8253.6"/>
    <n v="8253.6"/>
  </r>
  <r>
    <s v="ORD50068"/>
    <d v="2024-07-03T00:00:00"/>
    <s v="CUST1143"/>
    <s v="P002"/>
    <x v="9"/>
    <s v="Electronics"/>
    <x v="3"/>
    <x v="8"/>
    <n v="4"/>
    <n v="1247.08"/>
    <n v="0.08"/>
    <x v="67"/>
    <x v="0"/>
    <s v="Cash on Delivery"/>
    <s v="Completed"/>
    <x v="2"/>
    <s v="Completed"/>
    <s v="Online"/>
    <s v="Cash On Delivery"/>
    <x v="1"/>
    <s v="VALID"/>
    <s v="NORMAL"/>
    <s v="Valid"/>
    <n v="4988.32"/>
    <n v="4589.2543999999998"/>
  </r>
  <r>
    <s v="ORD50069"/>
    <d v="2026-01-11T00:00:00"/>
    <s v="CUST1071"/>
    <s v="P012"/>
    <x v="0"/>
    <s v="Accessories"/>
    <x v="3"/>
    <x v="16"/>
    <n v="1"/>
    <n v="878.55"/>
    <n v="0"/>
    <x v="68"/>
    <x v="1"/>
    <s v="Net Banking"/>
    <s v="Completed"/>
    <x v="7"/>
    <s v="Completed"/>
    <s v="Marketplace"/>
    <s v="Net Banking"/>
    <x v="0"/>
    <s v="VALID"/>
    <s v="NORMAL"/>
    <s v="Valid"/>
    <n v="878.55"/>
    <n v="878.55"/>
  </r>
  <r>
    <s v="ORD50070"/>
    <d v="2024-02-19T00:00:00"/>
    <s v="CUST1120"/>
    <s v="P002"/>
    <x v="9"/>
    <s v="Electronics"/>
    <x v="0"/>
    <x v="14"/>
    <n v="1"/>
    <n v="1273.76"/>
    <n v="0"/>
    <x v="69"/>
    <x v="2"/>
    <s v="UPI"/>
    <s v="Completed"/>
    <x v="4"/>
    <s v="Completed"/>
    <s v="Store"/>
    <s v="Upi"/>
    <x v="1"/>
    <s v="VALID"/>
    <s v="NORMAL"/>
    <s v="Valid"/>
    <n v="1273.76"/>
    <n v="1273.76"/>
  </r>
  <r>
    <s v="ORD50071"/>
    <d v="2025-12-03T00:00:00"/>
    <s v="CUST1120"/>
    <s v="P003"/>
    <x v="3"/>
    <s v="Electronics"/>
    <x v="2"/>
    <x v="13"/>
    <n v="5"/>
    <n v="1881.82"/>
    <n v="0.1"/>
    <x v="70"/>
    <x v="2"/>
    <s v="Cash on Delivery"/>
    <s v="Completed"/>
    <x v="8"/>
    <s v="Completed"/>
    <s v="Store"/>
    <s v="Cash On Delivery"/>
    <x v="1"/>
    <s v="VALID"/>
    <s v="NORMAL"/>
    <s v="Valid"/>
    <n v="9409.1"/>
    <n v="8468.19"/>
  </r>
  <r>
    <s v="ORD50072"/>
    <d v="2024-05-12T00:00:00"/>
    <s v="CUST1140"/>
    <s v="P004"/>
    <x v="6"/>
    <s v="Electronics"/>
    <x v="1"/>
    <x v="7"/>
    <n v="3"/>
    <n v="12656.03"/>
    <n v="0.05"/>
    <x v="71"/>
    <x v="0"/>
    <s v="Net Banking"/>
    <s v="Completed"/>
    <x v="5"/>
    <s v="Completed"/>
    <s v="Online"/>
    <s v="Net Banking"/>
    <x v="1"/>
    <s v="VALID"/>
    <s v="NORMAL"/>
    <s v="Valid"/>
    <n v="37968.090000000004"/>
    <n v="36069.685500000007"/>
  </r>
  <r>
    <s v="ORD50073"/>
    <d v="2024-05-24T00:00:00"/>
    <s v="CUST1106"/>
    <s v="P003"/>
    <x v="3"/>
    <s v="Electronics"/>
    <x v="2"/>
    <x v="5"/>
    <n v="3"/>
    <n v="1792.56"/>
    <n v="0.1"/>
    <x v="72"/>
    <x v="0"/>
    <s v="Cash on Delivery"/>
    <s v="Completed"/>
    <x v="5"/>
    <s v="Completed"/>
    <s v="Online"/>
    <s v="Cash On Delivery"/>
    <x v="1"/>
    <s v="VALID"/>
    <s v="NORMAL"/>
    <s v="Valid"/>
    <n v="5377.68"/>
    <n v="4839.9120000000003"/>
  </r>
  <r>
    <s v="ORD50074"/>
    <d v="2024-09-10T00:00:00"/>
    <s v="CUST1105"/>
    <s v="P002"/>
    <x v="9"/>
    <s v="Electronics"/>
    <x v="2"/>
    <x v="12"/>
    <n v="4"/>
    <n v="1221.31"/>
    <n v="0.05"/>
    <x v="73"/>
    <x v="1"/>
    <s v="Debit Card"/>
    <s v="Completed"/>
    <x v="3"/>
    <s v="Completed"/>
    <s v="Marketplace"/>
    <s v="Debit Card"/>
    <x v="1"/>
    <s v="VALID"/>
    <s v="NORMAL"/>
    <s v="Valid"/>
    <n v="4885.24"/>
    <n v="4640.9780000000001"/>
  </r>
  <r>
    <s v="ORD50075"/>
    <d v="2026-02-05T00:00:00"/>
    <s v="CUST1083"/>
    <s v="P004"/>
    <x v="6"/>
    <s v="Electronics"/>
    <x v="1"/>
    <x v="1"/>
    <n v="3"/>
    <n v="11572.12"/>
    <n v="0.1"/>
    <x v="74"/>
    <x v="2"/>
    <s v="Debit Card"/>
    <s v="Completed"/>
    <x v="2"/>
    <s v="Completed"/>
    <s v="Store"/>
    <s v="Debit Card"/>
    <x v="1"/>
    <s v="VALID"/>
    <s v="NORMAL"/>
    <s v="Valid"/>
    <n v="34716.36"/>
    <n v="31244.724000000002"/>
  </r>
  <r>
    <s v="ORD50076"/>
    <d v="2024-07-24T00:00:00"/>
    <s v="CUST1143"/>
    <s v="P002"/>
    <x v="9"/>
    <s v="Electronics"/>
    <x v="0"/>
    <x v="14"/>
    <n v="2"/>
    <n v="1238.78"/>
    <n v="0.08"/>
    <x v="75"/>
    <x v="2"/>
    <s v="Net Banking"/>
    <s v="Completed"/>
    <x v="1"/>
    <s v="Completed"/>
    <s v="Store"/>
    <s v="Net Banking"/>
    <x v="1"/>
    <s v="VALID"/>
    <s v="NORMAL"/>
    <s v="Valid"/>
    <n v="2477.56"/>
    <n v="2279.3552"/>
  </r>
  <r>
    <s v="ORD50077"/>
    <d v="2024-08-12T00:00:00"/>
    <s v="CUST1113"/>
    <s v="P012"/>
    <x v="0"/>
    <s v="Accessories"/>
    <x v="2"/>
    <x v="12"/>
    <n v="3"/>
    <n v="867.14"/>
    <n v="0.03"/>
    <x v="76"/>
    <x v="2"/>
    <s v="Cash on Delivery"/>
    <s v="Completed"/>
    <x v="6"/>
    <s v="Completed"/>
    <s v="Store"/>
    <s v="Cash On Delivery"/>
    <x v="0"/>
    <s v="VALID"/>
    <s v="NORMAL"/>
    <s v="Valid"/>
    <n v="2601.42"/>
    <n v="2523.3774000000003"/>
  </r>
  <r>
    <s v="ORD50078"/>
    <d v="2025-11-02T00:00:00"/>
    <s v="CUST1191"/>
    <s v="P009"/>
    <x v="7"/>
    <s v="Accessories"/>
    <x v="1"/>
    <x v="16"/>
    <n v="1"/>
    <n v="1801.05"/>
    <n v="0.2"/>
    <x v="77"/>
    <x v="0"/>
    <s v="Net Banking"/>
    <s v="Completed"/>
    <x v="1"/>
    <s v="Completed"/>
    <s v="Online"/>
    <s v="Net Banking"/>
    <x v="0"/>
    <s v="VALID"/>
    <s v="NORMAL"/>
    <s v="Valid"/>
    <n v="1801.05"/>
    <n v="1440.84"/>
  </r>
  <r>
    <s v="ORD50079"/>
    <d v="2025-04-18T00:00:00"/>
    <s v="CUST1031"/>
    <s v="P013"/>
    <x v="2"/>
    <s v="Furniture"/>
    <x v="2"/>
    <x v="4"/>
    <n v="3"/>
    <n v="1490.45"/>
    <n v="0"/>
    <x v="78"/>
    <x v="1"/>
    <s v="Cash on Delivery"/>
    <s v="Completed"/>
    <x v="4"/>
    <s v="Completed"/>
    <s v="Marketplace"/>
    <s v="Cash On Delivery"/>
    <x v="2"/>
    <s v="VALID"/>
    <s v="NORMAL"/>
    <s v="Valid"/>
    <n v="4471.3500000000004"/>
    <n v="4471.3500000000004"/>
  </r>
  <r>
    <s v="ORD50080"/>
    <d v="2024-09-12T00:00:00"/>
    <s v="CUST1018"/>
    <s v="P009"/>
    <x v="7"/>
    <s v="Accessories"/>
    <x v="2"/>
    <x v="12"/>
    <n v="3"/>
    <n v="1746.4"/>
    <n v="0.03"/>
    <x v="79"/>
    <x v="1"/>
    <s v="UPI"/>
    <s v="Completed"/>
    <x v="6"/>
    <s v="Completed"/>
    <s v="Marketplace"/>
    <s v="Upi"/>
    <x v="0"/>
    <s v="VALID"/>
    <s v="NORMAL"/>
    <s v="Valid"/>
    <n v="5239.2000000000007"/>
    <n v="5082.0240000000003"/>
  </r>
  <r>
    <s v="ORD50081"/>
    <d v="2025-10-06T00:00:00"/>
    <s v="CUST1040"/>
    <s v="P013"/>
    <x v="2"/>
    <s v="Furniture"/>
    <x v="2"/>
    <x v="12"/>
    <n v="2"/>
    <n v="1625.82"/>
    <n v="0.1"/>
    <x v="80"/>
    <x v="0"/>
    <s v="Debit Card"/>
    <s v="Completed"/>
    <x v="7"/>
    <s v="Completed"/>
    <s v="Online"/>
    <s v="Debit Card"/>
    <x v="2"/>
    <s v="VALID"/>
    <s v="NORMAL"/>
    <s v="Valid"/>
    <n v="3251.64"/>
    <n v="2926.4759999999997"/>
  </r>
  <r>
    <s v="ORD50082"/>
    <d v="2026-05-24T00:00:00"/>
    <m/>
    <s v="P002"/>
    <x v="9"/>
    <s v="Electronics"/>
    <x v="1"/>
    <x v="7"/>
    <n v="3"/>
    <n v="1163.7"/>
    <n v="0.15"/>
    <x v="81"/>
    <x v="0"/>
    <s v="Net Banking"/>
    <s v="Cancelled"/>
    <x v="3"/>
    <s v="Cancelled"/>
    <s v="Online"/>
    <s v="Net Banking"/>
    <x v="1"/>
    <s v="VALID"/>
    <s v="NORMAL"/>
    <s v="Valid"/>
    <n v="3491.1000000000004"/>
    <n v="2967.4350000000004"/>
  </r>
  <r>
    <s v="ORD50083"/>
    <d v="2026-04-24T00:00:00"/>
    <s v="CUST1055"/>
    <s v="P010"/>
    <x v="14"/>
    <s v="Electronics"/>
    <x v="2"/>
    <x v="13"/>
    <n v="1"/>
    <n v="2208.83"/>
    <n v="0.1"/>
    <x v="82"/>
    <x v="0"/>
    <s v="Net Banking"/>
    <s v="Completed"/>
    <x v="3"/>
    <s v="Completed"/>
    <s v="Online"/>
    <s v="Net Banking"/>
    <x v="1"/>
    <s v="VALID"/>
    <s v="NORMAL"/>
    <s v="Valid"/>
    <n v="2208.83"/>
    <n v="1987.9469999999999"/>
  </r>
  <r>
    <s v="ORD50084"/>
    <d v="2026-02-01T00:00:00"/>
    <s v="CUST1209"/>
    <s v="P014"/>
    <x v="5"/>
    <s v="Electronics"/>
    <x v="1"/>
    <x v="3"/>
    <n v="5"/>
    <n v="2951.9"/>
    <n v="0.08"/>
    <x v="83"/>
    <x v="2"/>
    <s v="UPI"/>
    <s v="Completed"/>
    <x v="3"/>
    <s v="Completed"/>
    <s v="Store"/>
    <s v="Upi"/>
    <x v="1"/>
    <s v="VALID"/>
    <s v="NORMAL"/>
    <s v="Valid"/>
    <n v="14759.5"/>
    <n v="13578.74"/>
  </r>
  <r>
    <s v="ORD50085"/>
    <d v="2026-02-07T00:00:00"/>
    <s v="CUST1197"/>
    <s v="P006"/>
    <x v="10"/>
    <s v="Furniture"/>
    <x v="2"/>
    <x v="13"/>
    <n v="1"/>
    <n v="7123.71"/>
    <n v="0.15"/>
    <x v="84"/>
    <x v="2"/>
    <m/>
    <s v="Completed"/>
    <x v="1"/>
    <s v="Completed"/>
    <s v="Store"/>
    <s v=""/>
    <x v="2"/>
    <s v="VALID"/>
    <s v="NORMAL"/>
    <s v="Valid"/>
    <n v="7123.71"/>
    <n v="6055.1535000000003"/>
  </r>
  <r>
    <s v="ORD50086"/>
    <d v="2024-06-14T00:00:00"/>
    <s v="CUST1051"/>
    <s v="P004"/>
    <x v="6"/>
    <s v="Electronics"/>
    <x v="1"/>
    <x v="1"/>
    <n v="5"/>
    <n v="11965.7"/>
    <n v="0"/>
    <x v="85"/>
    <x v="0"/>
    <m/>
    <s v="Returned"/>
    <x v="7"/>
    <s v="Returned"/>
    <s v="Online"/>
    <s v=""/>
    <x v="1"/>
    <s v="VALID"/>
    <s v="NORMAL"/>
    <s v="Valid"/>
    <n v="59828.5"/>
    <n v="59828.5"/>
  </r>
  <r>
    <s v="ORD50087"/>
    <d v="2025-10-21T00:00:00"/>
    <s v="CUST1064"/>
    <s v="P008"/>
    <x v="4"/>
    <s v="Stationery"/>
    <x v="3"/>
    <x v="15"/>
    <n v="1"/>
    <n v="232.09"/>
    <n v="0.03"/>
    <x v="86"/>
    <x v="2"/>
    <s v="Debit Card"/>
    <s v="Completed"/>
    <x v="3"/>
    <s v="Completed"/>
    <s v="Store"/>
    <s v="Debit Card"/>
    <x v="3"/>
    <s v="VALID"/>
    <s v="NORMAL"/>
    <s v="Valid"/>
    <n v="232.09"/>
    <n v="225.12729999999999"/>
  </r>
  <r>
    <s v="ORD50088"/>
    <d v="2025-09-03T00:00:00"/>
    <s v="CUST1194"/>
    <s v="P012"/>
    <x v="0"/>
    <s v="Accessories"/>
    <x v="1"/>
    <x v="7"/>
    <n v="4"/>
    <n v="831.86"/>
    <n v="0"/>
    <x v="87"/>
    <x v="1"/>
    <s v="Credit Card"/>
    <s v="Returned"/>
    <x v="6"/>
    <s v="Returned"/>
    <s v="Marketplace"/>
    <s v="Credit Card"/>
    <x v="0"/>
    <s v="VALID"/>
    <s v="NORMAL"/>
    <s v="Valid"/>
    <n v="3327.44"/>
    <n v="3327.44"/>
  </r>
  <r>
    <s v="ORD50089"/>
    <d v="2024-10-28T00:00:00"/>
    <s v="CUST1222"/>
    <s v="P008"/>
    <x v="4"/>
    <s v="Stationery"/>
    <x v="0"/>
    <x v="10"/>
    <n v="4"/>
    <n v="220.17"/>
    <n v="0.1"/>
    <x v="88"/>
    <x v="1"/>
    <s v="Credit Card"/>
    <s v="Completed"/>
    <x v="4"/>
    <s v="Completed"/>
    <s v="Marketplace"/>
    <s v="Credit Card"/>
    <x v="3"/>
    <s v="VALID"/>
    <s v="NORMAL"/>
    <s v="Valid"/>
    <n v="880.68"/>
    <n v="792.61199999999997"/>
  </r>
  <r>
    <s v="ORD50090"/>
    <d v="2026-02-14T00:00:00"/>
    <m/>
    <s v="P006"/>
    <x v="10"/>
    <s v="Furniture"/>
    <x v="2"/>
    <x v="5"/>
    <n v="3"/>
    <n v="7236.19"/>
    <n v="0.08"/>
    <x v="89"/>
    <x v="0"/>
    <s v="Credit Card"/>
    <s v="Returned"/>
    <x v="5"/>
    <s v="Returned"/>
    <s v="Online"/>
    <s v="Credit Card"/>
    <x v="2"/>
    <s v="VALID"/>
    <s v="NORMAL"/>
    <s v="Valid"/>
    <n v="21708.57"/>
    <n v="19971.884399999999"/>
  </r>
  <r>
    <s v="ORD50091"/>
    <d v="2025-07-27T00:00:00"/>
    <s v="CUST1089"/>
    <s v="P010"/>
    <x v="14"/>
    <s v="Electronics"/>
    <x v="2"/>
    <x v="13"/>
    <n v="1"/>
    <n v="2091.44"/>
    <n v="0"/>
    <x v="90"/>
    <x v="0"/>
    <s v="Net Banking"/>
    <s v="Returned"/>
    <x v="0"/>
    <s v="Returned"/>
    <s v="Online"/>
    <s v="Net Banking"/>
    <x v="1"/>
    <s v="VALID"/>
    <s v="NORMAL"/>
    <s v="Valid"/>
    <n v="2091.44"/>
    <n v="2091.44"/>
  </r>
  <r>
    <s v="ORD50092"/>
    <d v="2025-02-12T00:00:00"/>
    <s v="CUST1109"/>
    <s v="P007"/>
    <x v="11"/>
    <s v="Stationery"/>
    <x v="2"/>
    <x v="13"/>
    <n v="1"/>
    <n v="414.53"/>
    <n v="0.1"/>
    <x v="91"/>
    <x v="0"/>
    <s v="Net Banking"/>
    <s v="Completed"/>
    <x v="0"/>
    <s v="Completed"/>
    <s v="Online"/>
    <s v="Net Banking"/>
    <x v="3"/>
    <s v="VALID"/>
    <s v="NORMAL"/>
    <s v="Valid"/>
    <n v="414.53"/>
    <n v="373.077"/>
  </r>
  <r>
    <s v="ORD50093"/>
    <d v="2025-10-12T00:00:00"/>
    <s v="CUST1125"/>
    <s v="P015"/>
    <x v="8"/>
    <s v="Accessories"/>
    <x v="1"/>
    <x v="7"/>
    <n v="4"/>
    <n v="729.28"/>
    <n v="0.2"/>
    <x v="92"/>
    <x v="1"/>
    <s v="Debit Card"/>
    <s v="Cancelled"/>
    <x v="1"/>
    <s v="Cancelled"/>
    <s v="Marketplace"/>
    <s v="Debit Card"/>
    <x v="0"/>
    <s v="VALID"/>
    <s v="NORMAL"/>
    <s v="Valid"/>
    <n v="2917.12"/>
    <n v="2333.6959999999999"/>
  </r>
  <r>
    <s v="ORD50094"/>
    <d v="2026-05-28T00:00:00"/>
    <s v="CUST1132"/>
    <s v="P010"/>
    <x v="14"/>
    <s v="Electronics"/>
    <x v="1"/>
    <x v="7"/>
    <n v="3"/>
    <n v="2064.16"/>
    <n v="0.2"/>
    <x v="93"/>
    <x v="1"/>
    <s v="Debit Card"/>
    <s v="Completed"/>
    <x v="7"/>
    <s v="Completed"/>
    <s v="Marketplace"/>
    <s v="Debit Card"/>
    <x v="1"/>
    <s v="VALID"/>
    <s v="NORMAL"/>
    <s v="Valid"/>
    <n v="6192.48"/>
    <n v="4953.9839999999995"/>
  </r>
  <r>
    <s v="ORD50095"/>
    <d v="2026-05-26T00:00:00"/>
    <s v="CUST1256"/>
    <s v="P010"/>
    <x v="14"/>
    <s v="Electronics"/>
    <x v="2"/>
    <x v="4"/>
    <n v="5"/>
    <n v="2125.46"/>
    <n v="0"/>
    <x v="94"/>
    <x v="1"/>
    <s v="Cash on Delivery"/>
    <s v="Cancelled"/>
    <x v="0"/>
    <s v="Cancelled"/>
    <s v="Marketplace"/>
    <s v="Cash On Delivery"/>
    <x v="1"/>
    <s v="VALID"/>
    <s v="NORMAL"/>
    <s v="Valid"/>
    <n v="10627.3"/>
    <n v="10627.3"/>
  </r>
  <r>
    <s v="ORD50096"/>
    <d v="2024-11-12T00:00:00"/>
    <s v="CUST1251"/>
    <s v="P001"/>
    <x v="13"/>
    <s v="Electronics"/>
    <x v="3"/>
    <x v="9"/>
    <n v="2"/>
    <n v="67884.37"/>
    <n v="0"/>
    <x v="95"/>
    <x v="1"/>
    <s v="Cash on Delivery"/>
    <s v="Returned"/>
    <x v="3"/>
    <s v="Returned"/>
    <s v="Marketplace"/>
    <s v="Cash On Delivery"/>
    <x v="1"/>
    <s v="VALID"/>
    <s v="NORMAL"/>
    <s v="Valid"/>
    <n v="135768.74"/>
    <n v="135768.74"/>
  </r>
  <r>
    <s v="ORD50097"/>
    <d v="2024-10-23T00:00:00"/>
    <s v="CUST1207"/>
    <s v="P015"/>
    <x v="8"/>
    <s v="Accessories"/>
    <x v="3"/>
    <x v="11"/>
    <n v="3"/>
    <n v="653.5"/>
    <n v="0"/>
    <x v="96"/>
    <x v="2"/>
    <s v="Debit Card"/>
    <s v="Cancelled"/>
    <x v="1"/>
    <s v="Cancelled"/>
    <s v="Store"/>
    <s v="Debit Card"/>
    <x v="0"/>
    <s v="VALID"/>
    <s v="NORMAL"/>
    <s v="Valid"/>
    <n v="1960.5"/>
    <n v="1960.5"/>
  </r>
  <r>
    <s v="ORD50098"/>
    <d v="2026-04-23T00:00:00"/>
    <s v="CUST1248"/>
    <s v="P007"/>
    <x v="11"/>
    <s v="Stationery"/>
    <x v="1"/>
    <x v="6"/>
    <n v="2"/>
    <n v="440.83"/>
    <n v="0"/>
    <x v="97"/>
    <x v="2"/>
    <s v="UPI"/>
    <s v="Returned"/>
    <x v="0"/>
    <s v="Returned"/>
    <s v="Store"/>
    <s v="Upi"/>
    <x v="3"/>
    <s v="VALID"/>
    <s v="NORMAL"/>
    <s v="Valid"/>
    <n v="881.66"/>
    <n v="881.66"/>
  </r>
  <r>
    <s v="ORD50099"/>
    <d v="2025-11-26T00:00:00"/>
    <s v="CUST1226"/>
    <s v="P011"/>
    <x v="1"/>
    <s v="Electronics"/>
    <x v="0"/>
    <x v="10"/>
    <n v="4"/>
    <n v="3322.59"/>
    <n v="0"/>
    <x v="98"/>
    <x v="1"/>
    <s v="Credit Card"/>
    <s v="Completed"/>
    <x v="5"/>
    <s v="Completed"/>
    <s v="Marketplace"/>
    <s v="Credit Card"/>
    <x v="1"/>
    <s v="VALID"/>
    <s v="NORMAL"/>
    <s v="Valid"/>
    <n v="13290.36"/>
    <n v="13290.36"/>
  </r>
  <r>
    <s v="ORD50100"/>
    <d v="2024-08-01T00:00:00"/>
    <s v="CUST1248"/>
    <s v="P002"/>
    <x v="9"/>
    <s v="Electronics"/>
    <x v="0"/>
    <x v="14"/>
    <n v="2"/>
    <n v="1104.8599999999999"/>
    <n v="0.2"/>
    <x v="99"/>
    <x v="0"/>
    <s v="Net Banking"/>
    <s v="Completed"/>
    <x v="4"/>
    <s v="Completed"/>
    <s v="Online"/>
    <s v="Net Banking"/>
    <x v="1"/>
    <s v="VALID"/>
    <s v="NORMAL"/>
    <s v="Valid"/>
    <n v="2209.7199999999998"/>
    <n v="1767.7759999999998"/>
  </r>
  <r>
    <s v="ORD50101"/>
    <d v="2025-11-23T00:00:00"/>
    <s v="CUST1175"/>
    <s v="P007"/>
    <x v="11"/>
    <s v="Stationery"/>
    <x v="0"/>
    <x v="10"/>
    <n v="5"/>
    <n v="431.11"/>
    <n v="0.1"/>
    <x v="100"/>
    <x v="1"/>
    <s v="Debit Card"/>
    <s v="Completed"/>
    <x v="6"/>
    <s v="Completed"/>
    <s v="Marketplace"/>
    <s v="Debit Card"/>
    <x v="3"/>
    <s v="VALID"/>
    <s v="NORMAL"/>
    <s v="Valid"/>
    <n v="2155.5500000000002"/>
    <n v="1939.9950000000001"/>
  </r>
  <r>
    <s v="ORD50102"/>
    <d v="2026-02-17T00:00:00"/>
    <s v="CUST1030"/>
    <s v="P014"/>
    <x v="5"/>
    <s v="Electronics"/>
    <x v="2"/>
    <x v="13"/>
    <n v="4"/>
    <n v="2753.83"/>
    <n v="0.1"/>
    <x v="101"/>
    <x v="2"/>
    <s v="Cash on Delivery"/>
    <s v="Returned"/>
    <x v="2"/>
    <s v="Returned"/>
    <s v="Store"/>
    <s v="Cash On Delivery"/>
    <x v="1"/>
    <s v="VALID"/>
    <s v="NORMAL"/>
    <s v="Valid"/>
    <n v="11015.32"/>
    <n v="9913.7880000000005"/>
  </r>
  <r>
    <s v="ORD50103"/>
    <d v="2025-09-11T00:00:00"/>
    <s v="CUST1187"/>
    <s v="P002"/>
    <x v="9"/>
    <s v="Electronics"/>
    <x v="0"/>
    <x v="14"/>
    <n v="2"/>
    <n v="1259.03"/>
    <n v="0.08"/>
    <x v="102"/>
    <x v="1"/>
    <s v="Net Banking"/>
    <s v="Completed"/>
    <x v="6"/>
    <s v="Completed"/>
    <s v="Marketplace"/>
    <s v="Net Banking"/>
    <x v="1"/>
    <s v="VALID"/>
    <s v="NORMAL"/>
    <s v="Valid"/>
    <n v="2518.06"/>
    <n v="2316.6152000000002"/>
  </r>
  <r>
    <s v="ORD50104"/>
    <d v="2025-01-07T00:00:00"/>
    <s v="CUST1223"/>
    <s v="P009"/>
    <x v="7"/>
    <s v="Accessories"/>
    <x v="3"/>
    <x v="8"/>
    <n v="1"/>
    <n v="1943.3"/>
    <n v="0.1"/>
    <x v="103"/>
    <x v="1"/>
    <s v="Debit Card"/>
    <s v="Completed"/>
    <x v="3"/>
    <s v="Completed"/>
    <s v="Marketplace"/>
    <s v="Debit Card"/>
    <x v="0"/>
    <s v="VALID"/>
    <s v="NORMAL"/>
    <s v="Valid"/>
    <n v="1943.3"/>
    <n v="1748.97"/>
  </r>
  <r>
    <s v="ORD50105"/>
    <d v="2025-03-28T00:00:00"/>
    <s v="CUST1035"/>
    <s v="P014"/>
    <x v="5"/>
    <s v="Electronics"/>
    <x v="3"/>
    <x v="11"/>
    <n v="3"/>
    <n v="2739.69"/>
    <n v="0.05"/>
    <x v="104"/>
    <x v="0"/>
    <s v="Credit Card"/>
    <s v="Completed"/>
    <x v="7"/>
    <s v="Completed"/>
    <s v="Online"/>
    <s v="Credit Card"/>
    <x v="1"/>
    <s v="VALID"/>
    <s v="NORMAL"/>
    <s v="Valid"/>
    <n v="8219.07"/>
    <n v="7808.1165000000001"/>
  </r>
  <r>
    <s v="ORD50106"/>
    <d v="2024-01-17T00:00:00"/>
    <s v="CUST1117"/>
    <s v="P005"/>
    <x v="12"/>
    <s v="Furniture"/>
    <x v="2"/>
    <x v="13"/>
    <n v="5"/>
    <n v="9261.7999999999993"/>
    <n v="0.1"/>
    <x v="105"/>
    <x v="1"/>
    <s v="Cash on Delivery"/>
    <s v="Returned"/>
    <x v="6"/>
    <s v="Returned"/>
    <s v="Marketplace"/>
    <s v="Cash On Delivery"/>
    <x v="2"/>
    <s v="VALID"/>
    <s v="NORMAL"/>
    <s v="Valid"/>
    <n v="46309"/>
    <n v="41678.1"/>
  </r>
  <r>
    <s v="ORD50107"/>
    <d v="2025-04-03T00:00:00"/>
    <s v="CUST1234"/>
    <s v="P009"/>
    <x v="7"/>
    <s v="Accessories"/>
    <x v="1"/>
    <x v="7"/>
    <n v="2"/>
    <n v="1723.71"/>
    <n v="0.05"/>
    <x v="106"/>
    <x v="0"/>
    <s v="Cash on Delivery"/>
    <s v="Returned"/>
    <x v="1"/>
    <s v="Returned"/>
    <s v="Online"/>
    <s v="Cash On Delivery"/>
    <x v="0"/>
    <s v="VALID"/>
    <s v="NORMAL"/>
    <s v="Valid"/>
    <n v="3447.42"/>
    <n v="3275.049"/>
  </r>
  <r>
    <s v="ORD50108"/>
    <d v="2025-04-27T00:00:00"/>
    <s v="CUST1007"/>
    <s v="P015"/>
    <x v="8"/>
    <s v="Accessories"/>
    <x v="0"/>
    <x v="10"/>
    <n v="2"/>
    <n v="717.19"/>
    <n v="0.1"/>
    <x v="107"/>
    <x v="1"/>
    <s v="Credit Card"/>
    <s v="Completed"/>
    <x v="1"/>
    <s v="Completed"/>
    <s v="Marketplace"/>
    <s v="Credit Card"/>
    <x v="0"/>
    <s v="VALID"/>
    <s v="NORMAL"/>
    <s v="Valid"/>
    <n v="1434.38"/>
    <n v="1290.942"/>
  </r>
  <r>
    <s v="ORD50109"/>
    <d v="2024-06-10T00:00:00"/>
    <s v="CUST1074"/>
    <s v="P003"/>
    <x v="3"/>
    <s v="Electronics"/>
    <x v="2"/>
    <x v="13"/>
    <n v="5"/>
    <n v="1817.71"/>
    <n v="0"/>
    <x v="108"/>
    <x v="1"/>
    <s v="Debit Card"/>
    <s v="Cancelled"/>
    <x v="0"/>
    <s v="Cancelled"/>
    <s v="Marketplace"/>
    <s v="Debit Card"/>
    <x v="1"/>
    <s v="VALID"/>
    <s v="NORMAL"/>
    <s v="Valid"/>
    <n v="9088.5499999999993"/>
    <n v="9088.5499999999993"/>
  </r>
  <r>
    <s v="ORD50110"/>
    <d v="2025-02-03T00:00:00"/>
    <s v="CUST1067"/>
    <s v="P013"/>
    <x v="2"/>
    <s v="Furniture"/>
    <x v="2"/>
    <x v="4"/>
    <n v="5"/>
    <n v="1644.7"/>
    <n v="0.2"/>
    <x v="109"/>
    <x v="1"/>
    <s v="Cash on Delivery"/>
    <s v="Completed"/>
    <x v="6"/>
    <s v="Completed"/>
    <s v="Marketplace"/>
    <s v="Cash On Delivery"/>
    <x v="2"/>
    <s v="VALID"/>
    <s v="NORMAL"/>
    <s v="Valid"/>
    <n v="8223.5"/>
    <n v="6578.8"/>
  </r>
  <r>
    <s v="ORD50111"/>
    <d v="2025-03-04T00:00:00"/>
    <s v="CUST1027"/>
    <s v="P003"/>
    <x v="3"/>
    <s v="Electronics"/>
    <x v="3"/>
    <x v="9"/>
    <n v="3"/>
    <n v="1844.04"/>
    <n v="0.05"/>
    <x v="110"/>
    <x v="1"/>
    <s v="Net Banking"/>
    <s v="Completed"/>
    <x v="5"/>
    <s v="Completed"/>
    <s v="Marketplace"/>
    <s v="Net Banking"/>
    <x v="1"/>
    <s v="VALID"/>
    <s v="NORMAL"/>
    <s v="Valid"/>
    <n v="5532.12"/>
    <n v="5255.5140000000001"/>
  </r>
  <r>
    <s v="ORD50112"/>
    <d v="2025-01-29T00:00:00"/>
    <s v="CUST1077"/>
    <s v="P003"/>
    <x v="3"/>
    <s v="Electronics"/>
    <x v="3"/>
    <x v="11"/>
    <n v="5"/>
    <n v="1685.66"/>
    <n v="0.2"/>
    <x v="111"/>
    <x v="0"/>
    <s v="Credit Card"/>
    <s v="Completed"/>
    <x v="4"/>
    <s v="Completed"/>
    <s v="Online"/>
    <s v="Credit Card"/>
    <x v="1"/>
    <s v="VALID"/>
    <s v="NORMAL"/>
    <s v="Valid"/>
    <n v="8428.3000000000011"/>
    <n v="6742.6400000000012"/>
  </r>
  <r>
    <s v="ORD50113"/>
    <d v="2026-06-16T00:00:00"/>
    <s v="CUST1082"/>
    <s v="P007"/>
    <x v="11"/>
    <s v="Stationery"/>
    <x v="2"/>
    <x v="4"/>
    <m/>
    <n v="417.67"/>
    <n v="0.15"/>
    <x v="112"/>
    <x v="0"/>
    <s v="Net Banking"/>
    <s v="Completed"/>
    <x v="6"/>
    <s v="Completed"/>
    <s v="Online"/>
    <s v="Net Banking"/>
    <x v="3"/>
    <s v="INVALID"/>
    <s v="NORMAL"/>
    <s v="Valid"/>
    <n v="0"/>
    <n v="0"/>
  </r>
  <r>
    <s v="ORD50114"/>
    <d v="2024-02-25T00:00:00"/>
    <s v="CUST1128"/>
    <s v="P014"/>
    <x v="5"/>
    <s v="Electronics"/>
    <x v="0"/>
    <x v="10"/>
    <n v="3"/>
    <n v="2711.33"/>
    <n v="0.03"/>
    <x v="113"/>
    <x v="0"/>
    <s v="Debit Card"/>
    <s v="Completed"/>
    <x v="4"/>
    <s v="Completed"/>
    <s v="Online"/>
    <s v="Debit Card"/>
    <x v="1"/>
    <s v="VALID"/>
    <s v="NORMAL"/>
    <s v="Valid"/>
    <n v="8133.99"/>
    <n v="7889.9703"/>
  </r>
  <r>
    <s v="ORD50115"/>
    <d v="2024-09-21T00:00:00"/>
    <s v="CUST1001"/>
    <s v="P002"/>
    <x v="9"/>
    <s v="Electronics"/>
    <x v="2"/>
    <x v="13"/>
    <n v="5"/>
    <n v="1201.57"/>
    <n v="0.03"/>
    <x v="114"/>
    <x v="2"/>
    <s v="UPI"/>
    <s v="Completed"/>
    <x v="3"/>
    <s v="Completed"/>
    <s v="Store"/>
    <s v="Upi"/>
    <x v="1"/>
    <s v="VALID"/>
    <s v="NORMAL"/>
    <s v="Valid"/>
    <n v="6007.8499999999995"/>
    <n v="5827.6144999999997"/>
  </r>
  <r>
    <s v="ORD50116"/>
    <d v="2025-01-28T00:00:00"/>
    <m/>
    <s v="P009"/>
    <x v="7"/>
    <s v="Accessories"/>
    <x v="1"/>
    <x v="1"/>
    <n v="3"/>
    <n v="1730.98"/>
    <n v="0.15"/>
    <x v="115"/>
    <x v="2"/>
    <s v="Credit Card"/>
    <s v="Returned"/>
    <x v="3"/>
    <s v="Returned"/>
    <s v="Store"/>
    <s v="Credit Card"/>
    <x v="0"/>
    <s v="VALID"/>
    <s v="NORMAL"/>
    <s v="Valid"/>
    <n v="5192.9400000000005"/>
    <n v="4413.9990000000007"/>
  </r>
  <r>
    <s v="ORD50117"/>
    <d v="2026-02-26T00:00:00"/>
    <s v="CUST1086"/>
    <s v="P011"/>
    <x v="1"/>
    <s v="Electronics"/>
    <x v="2"/>
    <x v="13"/>
    <n v="2"/>
    <n v="3420.36"/>
    <n v="0.15"/>
    <x v="116"/>
    <x v="0"/>
    <s v="Debit Card"/>
    <s v="Completed"/>
    <x v="6"/>
    <s v="Completed"/>
    <s v="Online"/>
    <s v="Debit Card"/>
    <x v="1"/>
    <s v="VALID"/>
    <s v="NORMAL"/>
    <s v="Valid"/>
    <n v="6840.72"/>
    <n v="5814.6120000000001"/>
  </r>
  <r>
    <s v="ORD50118"/>
    <d v="2025-10-10T00:00:00"/>
    <s v="CUST1006"/>
    <s v="P003"/>
    <x v="3"/>
    <s v="Electronics"/>
    <x v="3"/>
    <x v="15"/>
    <n v="4"/>
    <n v="1695.8"/>
    <n v="0"/>
    <x v="117"/>
    <x v="0"/>
    <s v="UPI"/>
    <s v="Returned"/>
    <x v="2"/>
    <s v="Returned"/>
    <s v="Online"/>
    <s v="Upi"/>
    <x v="1"/>
    <s v="VALID"/>
    <s v="NORMAL"/>
    <s v="Valid"/>
    <n v="6783.2"/>
    <n v="6783.2"/>
  </r>
  <r>
    <s v="ORD50119"/>
    <d v="2026-01-14T00:00:00"/>
    <s v="CUST1162"/>
    <s v="P001"/>
    <x v="13"/>
    <s v="Electronics"/>
    <x v="3"/>
    <x v="11"/>
    <n v="1"/>
    <n v="62313.04"/>
    <n v="0.1"/>
    <x v="118"/>
    <x v="2"/>
    <s v="Credit Card"/>
    <s v="Completed"/>
    <x v="0"/>
    <s v="Completed"/>
    <s v="Store"/>
    <s v="Credit Card"/>
    <x v="1"/>
    <s v="VALID"/>
    <s v="NORMAL"/>
    <s v="Valid"/>
    <n v="62313.04"/>
    <n v="56081.736000000004"/>
  </r>
  <r>
    <s v="ORD50120"/>
    <d v="2026-02-13T00:00:00"/>
    <s v="CUST1120"/>
    <s v="P008"/>
    <x v="4"/>
    <s v="Stationery"/>
    <x v="3"/>
    <x v="11"/>
    <n v="2"/>
    <n v="224.19"/>
    <n v="0.15"/>
    <x v="119"/>
    <x v="1"/>
    <s v="Net Banking"/>
    <s v="Returned"/>
    <x v="6"/>
    <s v="Returned"/>
    <s v="Marketplace"/>
    <s v="Net Banking"/>
    <x v="3"/>
    <s v="VALID"/>
    <s v="NORMAL"/>
    <s v="Valid"/>
    <n v="448.38"/>
    <n v="381.12299999999999"/>
  </r>
  <r>
    <s v="ORD50121"/>
    <d v="2024-09-22T00:00:00"/>
    <s v="CUST1119"/>
    <s v="P004"/>
    <x v="6"/>
    <s v="Electronics"/>
    <x v="3"/>
    <x v="15"/>
    <n v="5"/>
    <n v="12706.85"/>
    <n v="0.08"/>
    <x v="120"/>
    <x v="1"/>
    <s v="UPI"/>
    <s v="Completed"/>
    <x v="0"/>
    <s v="Completed"/>
    <s v="Marketplace"/>
    <s v="Upi"/>
    <x v="1"/>
    <s v="VALID"/>
    <s v="NORMAL"/>
    <s v="Valid"/>
    <n v="63534.25"/>
    <n v="58451.51"/>
  </r>
  <r>
    <s v="ORD50122"/>
    <d v="2026-01-11T00:00:00"/>
    <s v="CUST1078"/>
    <s v="P003"/>
    <x v="3"/>
    <s v="Electronics"/>
    <x v="2"/>
    <x v="5"/>
    <n v="3"/>
    <n v="1829.01"/>
    <n v="0.15"/>
    <x v="121"/>
    <x v="2"/>
    <s v="Debit Card"/>
    <s v="Completed"/>
    <x v="1"/>
    <s v="Completed"/>
    <s v="Store"/>
    <s v="Debit Card"/>
    <x v="1"/>
    <s v="VALID"/>
    <s v="NORMAL"/>
    <s v="Valid"/>
    <n v="5487.03"/>
    <n v="4663.9754999999996"/>
  </r>
  <r>
    <s v="ORD50123"/>
    <d v="2026-01-20T00:00:00"/>
    <s v="CUST1091"/>
    <s v="P002"/>
    <x v="9"/>
    <s v="Electronics"/>
    <x v="1"/>
    <x v="7"/>
    <n v="1"/>
    <n v="1107.6500000000001"/>
    <n v="0.15"/>
    <x v="122"/>
    <x v="0"/>
    <s v="Net Banking"/>
    <s v="Cancelled"/>
    <x v="6"/>
    <s v="Cancelled"/>
    <s v="Online"/>
    <s v="Net Banking"/>
    <x v="1"/>
    <s v="VALID"/>
    <s v="NORMAL"/>
    <s v="Valid"/>
    <n v="1107.6500000000001"/>
    <n v="941.50250000000005"/>
  </r>
  <r>
    <s v="ORD50124"/>
    <d v="2025-10-07T00:00:00"/>
    <s v="CUST1039"/>
    <s v="P005"/>
    <x v="12"/>
    <s v="Furniture"/>
    <x v="0"/>
    <x v="14"/>
    <n v="5"/>
    <n v="10092.83"/>
    <n v="0.05"/>
    <x v="123"/>
    <x v="0"/>
    <s v="UPI"/>
    <s v="Cancelled"/>
    <x v="2"/>
    <s v="Cancelled"/>
    <s v="Online"/>
    <s v="Upi"/>
    <x v="2"/>
    <s v="VALID"/>
    <s v="NORMAL"/>
    <s v="Valid"/>
    <n v="50464.15"/>
    <n v="47940.942500000005"/>
  </r>
  <r>
    <s v="ORD50125"/>
    <d v="2025-09-03T00:00:00"/>
    <s v="CUST1132"/>
    <s v="P011"/>
    <x v="1"/>
    <s v="Electronics"/>
    <x v="3"/>
    <x v="9"/>
    <n v="1"/>
    <n v="3451.79"/>
    <n v="0.15"/>
    <x v="124"/>
    <x v="0"/>
    <s v="Cash on Delivery"/>
    <s v="Completed"/>
    <x v="7"/>
    <s v="Completed"/>
    <s v="Online"/>
    <s v="Cash On Delivery"/>
    <x v="1"/>
    <s v="VALID"/>
    <s v="NORMAL"/>
    <s v="Valid"/>
    <n v="3451.79"/>
    <n v="2934.0214999999998"/>
  </r>
  <r>
    <s v="ORD50126"/>
    <d v="2026-06-24T00:00:00"/>
    <s v="CUST1024"/>
    <s v="P009"/>
    <x v="7"/>
    <s v="Accessories"/>
    <x v="0"/>
    <x v="2"/>
    <n v="2"/>
    <n v="1914.42"/>
    <n v="0"/>
    <x v="125"/>
    <x v="2"/>
    <s v="Debit Card"/>
    <s v="Completed"/>
    <x v="7"/>
    <s v="Completed"/>
    <s v="Store"/>
    <s v="Debit Card"/>
    <x v="0"/>
    <s v="VALID"/>
    <s v="NORMAL"/>
    <s v="Valid"/>
    <n v="3828.84"/>
    <n v="3828.84"/>
  </r>
  <r>
    <s v="ORD50127"/>
    <d v="2024-06-15T00:00:00"/>
    <s v="CUST1155"/>
    <s v="P005"/>
    <x v="12"/>
    <s v="Furniture"/>
    <x v="0"/>
    <x v="10"/>
    <n v="1"/>
    <n v="9188.0300000000007"/>
    <n v="0.08"/>
    <x v="126"/>
    <x v="2"/>
    <s v="Cash on Delivery"/>
    <s v="Returned"/>
    <x v="2"/>
    <s v="Returned"/>
    <s v="Store"/>
    <s v="Cash On Delivery"/>
    <x v="2"/>
    <s v="VALID"/>
    <s v="NORMAL"/>
    <s v="Valid"/>
    <n v="9188.0300000000007"/>
    <n v="8452.9876000000004"/>
  </r>
  <r>
    <s v="ORD50128"/>
    <d v="2024-01-17T00:00:00"/>
    <s v="CUST1219"/>
    <s v="P001"/>
    <x v="13"/>
    <s v="Electronics"/>
    <x v="0"/>
    <x v="10"/>
    <n v="1"/>
    <n v="68888.44"/>
    <n v="0.03"/>
    <x v="127"/>
    <x v="2"/>
    <s v="Net Banking"/>
    <s v="Completed"/>
    <x v="7"/>
    <s v="Completed"/>
    <s v="Store"/>
    <s v="Net Banking"/>
    <x v="1"/>
    <s v="VALID"/>
    <s v="NORMAL"/>
    <s v="Valid"/>
    <n v="68888.44"/>
    <n v="66821.786800000002"/>
  </r>
  <r>
    <s v="ORD50129"/>
    <d v="2025-04-24T00:00:00"/>
    <s v="CUST1189"/>
    <s v="P006"/>
    <x v="10"/>
    <s v="Furniture"/>
    <x v="1"/>
    <x v="1"/>
    <n v="4"/>
    <n v="7277.11"/>
    <n v="0.08"/>
    <x v="128"/>
    <x v="1"/>
    <s v="Net Banking"/>
    <s v="Returned"/>
    <x v="2"/>
    <s v="Returned"/>
    <s v="Marketplace"/>
    <s v="Net Banking"/>
    <x v="2"/>
    <s v="VALID"/>
    <s v="NORMAL"/>
    <s v="Valid"/>
    <n v="29108.44"/>
    <n v="26779.764799999997"/>
  </r>
  <r>
    <s v="ORD50130"/>
    <d v="2025-01-17T00:00:00"/>
    <s v="CUST1094"/>
    <s v="P014"/>
    <x v="5"/>
    <s v="Electronics"/>
    <x v="0"/>
    <x v="14"/>
    <n v="5"/>
    <n v="2932.62"/>
    <n v="0"/>
    <x v="129"/>
    <x v="2"/>
    <s v="Debit Card"/>
    <s v="Returned"/>
    <x v="4"/>
    <s v="Returned"/>
    <s v="Store"/>
    <s v="Debit Card"/>
    <x v="1"/>
    <s v="VALID"/>
    <s v="NORMAL"/>
    <s v="Valid"/>
    <n v="14663.099999999999"/>
    <n v="14663.099999999999"/>
  </r>
  <r>
    <s v="ORD50131"/>
    <d v="2025-12-05T00:00:00"/>
    <s v="CUST1178"/>
    <s v="P014"/>
    <x v="5"/>
    <s v="Electronics"/>
    <x v="0"/>
    <x v="10"/>
    <n v="2"/>
    <n v="2642.92"/>
    <n v="0.03"/>
    <x v="130"/>
    <x v="1"/>
    <s v="Credit Card"/>
    <s v="Completed"/>
    <x v="0"/>
    <s v="Completed"/>
    <s v="Marketplace"/>
    <s v="Credit Card"/>
    <x v="1"/>
    <s v="VALID"/>
    <s v="NORMAL"/>
    <s v="Valid"/>
    <n v="5285.84"/>
    <n v="5127.2647999999999"/>
  </r>
  <r>
    <s v="ORD50132"/>
    <d v="2024-06-30T00:00:00"/>
    <s v="CUST1090"/>
    <s v="P014"/>
    <x v="5"/>
    <s v="Electronics"/>
    <x v="1"/>
    <x v="1"/>
    <n v="5"/>
    <n v="2671.04"/>
    <n v="0.2"/>
    <x v="131"/>
    <x v="1"/>
    <s v="Net Banking"/>
    <s v="Completed"/>
    <x v="5"/>
    <s v="Completed"/>
    <s v="Marketplace"/>
    <s v="Net Banking"/>
    <x v="1"/>
    <s v="VALID"/>
    <s v="NORMAL"/>
    <s v="Valid"/>
    <n v="13355.2"/>
    <n v="10684.16"/>
  </r>
  <r>
    <s v="ORD50133"/>
    <d v="2025-08-12T00:00:00"/>
    <s v="CUST1193"/>
    <s v="P006"/>
    <x v="10"/>
    <s v="Furniture"/>
    <x v="2"/>
    <x v="12"/>
    <n v="3"/>
    <n v="7466.27"/>
    <n v="0"/>
    <x v="132"/>
    <x v="1"/>
    <s v="Cash on Delivery"/>
    <s v="Completed"/>
    <x v="3"/>
    <s v="Completed"/>
    <s v="Marketplace"/>
    <s v="Cash On Delivery"/>
    <x v="2"/>
    <s v="VALID"/>
    <s v="NORMAL"/>
    <s v="Valid"/>
    <n v="22398.81"/>
    <n v="22398.81"/>
  </r>
  <r>
    <s v="ORD50134"/>
    <d v="2024-04-05T00:00:00"/>
    <s v="CUST1131"/>
    <s v="P012"/>
    <x v="0"/>
    <s v="Accessories"/>
    <x v="1"/>
    <x v="6"/>
    <n v="4"/>
    <n v="890.54"/>
    <n v="0.2"/>
    <x v="133"/>
    <x v="0"/>
    <s v="Credit Card"/>
    <s v="Completed"/>
    <x v="0"/>
    <s v="Completed"/>
    <s v="Online"/>
    <s v="Credit Card"/>
    <x v="0"/>
    <s v="VALID"/>
    <s v="NORMAL"/>
    <s v="Valid"/>
    <n v="3562.16"/>
    <n v="2849.7280000000001"/>
  </r>
  <r>
    <s v="ORD50135"/>
    <d v="2025-02-19T00:00:00"/>
    <s v="CUST1099"/>
    <s v="P001"/>
    <x v="13"/>
    <s v="Electronics"/>
    <x v="3"/>
    <x v="15"/>
    <n v="5"/>
    <n v="67280.850000000006"/>
    <n v="0.2"/>
    <x v="134"/>
    <x v="1"/>
    <s v="Net Banking"/>
    <s v="Completed"/>
    <x v="0"/>
    <s v="Completed"/>
    <s v="Marketplace"/>
    <s v="Net Banking"/>
    <x v="1"/>
    <s v="VALID"/>
    <s v="NORMAL"/>
    <s v="Valid"/>
    <n v="336404.25"/>
    <n v="269123.40000000002"/>
  </r>
  <r>
    <s v="ORD50136"/>
    <d v="2024-10-18T00:00:00"/>
    <s v="CUST1003"/>
    <s v="P006"/>
    <x v="10"/>
    <s v="Furniture"/>
    <x v="0"/>
    <x v="14"/>
    <n v="3"/>
    <n v="7095.33"/>
    <n v="0.1"/>
    <x v="135"/>
    <x v="2"/>
    <s v="Cash on Delivery"/>
    <s v="Completed"/>
    <x v="3"/>
    <s v="Completed"/>
    <s v="Store"/>
    <s v="Cash On Delivery"/>
    <x v="2"/>
    <s v="VALID"/>
    <s v="NORMAL"/>
    <s v="Valid"/>
    <n v="21285.989999999998"/>
    <n v="19157.391"/>
  </r>
  <r>
    <s v="ORD50137"/>
    <d v="2024-03-02T00:00:00"/>
    <s v="CUST1103"/>
    <s v="P003"/>
    <x v="3"/>
    <s v="Electronics"/>
    <x v="2"/>
    <x v="13"/>
    <n v="2"/>
    <n v="1693.76"/>
    <n v="0.05"/>
    <x v="136"/>
    <x v="0"/>
    <s v="Credit Card"/>
    <s v="Cancelled"/>
    <x v="4"/>
    <s v="Cancelled"/>
    <s v="Online"/>
    <s v="Credit Card"/>
    <x v="1"/>
    <s v="VALID"/>
    <s v="NORMAL"/>
    <s v="Valid"/>
    <n v="3387.52"/>
    <n v="3218.1439999999998"/>
  </r>
  <r>
    <s v="ORD50138"/>
    <d v="2024-11-05T00:00:00"/>
    <s v="CUST1123"/>
    <s v="P001"/>
    <x v="13"/>
    <s v="Electronics"/>
    <x v="1"/>
    <x v="3"/>
    <n v="4"/>
    <n v="60828.81"/>
    <n v="0.03"/>
    <x v="137"/>
    <x v="2"/>
    <s v="Cash on Delivery"/>
    <s v="Completed"/>
    <x v="1"/>
    <s v="Completed"/>
    <s v="Store"/>
    <s v="Cash On Delivery"/>
    <x v="1"/>
    <s v="VALID"/>
    <s v="NORMAL"/>
    <s v="Valid"/>
    <n v="243315.24"/>
    <n v="236015.78279999999"/>
  </r>
  <r>
    <s v="ORD50139"/>
    <d v="2025-03-11T00:00:00"/>
    <s v="CUST1136"/>
    <s v="P004"/>
    <x v="6"/>
    <s v="Electronics"/>
    <x v="1"/>
    <x v="1"/>
    <n v="1"/>
    <n v="12436.83"/>
    <n v="0.08"/>
    <x v="138"/>
    <x v="0"/>
    <s v="UPI"/>
    <s v="Completed"/>
    <x v="4"/>
    <s v="Completed"/>
    <s v="Online"/>
    <s v="Upi"/>
    <x v="1"/>
    <s v="VALID"/>
    <s v="NORMAL"/>
    <s v="Valid"/>
    <n v="12436.83"/>
    <n v="11441.883599999999"/>
  </r>
  <r>
    <s v="ORD50140"/>
    <d v="2025-03-15T00:00:00"/>
    <s v="CUST1230"/>
    <s v="P002"/>
    <x v="9"/>
    <s v="Electronics"/>
    <x v="1"/>
    <x v="6"/>
    <n v="2"/>
    <n v="1199.1400000000001"/>
    <n v="0.1"/>
    <x v="139"/>
    <x v="0"/>
    <s v="Credit Card"/>
    <s v="Completed"/>
    <x v="1"/>
    <s v="Completed"/>
    <s v="Online"/>
    <s v="Credit Card"/>
    <x v="1"/>
    <s v="VALID"/>
    <s v="NORMAL"/>
    <s v="Valid"/>
    <n v="2398.2800000000002"/>
    <n v="2158.4520000000002"/>
  </r>
  <r>
    <s v="ORD50141"/>
    <d v="2024-10-12T00:00:00"/>
    <s v="CUST1235"/>
    <s v="P012"/>
    <x v="0"/>
    <s v="Accessories"/>
    <x v="2"/>
    <x v="12"/>
    <n v="5"/>
    <n v="915.9"/>
    <n v="0.15"/>
    <x v="140"/>
    <x v="1"/>
    <s v="Credit Card"/>
    <s v="Returned"/>
    <x v="7"/>
    <s v="Returned"/>
    <s v="Marketplace"/>
    <s v="Credit Card"/>
    <x v="0"/>
    <s v="VALID"/>
    <s v="NORMAL"/>
    <s v="Valid"/>
    <n v="4579.5"/>
    <n v="3892.5749999999998"/>
  </r>
  <r>
    <s v="ORD50142"/>
    <d v="2024-03-06T00:00:00"/>
    <s v="CUST1111"/>
    <s v="P007"/>
    <x v="11"/>
    <s v="Stationery"/>
    <x v="3"/>
    <x v="11"/>
    <n v="5"/>
    <n v="453.81"/>
    <n v="0.05"/>
    <x v="141"/>
    <x v="1"/>
    <s v="Cash on Delivery"/>
    <s v="Cancelled"/>
    <x v="7"/>
    <s v="Cancelled"/>
    <s v="Marketplace"/>
    <s v="Cash On Delivery"/>
    <x v="3"/>
    <s v="VALID"/>
    <s v="NORMAL"/>
    <s v="Valid"/>
    <n v="2269.0500000000002"/>
    <n v="2155.5975000000003"/>
  </r>
  <r>
    <s v="ORD50143"/>
    <d v="2025-01-02T00:00:00"/>
    <s v="CUST1066"/>
    <s v="P009"/>
    <x v="7"/>
    <s v="Accessories"/>
    <x v="0"/>
    <x v="0"/>
    <n v="1"/>
    <n v="1702.17"/>
    <n v="0"/>
    <x v="142"/>
    <x v="1"/>
    <s v="Credit Card"/>
    <s v="Completed"/>
    <x v="7"/>
    <s v="Completed"/>
    <s v="Marketplace"/>
    <s v="Credit Card"/>
    <x v="0"/>
    <s v="VALID"/>
    <s v="NORMAL"/>
    <s v="Valid"/>
    <n v="1702.17"/>
    <n v="1702.17"/>
  </r>
  <r>
    <s v="ORD50144"/>
    <d v="2025-11-01T00:00:00"/>
    <s v="CUST1029"/>
    <s v="P012"/>
    <x v="0"/>
    <s v="Accessories"/>
    <x v="2"/>
    <x v="4"/>
    <n v="5"/>
    <n v="837.06"/>
    <n v="0.05"/>
    <x v="143"/>
    <x v="0"/>
    <s v="Net Banking"/>
    <s v="Completed"/>
    <x v="2"/>
    <s v="Completed"/>
    <s v="Online"/>
    <s v="Net Banking"/>
    <x v="0"/>
    <s v="VALID"/>
    <s v="NORMAL"/>
    <s v="Valid"/>
    <n v="4185.2999999999993"/>
    <n v="3976.0349999999994"/>
  </r>
  <r>
    <s v="ORD50145"/>
    <d v="2025-07-04T00:00:00"/>
    <s v="CUST1233"/>
    <s v="P015"/>
    <x v="8"/>
    <s v="Accessories"/>
    <x v="2"/>
    <x v="13"/>
    <n v="1"/>
    <n v="655.24"/>
    <n v="0.03"/>
    <x v="144"/>
    <x v="0"/>
    <s v="UPI"/>
    <s v="Returned"/>
    <x v="7"/>
    <s v="Returned"/>
    <s v="Online"/>
    <s v="Upi"/>
    <x v="0"/>
    <s v="VALID"/>
    <s v="NORMAL"/>
    <s v="Valid"/>
    <n v="655.24"/>
    <n v="635.58280000000002"/>
  </r>
  <r>
    <s v="ORD50146"/>
    <d v="2024-06-12T00:00:00"/>
    <s v="CUST1229"/>
    <s v="P010"/>
    <x v="14"/>
    <s v="Electronics"/>
    <x v="2"/>
    <x v="12"/>
    <n v="1"/>
    <n v="2110.33"/>
    <n v="0.08"/>
    <x v="145"/>
    <x v="0"/>
    <s v="Cash on Delivery"/>
    <s v="Completed"/>
    <x v="6"/>
    <s v="Completed"/>
    <s v="Online"/>
    <s v="Cash On Delivery"/>
    <x v="1"/>
    <s v="VALID"/>
    <s v="NORMAL"/>
    <s v="Valid"/>
    <n v="2110.33"/>
    <n v="1941.5036"/>
  </r>
  <r>
    <s v="ORD50147"/>
    <d v="2025-11-12T00:00:00"/>
    <s v="CUST1065"/>
    <s v="P006"/>
    <x v="10"/>
    <s v="Furniture"/>
    <x v="0"/>
    <x v="10"/>
    <n v="3"/>
    <n v="6906.01"/>
    <n v="0.15"/>
    <x v="146"/>
    <x v="0"/>
    <s v="UPI"/>
    <s v="Returned"/>
    <x v="4"/>
    <s v="Returned"/>
    <s v="Online"/>
    <s v="Upi"/>
    <x v="2"/>
    <s v="VALID"/>
    <s v="NORMAL"/>
    <s v="Valid"/>
    <n v="20718.03"/>
    <n v="17610.325499999999"/>
  </r>
  <r>
    <s v="ORD50148"/>
    <d v="2026-03-20T00:00:00"/>
    <s v="CUST1118"/>
    <s v="P001"/>
    <x v="13"/>
    <s v="Electronics"/>
    <x v="1"/>
    <x v="7"/>
    <n v="2"/>
    <n v="64902.32"/>
    <n v="0.08"/>
    <x v="147"/>
    <x v="2"/>
    <s v="Debit Card"/>
    <s v="Cancelled"/>
    <x v="3"/>
    <s v="Cancelled"/>
    <s v="Store"/>
    <s v="Debit Card"/>
    <x v="1"/>
    <s v="VALID"/>
    <s v="NORMAL"/>
    <s v="Valid"/>
    <n v="129804.64"/>
    <n v="119420.26880000001"/>
  </r>
  <r>
    <s v="ORD50149"/>
    <d v="2024-11-25T00:00:00"/>
    <s v="CUST1248"/>
    <s v="P002"/>
    <x v="9"/>
    <s v="Electronics"/>
    <x v="2"/>
    <x v="4"/>
    <n v="1"/>
    <n v="1196.55"/>
    <n v="0.03"/>
    <x v="148"/>
    <x v="1"/>
    <s v="UPI"/>
    <s v="Completed"/>
    <x v="1"/>
    <s v="Completed"/>
    <s v="Marketplace"/>
    <s v="Upi"/>
    <x v="1"/>
    <s v="VALID"/>
    <s v="NORMAL"/>
    <s v="Valid"/>
    <n v="1196.55"/>
    <n v="1160.6534999999999"/>
  </r>
  <r>
    <s v="ORD50150"/>
    <d v="2025-05-20T00:00:00"/>
    <s v="CUST1099"/>
    <s v="P015"/>
    <x v="8"/>
    <s v="Accessories"/>
    <x v="3"/>
    <x v="11"/>
    <n v="1"/>
    <n v="647.37"/>
    <n v="0.03"/>
    <x v="149"/>
    <x v="0"/>
    <s v="Cash on Delivery"/>
    <s v="Completed"/>
    <x v="1"/>
    <s v="Completed"/>
    <s v="Online"/>
    <s v="Cash On Delivery"/>
    <x v="0"/>
    <s v="VALID"/>
    <s v="NORMAL"/>
    <s v="Valid"/>
    <n v="647.37"/>
    <n v="627.94889999999998"/>
  </r>
  <r>
    <s v="ORD50151"/>
    <d v="2026-04-14T00:00:00"/>
    <s v="CUST1105"/>
    <s v="P010"/>
    <x v="14"/>
    <s v="Electronics"/>
    <x v="3"/>
    <x v="8"/>
    <n v="3"/>
    <n v="2211.2199999999998"/>
    <n v="0.2"/>
    <x v="150"/>
    <x v="0"/>
    <s v="Cash on Delivery"/>
    <s v="Returned"/>
    <x v="2"/>
    <s v="Returned"/>
    <s v="Online"/>
    <s v="Cash On Delivery"/>
    <x v="1"/>
    <s v="VALID"/>
    <s v="NORMAL"/>
    <s v="Valid"/>
    <n v="6633.66"/>
    <n v="5306.9279999999999"/>
  </r>
  <r>
    <s v="ORD50152"/>
    <d v="2026-01-16T00:00:00"/>
    <s v="CUST1216"/>
    <s v="P013"/>
    <x v="2"/>
    <s v="Furniture"/>
    <x v="0"/>
    <x v="2"/>
    <n v="2"/>
    <n v="1511.14"/>
    <n v="0.08"/>
    <x v="151"/>
    <x v="1"/>
    <s v="Credit Card"/>
    <s v="Completed"/>
    <x v="4"/>
    <s v="Completed"/>
    <s v="Marketplace"/>
    <s v="Credit Card"/>
    <x v="2"/>
    <s v="VALID"/>
    <s v="NORMAL"/>
    <s v="Valid"/>
    <n v="3022.28"/>
    <n v="2780.4976000000001"/>
  </r>
  <r>
    <s v="ORD50153"/>
    <d v="2026-04-29T00:00:00"/>
    <s v="CUST1162"/>
    <s v="P006"/>
    <x v="10"/>
    <s v="Furniture"/>
    <x v="3"/>
    <x v="8"/>
    <n v="4"/>
    <n v="7488.97"/>
    <n v="0.1"/>
    <x v="152"/>
    <x v="1"/>
    <s v="Cash on Delivery"/>
    <s v="Completed"/>
    <x v="2"/>
    <s v="Completed"/>
    <s v="Marketplace"/>
    <s v="Cash On Delivery"/>
    <x v="2"/>
    <s v="VALID"/>
    <s v="NORMAL"/>
    <s v="Valid"/>
    <n v="29955.88"/>
    <n v="26960.292000000001"/>
  </r>
  <r>
    <s v="ORD50154"/>
    <d v="2026-04-22T00:00:00"/>
    <s v="CUST1144"/>
    <s v="P008"/>
    <x v="4"/>
    <s v="Stationery"/>
    <x v="2"/>
    <x v="4"/>
    <n v="2"/>
    <n v="202.48"/>
    <n v="0.1"/>
    <x v="153"/>
    <x v="0"/>
    <s v="Credit Card"/>
    <s v="Returned"/>
    <x v="4"/>
    <s v="Returned"/>
    <s v="Online"/>
    <s v="Credit Card"/>
    <x v="3"/>
    <s v="VALID"/>
    <s v="NORMAL"/>
    <s v="Valid"/>
    <n v="404.96"/>
    <n v="364.464"/>
  </r>
  <r>
    <s v="ORD50155"/>
    <d v="2024-12-28T00:00:00"/>
    <s v="CUST1040"/>
    <s v="P007"/>
    <x v="11"/>
    <s v="Stationery"/>
    <x v="1"/>
    <x v="1"/>
    <n v="1"/>
    <n v="459.52"/>
    <n v="0.08"/>
    <x v="154"/>
    <x v="2"/>
    <s v="UPI"/>
    <s v="Returned"/>
    <x v="0"/>
    <s v="Returned"/>
    <s v="Store"/>
    <s v="Upi"/>
    <x v="3"/>
    <s v="VALID"/>
    <s v="NORMAL"/>
    <s v="Valid"/>
    <n v="459.52"/>
    <n v="422.75839999999999"/>
  </r>
  <r>
    <s v="ORD50156"/>
    <d v="2024-10-18T00:00:00"/>
    <s v="CUST1172"/>
    <s v="P007"/>
    <x v="11"/>
    <s v="Stationery"/>
    <x v="0"/>
    <x v="14"/>
    <n v="4"/>
    <n v="461.52"/>
    <n v="0.08"/>
    <x v="155"/>
    <x v="0"/>
    <s v="Debit Card"/>
    <s v="Completed"/>
    <x v="5"/>
    <s v="Completed"/>
    <s v="Online"/>
    <s v="Debit Card"/>
    <x v="3"/>
    <s v="VALID"/>
    <s v="NORMAL"/>
    <s v="Valid"/>
    <n v="1846.08"/>
    <n v="1698.3935999999999"/>
  </r>
  <r>
    <s v="ORD50157"/>
    <d v="2025-04-24T00:00:00"/>
    <s v="CUST1177"/>
    <s v="P006"/>
    <x v="10"/>
    <s v="Furniture"/>
    <x v="0"/>
    <x v="14"/>
    <n v="1"/>
    <n v="7598.6"/>
    <n v="0"/>
    <x v="156"/>
    <x v="0"/>
    <s v="Cash on Delivery"/>
    <s v="Completed"/>
    <x v="1"/>
    <s v="Completed"/>
    <s v="Online"/>
    <s v="Cash On Delivery"/>
    <x v="2"/>
    <s v="VALID"/>
    <s v="NORMAL"/>
    <s v="Valid"/>
    <n v="7598.6"/>
    <n v="7598.6"/>
  </r>
  <r>
    <s v="ORD50158"/>
    <d v="2026-03-24T00:00:00"/>
    <s v="CUST1196"/>
    <s v="P012"/>
    <x v="0"/>
    <s v="Accessories"/>
    <x v="0"/>
    <x v="14"/>
    <n v="2"/>
    <n v="854.27"/>
    <n v="0.2"/>
    <x v="157"/>
    <x v="0"/>
    <s v="Credit Card"/>
    <s v="Completed"/>
    <x v="5"/>
    <s v="Completed"/>
    <s v="Online"/>
    <s v="Credit Card"/>
    <x v="0"/>
    <s v="VALID"/>
    <s v="NORMAL"/>
    <s v="Valid"/>
    <n v="1708.54"/>
    <n v="1366.8319999999999"/>
  </r>
  <r>
    <s v="ORD50159"/>
    <d v="2025-10-13T00:00:00"/>
    <s v="CUST1105"/>
    <s v="P006"/>
    <x v="10"/>
    <s v="Furniture"/>
    <x v="0"/>
    <x v="0"/>
    <n v="4"/>
    <n v="7271.22"/>
    <n v="0.05"/>
    <x v="158"/>
    <x v="1"/>
    <s v="Debit Card"/>
    <s v="Completed"/>
    <x v="0"/>
    <s v="Completed"/>
    <s v="Marketplace"/>
    <s v="Debit Card"/>
    <x v="2"/>
    <s v="VALID"/>
    <s v="NORMAL"/>
    <s v="Valid"/>
    <n v="29084.880000000001"/>
    <n v="27630.636000000002"/>
  </r>
  <r>
    <s v="ORD50160"/>
    <d v="2026-04-07T00:00:00"/>
    <s v="CUST1182"/>
    <s v="P005"/>
    <x v="12"/>
    <s v="Furniture"/>
    <x v="2"/>
    <x v="13"/>
    <n v="1"/>
    <n v="9260.39"/>
    <n v="0.1"/>
    <x v="159"/>
    <x v="2"/>
    <s v="Debit Card"/>
    <s v="Completed"/>
    <x v="2"/>
    <s v="Completed"/>
    <s v="Store"/>
    <s v="Debit Card"/>
    <x v="2"/>
    <s v="VALID"/>
    <s v="NORMAL"/>
    <s v="Valid"/>
    <n v="9260.39"/>
    <n v="8334.3509999999987"/>
  </r>
  <r>
    <s v="ORD50161"/>
    <d v="2026-01-24T00:00:00"/>
    <s v="CUST1171"/>
    <s v="P002"/>
    <x v="9"/>
    <s v="Electronics"/>
    <x v="2"/>
    <x v="13"/>
    <n v="4"/>
    <n v="1231.28"/>
    <n v="0"/>
    <x v="160"/>
    <x v="0"/>
    <s v="Cash on Delivery"/>
    <s v="Completed"/>
    <x v="6"/>
    <s v="Completed"/>
    <s v="Online"/>
    <s v="Cash On Delivery"/>
    <x v="1"/>
    <s v="VALID"/>
    <s v="NORMAL"/>
    <s v="Valid"/>
    <n v="4925.12"/>
    <n v="4925.12"/>
  </r>
  <r>
    <s v="ORD50162"/>
    <d v="2024-06-29T00:00:00"/>
    <s v="CUST1238"/>
    <s v="P003"/>
    <x v="3"/>
    <s v="Electronics"/>
    <x v="1"/>
    <x v="7"/>
    <n v="5"/>
    <n v="1727.04"/>
    <n v="0.2"/>
    <x v="161"/>
    <x v="0"/>
    <s v="UPI"/>
    <s v="Returned"/>
    <x v="1"/>
    <s v="Returned"/>
    <s v="Online"/>
    <s v="Upi"/>
    <x v="1"/>
    <s v="VALID"/>
    <s v="NORMAL"/>
    <s v="Valid"/>
    <n v="8635.2000000000007"/>
    <n v="6908.1600000000008"/>
  </r>
  <r>
    <s v="ORD50163"/>
    <d v="2025-11-29T00:00:00"/>
    <s v="CUST1176"/>
    <s v="P003"/>
    <x v="3"/>
    <s v="Electronics"/>
    <x v="2"/>
    <x v="12"/>
    <n v="2"/>
    <n v="1918.17"/>
    <n v="0.03"/>
    <x v="162"/>
    <x v="0"/>
    <s v="Cash on Delivery"/>
    <s v="Completed"/>
    <x v="7"/>
    <s v="Completed"/>
    <s v="Online"/>
    <s v="Cash On Delivery"/>
    <x v="1"/>
    <s v="VALID"/>
    <s v="NORMAL"/>
    <s v="Valid"/>
    <n v="3836.34"/>
    <n v="3721.2498000000001"/>
  </r>
  <r>
    <s v="ORD50164"/>
    <d v="2025-10-01T00:00:00"/>
    <s v="CUST1081"/>
    <s v="P012"/>
    <x v="0"/>
    <s v="Accessories"/>
    <x v="1"/>
    <x v="7"/>
    <n v="3"/>
    <n v="816.69"/>
    <n v="0.1"/>
    <x v="163"/>
    <x v="0"/>
    <s v="Credit Card"/>
    <s v="Cancelled"/>
    <x v="5"/>
    <s v="Cancelled"/>
    <s v="Online"/>
    <s v="Credit Card"/>
    <x v="0"/>
    <s v="VALID"/>
    <s v="NORMAL"/>
    <s v="Valid"/>
    <n v="2450.0700000000002"/>
    <n v="2205.0630000000001"/>
  </r>
  <r>
    <s v="ORD50165"/>
    <d v="2025-04-18T00:00:00"/>
    <s v="CUST1007"/>
    <s v="P006"/>
    <x v="10"/>
    <s v="Furniture"/>
    <x v="2"/>
    <x v="12"/>
    <n v="4"/>
    <n v="7084.87"/>
    <n v="0.08"/>
    <x v="164"/>
    <x v="1"/>
    <s v="Cash on Delivery"/>
    <s v="Completed"/>
    <x v="1"/>
    <s v="Completed"/>
    <s v="Marketplace"/>
    <s v="Cash On Delivery"/>
    <x v="2"/>
    <s v="VALID"/>
    <s v="NORMAL"/>
    <s v="Valid"/>
    <n v="28339.48"/>
    <n v="26072.321599999999"/>
  </r>
  <r>
    <s v="ORD50166"/>
    <d v="2025-02-08T00:00:00"/>
    <s v="CUST1223"/>
    <s v="P003"/>
    <x v="3"/>
    <s v="Electronics"/>
    <x v="1"/>
    <x v="7"/>
    <n v="5"/>
    <n v="1748.8"/>
    <n v="0.15"/>
    <x v="165"/>
    <x v="1"/>
    <s v="Debit Card"/>
    <s v="Completed"/>
    <x v="0"/>
    <s v="Completed"/>
    <s v="Marketplace"/>
    <s v="Debit Card"/>
    <x v="1"/>
    <s v="VALID"/>
    <s v="NORMAL"/>
    <s v="Valid"/>
    <n v="8744"/>
    <n v="7432.4"/>
  </r>
  <r>
    <s v="ORD50167"/>
    <d v="2026-01-11T00:00:00"/>
    <s v="CUST1238"/>
    <s v="P006"/>
    <x v="10"/>
    <s v="Furniture"/>
    <x v="1"/>
    <x v="1"/>
    <n v="2"/>
    <n v="7688.3"/>
    <n v="0.05"/>
    <x v="166"/>
    <x v="1"/>
    <s v="Cash on Delivery"/>
    <s v="Returned"/>
    <x v="4"/>
    <s v="Returned"/>
    <s v="Marketplace"/>
    <s v="Cash On Delivery"/>
    <x v="2"/>
    <s v="VALID"/>
    <s v="NORMAL"/>
    <s v="Valid"/>
    <n v="15376.6"/>
    <n v="14607.77"/>
  </r>
  <r>
    <s v="ORD50168"/>
    <d v="2025-11-10T00:00:00"/>
    <s v="CUST1163"/>
    <s v="P015"/>
    <x v="8"/>
    <s v="Accessories"/>
    <x v="1"/>
    <x v="1"/>
    <n v="2"/>
    <n v="697.83"/>
    <n v="0.15"/>
    <x v="167"/>
    <x v="1"/>
    <s v="Credit Card"/>
    <s v="Completed"/>
    <x v="0"/>
    <s v="Completed"/>
    <s v="Marketplace"/>
    <s v="Credit Card"/>
    <x v="0"/>
    <s v="VALID"/>
    <s v="NORMAL"/>
    <s v="Valid"/>
    <n v="1395.66"/>
    <n v="1186.3110000000001"/>
  </r>
  <r>
    <s v="ORD50169"/>
    <d v="2025-08-01T00:00:00"/>
    <s v="CUST1153"/>
    <s v="P005"/>
    <x v="12"/>
    <s v="Furniture"/>
    <x v="2"/>
    <x v="13"/>
    <n v="2"/>
    <n v="9363.17"/>
    <n v="0.08"/>
    <x v="168"/>
    <x v="0"/>
    <s v="Net Banking"/>
    <s v="Cancelled"/>
    <x v="1"/>
    <s v="Cancelled"/>
    <s v="Online"/>
    <s v="Net Banking"/>
    <x v="2"/>
    <s v="VALID"/>
    <s v="NORMAL"/>
    <s v="Valid"/>
    <n v="18726.34"/>
    <n v="17228.232800000002"/>
  </r>
  <r>
    <s v="ORD50170"/>
    <d v="2026-02-23T00:00:00"/>
    <s v="CUST1119"/>
    <s v="P009"/>
    <x v="7"/>
    <s v="Accessories"/>
    <x v="3"/>
    <x v="15"/>
    <n v="2"/>
    <n v="1752.81"/>
    <n v="0"/>
    <x v="169"/>
    <x v="0"/>
    <s v="Cash on Delivery"/>
    <s v="Completed"/>
    <x v="2"/>
    <s v="Completed"/>
    <s v="Online"/>
    <s v="Cash On Delivery"/>
    <x v="0"/>
    <s v="VALID"/>
    <s v="NORMAL"/>
    <s v="Valid"/>
    <n v="3505.62"/>
    <n v="3505.62"/>
  </r>
  <r>
    <s v="ORD50171"/>
    <d v="2025-09-30T00:00:00"/>
    <s v="CUST1102"/>
    <s v="P012"/>
    <x v="0"/>
    <s v="Accessories"/>
    <x v="0"/>
    <x v="10"/>
    <n v="1"/>
    <n v="917.81"/>
    <n v="0"/>
    <x v="170"/>
    <x v="0"/>
    <s v="Cash on Delivery"/>
    <s v="Completed"/>
    <x v="4"/>
    <s v="Completed"/>
    <s v="Online"/>
    <s v="Cash On Delivery"/>
    <x v="0"/>
    <s v="VALID"/>
    <s v="NORMAL"/>
    <s v="Valid"/>
    <n v="917.81"/>
    <n v="917.81"/>
  </r>
  <r>
    <s v="ORD50172"/>
    <d v="2025-01-20T00:00:00"/>
    <s v="CUST1165"/>
    <s v="P007"/>
    <x v="11"/>
    <s v="Stationery"/>
    <x v="0"/>
    <x v="0"/>
    <n v="5"/>
    <n v="484.62"/>
    <n v="0.2"/>
    <x v="171"/>
    <x v="1"/>
    <s v="UPI"/>
    <s v="Completed"/>
    <x v="6"/>
    <s v="Completed"/>
    <s v="Marketplace"/>
    <s v="Upi"/>
    <x v="3"/>
    <s v="VALID"/>
    <s v="NORMAL"/>
    <s v="Valid"/>
    <n v="2423.1"/>
    <n v="1938.48"/>
  </r>
  <r>
    <s v="ORD50173"/>
    <d v="2024-08-15T00:00:00"/>
    <s v="CUST1173"/>
    <s v="P005"/>
    <x v="12"/>
    <s v="Furniture"/>
    <x v="2"/>
    <x v="12"/>
    <n v="5"/>
    <n v="8910"/>
    <n v="0.03"/>
    <x v="172"/>
    <x v="1"/>
    <s v="Debit Card"/>
    <s v="Completed"/>
    <x v="2"/>
    <s v="Completed"/>
    <s v="Marketplace"/>
    <s v="Debit Card"/>
    <x v="2"/>
    <s v="VALID"/>
    <s v="NORMAL"/>
    <s v="Valid"/>
    <n v="44550"/>
    <n v="43213.5"/>
  </r>
  <r>
    <s v="ORD50174"/>
    <d v="2025-01-21T00:00:00"/>
    <s v="CUST1208"/>
    <s v="P008"/>
    <x v="4"/>
    <s v="Stationery"/>
    <x v="0"/>
    <x v="14"/>
    <n v="2"/>
    <n v="226.55"/>
    <n v="0.08"/>
    <x v="173"/>
    <x v="0"/>
    <s v="Cash on Delivery"/>
    <s v="Completed"/>
    <x v="5"/>
    <s v="Completed"/>
    <s v="Online"/>
    <s v="Cash On Delivery"/>
    <x v="3"/>
    <s v="VALID"/>
    <s v="NORMAL"/>
    <s v="Valid"/>
    <n v="453.1"/>
    <n v="416.85200000000003"/>
  </r>
  <r>
    <s v="ORD50175"/>
    <d v="2024-01-29T00:00:00"/>
    <s v="CUST1190"/>
    <s v="P008"/>
    <x v="4"/>
    <s v="Stationery"/>
    <x v="3"/>
    <x v="9"/>
    <n v="1"/>
    <n v="236.78"/>
    <n v="0.1"/>
    <x v="174"/>
    <x v="0"/>
    <s v="Credit Card"/>
    <s v="Completed"/>
    <x v="2"/>
    <s v="Completed"/>
    <s v="Online"/>
    <s v="Credit Card"/>
    <x v="3"/>
    <s v="VALID"/>
    <s v="NORMAL"/>
    <s v="Valid"/>
    <n v="236.78"/>
    <n v="213.102"/>
  </r>
  <r>
    <s v="ORD50176"/>
    <d v="2025-01-22T00:00:00"/>
    <s v="CUST1085"/>
    <s v="P004"/>
    <x v="6"/>
    <s v="Electronics"/>
    <x v="3"/>
    <x v="15"/>
    <n v="2"/>
    <n v="12206.68"/>
    <n v="0.1"/>
    <x v="175"/>
    <x v="1"/>
    <s v="Cash on Delivery"/>
    <s v="Returned"/>
    <x v="6"/>
    <s v="Returned"/>
    <s v="Marketplace"/>
    <s v="Cash On Delivery"/>
    <x v="1"/>
    <s v="VALID"/>
    <s v="NORMAL"/>
    <s v="Valid"/>
    <n v="24413.360000000001"/>
    <n v="21972.024000000001"/>
  </r>
  <r>
    <s v="ORD50177"/>
    <d v="2026-05-04T00:00:00"/>
    <s v="CUST1195"/>
    <s v="P007"/>
    <x v="11"/>
    <s v="Stationery"/>
    <x v="2"/>
    <x v="5"/>
    <n v="2"/>
    <n v="471.7"/>
    <n v="0.03"/>
    <x v="176"/>
    <x v="2"/>
    <s v="Credit Card"/>
    <s v="Returned"/>
    <x v="1"/>
    <s v="Returned"/>
    <s v="Store"/>
    <s v="Credit Card"/>
    <x v="3"/>
    <s v="VALID"/>
    <s v="NORMAL"/>
    <s v="Valid"/>
    <n v="943.4"/>
    <n v="915.09799999999996"/>
  </r>
  <r>
    <s v="ORD50178"/>
    <d v="2024-05-11T00:00:00"/>
    <s v="CUST1081"/>
    <s v="P009"/>
    <x v="7"/>
    <s v="Accessories"/>
    <x v="1"/>
    <x v="7"/>
    <n v="5"/>
    <n v="1700.22"/>
    <n v="0"/>
    <x v="177"/>
    <x v="0"/>
    <s v="UPI"/>
    <s v="Completed"/>
    <x v="4"/>
    <s v="Completed"/>
    <s v="Online"/>
    <s v="Upi"/>
    <x v="0"/>
    <s v="VALID"/>
    <s v="NORMAL"/>
    <s v="Valid"/>
    <n v="8501.1"/>
    <n v="8501.1"/>
  </r>
  <r>
    <s v="ORD50179"/>
    <d v="2024-07-25T00:00:00"/>
    <s v="CUST1202"/>
    <s v="P001"/>
    <x v="13"/>
    <s v="Electronics"/>
    <x v="3"/>
    <x v="9"/>
    <n v="3"/>
    <n v="60162.32"/>
    <n v="0.15"/>
    <x v="178"/>
    <x v="2"/>
    <s v="Net Banking"/>
    <s v="Cancelled"/>
    <x v="1"/>
    <s v="Cancelled"/>
    <s v="Store"/>
    <s v="Net Banking"/>
    <x v="1"/>
    <s v="VALID"/>
    <s v="NORMAL"/>
    <s v="Valid"/>
    <n v="180486.96"/>
    <n v="153413.916"/>
  </r>
  <r>
    <s v="ORD50180"/>
    <d v="2024-06-02T00:00:00"/>
    <s v="CUST1144"/>
    <s v="P001"/>
    <x v="13"/>
    <s v="Electronics"/>
    <x v="3"/>
    <x v="8"/>
    <n v="1"/>
    <n v="68360.5"/>
    <n v="0.2"/>
    <x v="179"/>
    <x v="2"/>
    <s v="Cash on Delivery"/>
    <s v="Completed"/>
    <x v="4"/>
    <s v="Completed"/>
    <s v="Store"/>
    <s v="Cash On Delivery"/>
    <x v="1"/>
    <s v="VALID"/>
    <s v="NORMAL"/>
    <s v="Valid"/>
    <n v="68360.5"/>
    <n v="54688.4"/>
  </r>
  <r>
    <s v="ORD50181"/>
    <d v="2025-01-21T00:00:00"/>
    <s v="CUST1067"/>
    <s v="P006"/>
    <x v="10"/>
    <s v="Furniture"/>
    <x v="0"/>
    <x v="0"/>
    <n v="4"/>
    <n v="7490.68"/>
    <n v="0.1"/>
    <x v="180"/>
    <x v="2"/>
    <s v="Debit Card"/>
    <s v="Cancelled"/>
    <x v="0"/>
    <s v="Cancelled"/>
    <s v="Store"/>
    <s v="Debit Card"/>
    <x v="2"/>
    <s v="VALID"/>
    <s v="NORMAL"/>
    <s v="Valid"/>
    <n v="29962.720000000001"/>
    <n v="26966.448"/>
  </r>
  <r>
    <s v="ORD50182"/>
    <d v="2025-02-27T00:00:00"/>
    <s v="CUST1169"/>
    <s v="P005"/>
    <x v="12"/>
    <s v="Furniture"/>
    <x v="2"/>
    <x v="4"/>
    <n v="3"/>
    <n v="9056.74"/>
    <n v="0.03"/>
    <x v="181"/>
    <x v="1"/>
    <s v="UPI"/>
    <s v="Cancelled"/>
    <x v="4"/>
    <s v="Cancelled"/>
    <s v="Marketplace"/>
    <s v="Upi"/>
    <x v="2"/>
    <s v="VALID"/>
    <s v="NORMAL"/>
    <s v="Valid"/>
    <n v="27170.22"/>
    <n v="26355.113400000002"/>
  </r>
  <r>
    <s v="ORD50183"/>
    <d v="2024-11-03T00:00:00"/>
    <s v="CUST1215"/>
    <s v="P003"/>
    <x v="3"/>
    <s v="Electronics"/>
    <x v="3"/>
    <x v="8"/>
    <n v="1"/>
    <n v="1770.77"/>
    <n v="0"/>
    <x v="182"/>
    <x v="1"/>
    <s v="Cash on Delivery"/>
    <s v="Completed"/>
    <x v="5"/>
    <s v="Completed"/>
    <s v="Marketplace"/>
    <s v="Cash On Delivery"/>
    <x v="1"/>
    <s v="VALID"/>
    <s v="NORMAL"/>
    <s v="Valid"/>
    <n v="1770.77"/>
    <n v="1770.77"/>
  </r>
  <r>
    <s v="ORD50184"/>
    <d v="2025-08-19T00:00:00"/>
    <s v="CUST1248"/>
    <s v="P003"/>
    <x v="3"/>
    <s v="Electronics"/>
    <x v="2"/>
    <x v="16"/>
    <n v="5"/>
    <n v="1908.02"/>
    <n v="0.05"/>
    <x v="183"/>
    <x v="1"/>
    <s v="Cash on Delivery"/>
    <s v="Completed"/>
    <x v="2"/>
    <s v="Completed"/>
    <s v="Marketplace"/>
    <s v="Cash On Delivery"/>
    <x v="1"/>
    <s v="VALID"/>
    <s v="NORMAL"/>
    <s v="Valid"/>
    <n v="9540.1"/>
    <n v="9063.0950000000012"/>
  </r>
  <r>
    <s v="ORD50185"/>
    <d v="2025-07-16T00:00:00"/>
    <s v="CUST1076"/>
    <s v="P004"/>
    <x v="6"/>
    <s v="Electronics"/>
    <x v="2"/>
    <x v="5"/>
    <n v="4"/>
    <n v="12969.45"/>
    <n v="0.2"/>
    <x v="184"/>
    <x v="2"/>
    <s v="Net Banking"/>
    <s v="Completed"/>
    <x v="3"/>
    <s v="Completed"/>
    <s v="Store"/>
    <s v="Net Banking"/>
    <x v="1"/>
    <s v="VALID"/>
    <s v="NORMAL"/>
    <s v="Valid"/>
    <n v="51877.8"/>
    <n v="41502.240000000005"/>
  </r>
  <r>
    <s v="ORD50186"/>
    <d v="2026-01-25T00:00:00"/>
    <s v="CUST1243"/>
    <s v="P006"/>
    <x v="10"/>
    <s v="Furniture"/>
    <x v="0"/>
    <x v="14"/>
    <n v="3"/>
    <n v="6680.98"/>
    <n v="0"/>
    <x v="185"/>
    <x v="2"/>
    <s v="Debit Card"/>
    <s v="Completed"/>
    <x v="1"/>
    <s v="Completed"/>
    <s v="Store"/>
    <s v="Debit Card"/>
    <x v="2"/>
    <s v="VALID"/>
    <s v="NORMAL"/>
    <s v="Valid"/>
    <n v="20042.939999999999"/>
    <n v="20042.939999999999"/>
  </r>
  <r>
    <s v="ORD50187"/>
    <d v="2024-09-20T00:00:00"/>
    <s v="CUST1215"/>
    <s v="P007"/>
    <x v="11"/>
    <s v="Stationery"/>
    <x v="2"/>
    <x v="5"/>
    <n v="4"/>
    <n v="454.41"/>
    <n v="0"/>
    <x v="186"/>
    <x v="2"/>
    <s v="Net Banking"/>
    <s v="Completed"/>
    <x v="2"/>
    <s v="Completed"/>
    <s v="Store"/>
    <s v="Net Banking"/>
    <x v="3"/>
    <s v="VALID"/>
    <s v="NORMAL"/>
    <s v="Valid"/>
    <n v="1817.64"/>
    <n v="1817.64"/>
  </r>
  <r>
    <s v="ORD50188"/>
    <d v="2025-04-20T00:00:00"/>
    <s v="CUST1220"/>
    <s v="P003"/>
    <x v="3"/>
    <s v="Electronics"/>
    <x v="2"/>
    <x v="5"/>
    <n v="3"/>
    <n v="1850.88"/>
    <n v="0.08"/>
    <x v="187"/>
    <x v="2"/>
    <s v="UPI"/>
    <s v="Completed"/>
    <x v="2"/>
    <s v="Completed"/>
    <s v="Store"/>
    <s v="Upi"/>
    <x v="1"/>
    <s v="VALID"/>
    <s v="NORMAL"/>
    <s v="Valid"/>
    <n v="5552.64"/>
    <n v="5108.4288000000006"/>
  </r>
  <r>
    <s v="ORD50189"/>
    <d v="2025-06-29T00:00:00"/>
    <s v="CUST1045"/>
    <s v="P014"/>
    <x v="5"/>
    <s v="Electronics"/>
    <x v="1"/>
    <x v="6"/>
    <n v="4"/>
    <n v="2974.84"/>
    <n v="0.15"/>
    <x v="188"/>
    <x v="2"/>
    <s v="Cash on Delivery"/>
    <s v="Completed"/>
    <x v="6"/>
    <s v="Completed"/>
    <s v="Store"/>
    <s v="Cash On Delivery"/>
    <x v="1"/>
    <s v="VALID"/>
    <s v="NORMAL"/>
    <s v="Valid"/>
    <n v="11899.36"/>
    <n v="10114.456"/>
  </r>
  <r>
    <s v="ORD50190"/>
    <d v="2026-05-03T00:00:00"/>
    <s v="CUST1121"/>
    <s v="P008"/>
    <x v="4"/>
    <s v="Stationery"/>
    <x v="3"/>
    <x v="11"/>
    <n v="2"/>
    <n v="223.02"/>
    <n v="0.03"/>
    <x v="189"/>
    <x v="0"/>
    <s v="Net Banking"/>
    <s v="Completed"/>
    <x v="2"/>
    <s v="Completed"/>
    <s v="Online"/>
    <s v="Net Banking"/>
    <x v="3"/>
    <s v="VALID"/>
    <s v="NORMAL"/>
    <s v="Valid"/>
    <n v="446.04"/>
    <n v="432.65880000000004"/>
  </r>
  <r>
    <s v="ORD50191"/>
    <d v="2026-03-24T00:00:00"/>
    <s v="CUST1110"/>
    <s v="P002"/>
    <x v="9"/>
    <s v="Electronics"/>
    <x v="2"/>
    <x v="5"/>
    <n v="2"/>
    <n v="1137.82"/>
    <n v="0"/>
    <x v="190"/>
    <x v="0"/>
    <s v="Net Banking"/>
    <s v="Returned"/>
    <x v="2"/>
    <s v="Returned"/>
    <s v="Online"/>
    <s v="Net Banking"/>
    <x v="1"/>
    <s v="VALID"/>
    <s v="NORMAL"/>
    <s v="Valid"/>
    <n v="2275.64"/>
    <n v="2275.64"/>
  </r>
  <r>
    <s v="ORD50192"/>
    <d v="2024-10-19T00:00:00"/>
    <s v="CUST1089"/>
    <s v="P006"/>
    <x v="10"/>
    <s v="Furniture"/>
    <x v="2"/>
    <x v="13"/>
    <n v="2"/>
    <n v="7035.69"/>
    <n v="0"/>
    <x v="191"/>
    <x v="1"/>
    <s v="Net Banking"/>
    <s v="Completed"/>
    <x v="2"/>
    <s v="Completed"/>
    <s v="Marketplace"/>
    <s v="Net Banking"/>
    <x v="2"/>
    <s v="VALID"/>
    <s v="NORMAL"/>
    <s v="Valid"/>
    <n v="14071.38"/>
    <n v="14071.38"/>
  </r>
  <r>
    <s v="ORD50193"/>
    <d v="2025-12-31T00:00:00"/>
    <s v="CUST1026"/>
    <s v="P014"/>
    <x v="5"/>
    <s v="Electronics"/>
    <x v="3"/>
    <x v="11"/>
    <n v="5"/>
    <n v="2624.12"/>
    <n v="0.1"/>
    <x v="192"/>
    <x v="0"/>
    <s v="Debit Card"/>
    <s v="Completed"/>
    <x v="3"/>
    <s v="Completed"/>
    <s v="Online"/>
    <s v="Debit Card"/>
    <x v="1"/>
    <s v="VALID"/>
    <s v="NORMAL"/>
    <s v="Valid"/>
    <n v="13120.599999999999"/>
    <n v="11808.539999999999"/>
  </r>
  <r>
    <s v="ORD50194"/>
    <d v="2024-04-21T00:00:00"/>
    <s v="CUST1180"/>
    <s v="P003"/>
    <x v="3"/>
    <s v="Electronics"/>
    <x v="1"/>
    <x v="7"/>
    <n v="5"/>
    <n v="1892.1"/>
    <n v="0.15"/>
    <x v="193"/>
    <x v="0"/>
    <s v="Cash on Delivery"/>
    <s v="Completed"/>
    <x v="4"/>
    <s v="Completed"/>
    <s v="Online"/>
    <s v="Cash On Delivery"/>
    <x v="1"/>
    <s v="VALID"/>
    <s v="NORMAL"/>
    <s v="Valid"/>
    <n v="9460.5"/>
    <n v="8041.4250000000002"/>
  </r>
  <r>
    <s v="ORD50195"/>
    <d v="2024-07-10T00:00:00"/>
    <s v="CUST1247"/>
    <s v="P007"/>
    <x v="11"/>
    <s v="Stationery"/>
    <x v="3"/>
    <x v="15"/>
    <n v="2"/>
    <n v="455.53"/>
    <n v="0.08"/>
    <x v="194"/>
    <x v="1"/>
    <s v="Cash on Delivery"/>
    <s v="Completed"/>
    <x v="6"/>
    <s v="Completed"/>
    <s v="Marketplace"/>
    <s v="Cash On Delivery"/>
    <x v="3"/>
    <s v="VALID"/>
    <s v="NORMAL"/>
    <s v="Valid"/>
    <n v="911.06"/>
    <n v="838.1751999999999"/>
  </r>
  <r>
    <s v="ORD50196"/>
    <d v="2026-06-11T00:00:00"/>
    <s v="CUST1249"/>
    <s v="P005"/>
    <x v="12"/>
    <s v="Furniture"/>
    <x v="2"/>
    <x v="13"/>
    <n v="3"/>
    <n v="10215.74"/>
    <n v="0.08"/>
    <x v="195"/>
    <x v="1"/>
    <s v="Credit Card"/>
    <s v="Cancelled"/>
    <x v="7"/>
    <s v="Cancelled"/>
    <s v="Marketplace"/>
    <s v="Credit Card"/>
    <x v="2"/>
    <s v="VALID"/>
    <s v="NORMAL"/>
    <s v="Valid"/>
    <n v="30647.22"/>
    <n v="28195.4424"/>
  </r>
  <r>
    <s v="ORD50197"/>
    <d v="2025-03-04T00:00:00"/>
    <s v="CUST1051"/>
    <s v="P002"/>
    <x v="9"/>
    <s v="Electronics"/>
    <x v="0"/>
    <x v="2"/>
    <n v="2"/>
    <n v="1123.83"/>
    <n v="0.03"/>
    <x v="196"/>
    <x v="1"/>
    <s v="UPI"/>
    <s v="Completed"/>
    <x v="7"/>
    <s v="Completed"/>
    <s v="Marketplace"/>
    <s v="Upi"/>
    <x v="1"/>
    <s v="VALID"/>
    <s v="NORMAL"/>
    <s v="Valid"/>
    <n v="2247.66"/>
    <n v="2180.2302"/>
  </r>
  <r>
    <s v="ORD50198"/>
    <d v="2024-11-23T00:00:00"/>
    <s v="CUST1099"/>
    <s v="P011"/>
    <x v="1"/>
    <s v="Electronics"/>
    <x v="2"/>
    <x v="4"/>
    <n v="3"/>
    <n v="3268.17"/>
    <n v="0.08"/>
    <x v="197"/>
    <x v="1"/>
    <s v="Cash on Delivery"/>
    <s v="Cancelled"/>
    <x v="3"/>
    <s v="Cancelled"/>
    <s v="Marketplace"/>
    <s v="Cash On Delivery"/>
    <x v="1"/>
    <s v="VALID"/>
    <s v="NORMAL"/>
    <s v="Valid"/>
    <n v="9804.51"/>
    <n v="9020.1491999999998"/>
  </r>
  <r>
    <s v="ORD50199"/>
    <d v="2025-12-05T00:00:00"/>
    <s v="CUST1148"/>
    <s v="P005"/>
    <x v="12"/>
    <s v="Furniture"/>
    <x v="2"/>
    <x v="13"/>
    <n v="3"/>
    <n v="9441.9599999999991"/>
    <n v="0.2"/>
    <x v="198"/>
    <x v="2"/>
    <s v="Credit Card"/>
    <s v="Completed"/>
    <x v="1"/>
    <s v="Completed"/>
    <s v="Store"/>
    <s v="Credit Card"/>
    <x v="2"/>
    <s v="VALID"/>
    <s v="NORMAL"/>
    <s v="Valid"/>
    <n v="28325.879999999997"/>
    <n v="22660.703999999998"/>
  </r>
  <r>
    <s v="ORD50200"/>
    <d v="2024-10-19T00:00:00"/>
    <s v="CUST1080"/>
    <s v="P015"/>
    <x v="8"/>
    <s v="Accessories"/>
    <x v="2"/>
    <x v="5"/>
    <n v="1"/>
    <n v="654.6"/>
    <n v="0.05"/>
    <x v="199"/>
    <x v="2"/>
    <s v="Net Banking"/>
    <s v="Returned"/>
    <x v="3"/>
    <s v="Returned"/>
    <s v="Store"/>
    <s v="Net Banking"/>
    <x v="0"/>
    <s v="VALID"/>
    <s v="NORMAL"/>
    <s v="Valid"/>
    <n v="654.6"/>
    <n v="621.87"/>
  </r>
  <r>
    <s v="ORD50201"/>
    <d v="2026-02-26T00:00:00"/>
    <s v="CUST1197"/>
    <s v="P004"/>
    <x v="6"/>
    <s v="Electronics"/>
    <x v="1"/>
    <x v="7"/>
    <n v="3"/>
    <n v="12014.84"/>
    <n v="0.15"/>
    <x v="200"/>
    <x v="1"/>
    <s v="Cash on Delivery"/>
    <s v="Returned"/>
    <x v="2"/>
    <s v="Returned"/>
    <s v="Marketplace"/>
    <s v="Cash On Delivery"/>
    <x v="1"/>
    <s v="VALID"/>
    <s v="NORMAL"/>
    <s v="Valid"/>
    <n v="36044.520000000004"/>
    <n v="30637.842000000004"/>
  </r>
  <r>
    <s v="ORD50202"/>
    <d v="2025-06-28T00:00:00"/>
    <s v="CUST1221"/>
    <s v="P002"/>
    <x v="9"/>
    <s v="Electronics"/>
    <x v="0"/>
    <x v="10"/>
    <n v="5"/>
    <n v="1285.54"/>
    <n v="0"/>
    <x v="201"/>
    <x v="0"/>
    <s v="Cash on Delivery"/>
    <s v="Returned"/>
    <x v="7"/>
    <s v="Returned"/>
    <s v="Online"/>
    <s v="Cash On Delivery"/>
    <x v="1"/>
    <s v="VALID"/>
    <s v="NORMAL"/>
    <s v="Valid"/>
    <n v="6427.7"/>
    <n v="6427.7"/>
  </r>
  <r>
    <s v="ORD50203"/>
    <d v="2026-06-11T00:00:00"/>
    <s v="CUST1177"/>
    <s v="P001"/>
    <x v="13"/>
    <s v="Electronics"/>
    <x v="0"/>
    <x v="0"/>
    <n v="1"/>
    <n v="65651.75"/>
    <n v="0.2"/>
    <x v="202"/>
    <x v="0"/>
    <s v="Credit Card"/>
    <s v="Cancelled"/>
    <x v="2"/>
    <s v="Cancelled"/>
    <s v="Online"/>
    <s v="Credit Card"/>
    <x v="1"/>
    <s v="VALID"/>
    <s v="NORMAL"/>
    <s v="Valid"/>
    <n v="65651.75"/>
    <n v="52521.4"/>
  </r>
  <r>
    <s v="ORD50204"/>
    <d v="2026-02-16T00:00:00"/>
    <s v="CUST1148"/>
    <s v="P004"/>
    <x v="6"/>
    <s v="Electronics"/>
    <x v="2"/>
    <x v="4"/>
    <n v="2"/>
    <n v="11510.95"/>
    <n v="0.08"/>
    <x v="203"/>
    <x v="1"/>
    <s v="Credit Card"/>
    <s v="Returned"/>
    <x v="5"/>
    <s v="Returned"/>
    <s v="Marketplace"/>
    <s v="Credit Card"/>
    <x v="1"/>
    <s v="VALID"/>
    <s v="NORMAL"/>
    <s v="Valid"/>
    <n v="23021.9"/>
    <n v="21180.148000000001"/>
  </r>
  <r>
    <s v="ORD50205"/>
    <d v="2026-06-20T00:00:00"/>
    <s v="CUST1071"/>
    <s v="P006"/>
    <x v="10"/>
    <s v="Furniture"/>
    <x v="1"/>
    <x v="1"/>
    <n v="3"/>
    <n v="6809"/>
    <n v="0"/>
    <x v="204"/>
    <x v="1"/>
    <s v="UPI"/>
    <s v="Completed"/>
    <x v="2"/>
    <s v="Completed"/>
    <s v="Marketplace"/>
    <s v="Upi"/>
    <x v="2"/>
    <s v="VALID"/>
    <s v="NORMAL"/>
    <s v="Valid"/>
    <n v="20427"/>
    <n v="20427"/>
  </r>
  <r>
    <s v="ORD50206"/>
    <d v="2025-05-04T00:00:00"/>
    <s v="CUST1222"/>
    <s v="P004"/>
    <x v="6"/>
    <s v="Electronics"/>
    <x v="1"/>
    <x v="6"/>
    <n v="1"/>
    <n v="13211.28"/>
    <n v="0.2"/>
    <x v="205"/>
    <x v="1"/>
    <s v="Debit Card"/>
    <s v="Returned"/>
    <x v="5"/>
    <s v="Returned"/>
    <s v="Marketplace"/>
    <s v="Debit Card"/>
    <x v="1"/>
    <s v="VALID"/>
    <s v="NORMAL"/>
    <s v="Valid"/>
    <n v="13211.28"/>
    <n v="10569.024000000001"/>
  </r>
  <r>
    <s v="ORD50207"/>
    <d v="2025-06-12T00:00:00"/>
    <s v="CUST1211"/>
    <s v="P006"/>
    <x v="10"/>
    <s v="Furniture"/>
    <x v="3"/>
    <x v="11"/>
    <n v="1"/>
    <n v="7178.99"/>
    <n v="0.05"/>
    <x v="206"/>
    <x v="2"/>
    <s v="Net Banking"/>
    <s v="Returned"/>
    <x v="0"/>
    <s v="Returned"/>
    <s v="Store"/>
    <s v="Net Banking"/>
    <x v="2"/>
    <s v="VALID"/>
    <s v="NORMAL"/>
    <s v="Valid"/>
    <n v="7178.99"/>
    <n v="6820.0405000000001"/>
  </r>
  <r>
    <s v="ORD50208"/>
    <d v="2025-07-07T00:00:00"/>
    <s v="CUST1034"/>
    <s v="P014"/>
    <x v="5"/>
    <s v="Electronics"/>
    <x v="2"/>
    <x v="5"/>
    <n v="5"/>
    <n v="2763.09"/>
    <n v="0.05"/>
    <x v="207"/>
    <x v="1"/>
    <s v="Net Banking"/>
    <s v="Completed"/>
    <x v="6"/>
    <s v="Completed"/>
    <s v="Marketplace"/>
    <s v="Net Banking"/>
    <x v="1"/>
    <s v="VALID"/>
    <s v="NORMAL"/>
    <s v="Valid"/>
    <n v="13815.45"/>
    <n v="13124.677500000002"/>
  </r>
  <r>
    <s v="ORD50209"/>
    <d v="2024-03-03T00:00:00"/>
    <s v="CUST1228"/>
    <s v="P005"/>
    <x v="12"/>
    <s v="Furniture"/>
    <x v="0"/>
    <x v="2"/>
    <n v="2"/>
    <n v="8776.43"/>
    <n v="0.15"/>
    <x v="208"/>
    <x v="2"/>
    <s v="Debit Card"/>
    <s v="Completed"/>
    <x v="3"/>
    <s v="Completed"/>
    <s v="Store"/>
    <s v="Debit Card"/>
    <x v="2"/>
    <s v="VALID"/>
    <s v="NORMAL"/>
    <s v="Valid"/>
    <n v="17552.86"/>
    <n v="14919.931"/>
  </r>
  <r>
    <s v="ORD50210"/>
    <d v="2025-09-21T00:00:00"/>
    <s v="CUST1206"/>
    <s v="P009"/>
    <x v="7"/>
    <s v="Accessories"/>
    <x v="3"/>
    <x v="8"/>
    <n v="4"/>
    <n v="1764.5"/>
    <n v="0.1"/>
    <x v="209"/>
    <x v="0"/>
    <s v="UPI"/>
    <s v="Completed"/>
    <x v="3"/>
    <s v="Completed"/>
    <s v="Online"/>
    <s v="Upi"/>
    <x v="0"/>
    <s v="VALID"/>
    <s v="NORMAL"/>
    <s v="Valid"/>
    <n v="7058"/>
    <n v="6352.2"/>
  </r>
  <r>
    <s v="ORD50211"/>
    <d v="2026-05-26T00:00:00"/>
    <s v="CUST1037"/>
    <s v="P008"/>
    <x v="4"/>
    <s v="Stationery"/>
    <x v="1"/>
    <x v="1"/>
    <n v="2"/>
    <n v="209.03"/>
    <n v="0.08"/>
    <x v="210"/>
    <x v="2"/>
    <s v="UPI"/>
    <s v="Completed"/>
    <x v="7"/>
    <s v="Completed"/>
    <s v="Store"/>
    <s v="Upi"/>
    <x v="3"/>
    <s v="VALID"/>
    <s v="NORMAL"/>
    <s v="Valid"/>
    <n v="418.06"/>
    <n v="384.61520000000002"/>
  </r>
  <r>
    <s v="ORD50212"/>
    <d v="2026-05-13T00:00:00"/>
    <s v="CUST1064"/>
    <s v="P003"/>
    <x v="3"/>
    <s v="Electronics"/>
    <x v="2"/>
    <x v="5"/>
    <n v="2"/>
    <n v="1936.63"/>
    <n v="0.15"/>
    <x v="211"/>
    <x v="2"/>
    <s v="Net Banking"/>
    <s v="Returned"/>
    <x v="6"/>
    <s v="Returned"/>
    <s v="Store"/>
    <s v="Net Banking"/>
    <x v="1"/>
    <s v="VALID"/>
    <s v="NORMAL"/>
    <s v="Valid"/>
    <n v="3873.26"/>
    <n v="3292.2710000000002"/>
  </r>
  <r>
    <s v="ORD50213"/>
    <d v="2026-03-17T00:00:00"/>
    <s v="CUST1113"/>
    <s v="P010"/>
    <x v="14"/>
    <s v="Electronics"/>
    <x v="2"/>
    <x v="5"/>
    <n v="3"/>
    <n v="2036.64"/>
    <n v="0"/>
    <x v="212"/>
    <x v="2"/>
    <s v="Credit Card"/>
    <s v="Returned"/>
    <x v="3"/>
    <s v="Returned"/>
    <s v="Store"/>
    <s v="Credit Card"/>
    <x v="1"/>
    <s v="VALID"/>
    <s v="NORMAL"/>
    <s v="Valid"/>
    <n v="6109.92"/>
    <n v="6109.92"/>
  </r>
  <r>
    <s v="ORD50214"/>
    <d v="2026-05-24T00:00:00"/>
    <s v="CUST1136"/>
    <s v="P010"/>
    <x v="14"/>
    <s v="Electronics"/>
    <x v="3"/>
    <x v="15"/>
    <n v="2"/>
    <n v="2130.2199999999998"/>
    <n v="0.1"/>
    <x v="213"/>
    <x v="2"/>
    <s v="UPI"/>
    <s v="Completed"/>
    <x v="5"/>
    <s v="Completed"/>
    <s v="Store"/>
    <s v="Upi"/>
    <x v="1"/>
    <s v="VALID"/>
    <s v="NORMAL"/>
    <s v="Valid"/>
    <n v="4260.4399999999996"/>
    <n v="3834.3959999999997"/>
  </r>
  <r>
    <s v="ORD50215"/>
    <d v="2025-11-25T00:00:00"/>
    <s v="CUST1016"/>
    <s v="P013"/>
    <x v="2"/>
    <s v="Furniture"/>
    <x v="1"/>
    <x v="3"/>
    <n v="1"/>
    <n v="1685.69"/>
    <n v="0.03"/>
    <x v="214"/>
    <x v="0"/>
    <s v="Net Banking"/>
    <s v="Completed"/>
    <x v="4"/>
    <s v="Completed"/>
    <s v="Online"/>
    <s v="Net Banking"/>
    <x v="2"/>
    <s v="VALID"/>
    <s v="NORMAL"/>
    <s v="Valid"/>
    <n v="1685.69"/>
    <n v="1635.1193000000001"/>
  </r>
  <r>
    <s v="ORD50216"/>
    <d v="2026-04-15T00:00:00"/>
    <s v="CUST1258"/>
    <s v="P014"/>
    <x v="5"/>
    <s v="Electronics"/>
    <x v="0"/>
    <x v="0"/>
    <n v="4"/>
    <n v="2775.37"/>
    <n v="0.05"/>
    <x v="215"/>
    <x v="0"/>
    <s v="Cash on Delivery"/>
    <s v="Completed"/>
    <x v="1"/>
    <s v="Completed"/>
    <s v="Online"/>
    <s v="Cash On Delivery"/>
    <x v="1"/>
    <s v="VALID"/>
    <s v="NORMAL"/>
    <s v="Valid"/>
    <n v="11101.48"/>
    <n v="10546.405999999999"/>
  </r>
  <r>
    <s v="ORD50217"/>
    <d v="2025-12-22T00:00:00"/>
    <s v="CUST1251"/>
    <s v="P003"/>
    <x v="3"/>
    <s v="Electronics"/>
    <x v="0"/>
    <x v="14"/>
    <n v="2"/>
    <n v="1683.15"/>
    <n v="0.03"/>
    <x v="216"/>
    <x v="1"/>
    <s v="UPI"/>
    <s v="Cancelled"/>
    <x v="7"/>
    <s v="Cancelled"/>
    <s v="Marketplace"/>
    <s v="Upi"/>
    <x v="1"/>
    <s v="VALID"/>
    <s v="NORMAL"/>
    <s v="Valid"/>
    <n v="3366.3"/>
    <n v="3265.3110000000001"/>
  </r>
  <r>
    <s v="ORD50218"/>
    <d v="2026-01-26T00:00:00"/>
    <s v="CUST1163"/>
    <s v="P002"/>
    <x v="9"/>
    <s v="Electronics"/>
    <x v="1"/>
    <x v="6"/>
    <n v="4"/>
    <n v="1285.1300000000001"/>
    <n v="0.15"/>
    <x v="217"/>
    <x v="1"/>
    <s v="Net Banking"/>
    <s v="Completed"/>
    <x v="7"/>
    <s v="Completed"/>
    <s v="Marketplace"/>
    <s v="Net Banking"/>
    <x v="1"/>
    <s v="VALID"/>
    <s v="NORMAL"/>
    <s v="Valid"/>
    <n v="5140.5200000000004"/>
    <n v="4369.442"/>
  </r>
  <r>
    <s v="ORD50219"/>
    <d v="2024-12-19T00:00:00"/>
    <s v="CUST1253"/>
    <s v="P009"/>
    <x v="7"/>
    <s v="Accessories"/>
    <x v="1"/>
    <x v="3"/>
    <n v="5"/>
    <n v="1858.99"/>
    <n v="0.03"/>
    <x v="218"/>
    <x v="2"/>
    <s v="Debit Card"/>
    <s v="Completed"/>
    <x v="6"/>
    <s v="Completed"/>
    <s v="Store"/>
    <s v="Debit Card"/>
    <x v="0"/>
    <s v="VALID"/>
    <s v="NORMAL"/>
    <s v="Valid"/>
    <n v="9294.9500000000007"/>
    <n v="9016.1015000000007"/>
  </r>
  <r>
    <s v="ORD50220"/>
    <d v="2024-12-18T00:00:00"/>
    <s v="CUST1189"/>
    <s v="P005"/>
    <x v="12"/>
    <s v="Furniture"/>
    <x v="2"/>
    <x v="5"/>
    <n v="1"/>
    <n v="8876.42"/>
    <n v="0.05"/>
    <x v="219"/>
    <x v="2"/>
    <s v="Net Banking"/>
    <s v="Cancelled"/>
    <x v="3"/>
    <s v="Cancelled"/>
    <s v="Store"/>
    <s v="Net Banking"/>
    <x v="2"/>
    <s v="VALID"/>
    <s v="NORMAL"/>
    <s v="Valid"/>
    <n v="8876.42"/>
    <n v="8432.5990000000002"/>
  </r>
  <r>
    <s v="ORD50221"/>
    <d v="2024-06-25T00:00:00"/>
    <s v="CUST1010"/>
    <s v="P014"/>
    <x v="5"/>
    <s v="Electronics"/>
    <x v="1"/>
    <x v="3"/>
    <n v="4"/>
    <n v="2646.57"/>
    <n v="0"/>
    <x v="220"/>
    <x v="0"/>
    <s v="Credit Card"/>
    <s v="Returned"/>
    <x v="6"/>
    <s v="Returned"/>
    <s v="Online"/>
    <s v="Credit Card"/>
    <x v="1"/>
    <s v="VALID"/>
    <s v="NORMAL"/>
    <s v="Valid"/>
    <n v="10586.28"/>
    <n v="10586.28"/>
  </r>
  <r>
    <s v="ORD50222"/>
    <d v="2024-07-18T00:00:00"/>
    <s v="CUST1011"/>
    <s v="P006"/>
    <x v="10"/>
    <s v="Furniture"/>
    <x v="0"/>
    <x v="0"/>
    <n v="4"/>
    <n v="7749.73"/>
    <n v="0.2"/>
    <x v="221"/>
    <x v="2"/>
    <s v="UPI"/>
    <s v="Completed"/>
    <x v="2"/>
    <s v="Completed"/>
    <s v="Store"/>
    <s v="Upi"/>
    <x v="2"/>
    <s v="VALID"/>
    <s v="NORMAL"/>
    <s v="Valid"/>
    <n v="30998.92"/>
    <n v="24799.135999999999"/>
  </r>
  <r>
    <s v="ORD50223"/>
    <d v="2026-04-30T00:00:00"/>
    <s v="CUST1148"/>
    <s v="P001"/>
    <x v="13"/>
    <s v="Electronics"/>
    <x v="3"/>
    <x v="9"/>
    <n v="1"/>
    <n v="69289.47"/>
    <n v="0.03"/>
    <x v="222"/>
    <x v="2"/>
    <s v="Net Banking"/>
    <s v="Completed"/>
    <x v="6"/>
    <s v="Completed"/>
    <s v="Store"/>
    <s v="Net Banking"/>
    <x v="1"/>
    <s v="VALID"/>
    <s v="NORMAL"/>
    <s v="Valid"/>
    <n v="69289.47"/>
    <n v="67210.785900000003"/>
  </r>
  <r>
    <s v="ORD50224"/>
    <d v="2024-07-03T00:00:00"/>
    <s v="CUST1163"/>
    <s v="P008"/>
    <x v="4"/>
    <s v="Stationery"/>
    <x v="1"/>
    <x v="3"/>
    <n v="5"/>
    <n v="232.82"/>
    <n v="0.1"/>
    <x v="223"/>
    <x v="0"/>
    <s v="Credit Card"/>
    <s v="Completed"/>
    <x v="4"/>
    <s v="Completed"/>
    <s v="Online"/>
    <s v="Credit Card"/>
    <x v="3"/>
    <s v="VALID"/>
    <s v="NORMAL"/>
    <s v="Valid"/>
    <n v="1164.0999999999999"/>
    <n v="1047.6899999999998"/>
  </r>
  <r>
    <s v="ORD50225"/>
    <d v="2025-03-06T00:00:00"/>
    <s v="CUST1246"/>
    <s v="P004"/>
    <x v="6"/>
    <s v="Electronics"/>
    <x v="2"/>
    <x v="13"/>
    <n v="3"/>
    <n v="12256.62"/>
    <n v="0.1"/>
    <x v="224"/>
    <x v="1"/>
    <s v="UPI"/>
    <s v="Completed"/>
    <x v="3"/>
    <s v="Completed"/>
    <s v="Marketplace"/>
    <s v="Upi"/>
    <x v="1"/>
    <s v="VALID"/>
    <s v="NORMAL"/>
    <s v="Valid"/>
    <n v="36769.86"/>
    <n v="33092.874000000003"/>
  </r>
  <r>
    <s v="ORD50226"/>
    <d v="2024-06-15T00:00:00"/>
    <s v="CUST1043"/>
    <s v="P010"/>
    <x v="14"/>
    <s v="Electronics"/>
    <x v="2"/>
    <x v="13"/>
    <n v="1"/>
    <n v="2260.84"/>
    <n v="0.1"/>
    <x v="225"/>
    <x v="1"/>
    <s v="Credit Card"/>
    <s v="Cancelled"/>
    <x v="0"/>
    <s v="Cancelled"/>
    <s v="Marketplace"/>
    <s v="Credit Card"/>
    <x v="1"/>
    <s v="VALID"/>
    <s v="NORMAL"/>
    <s v="Valid"/>
    <n v="2260.84"/>
    <n v="2034.7560000000001"/>
  </r>
  <r>
    <s v="ORD50227"/>
    <d v="2026-04-03T00:00:00"/>
    <s v="CUST1049"/>
    <s v="P003"/>
    <x v="3"/>
    <s v="Electronics"/>
    <x v="0"/>
    <x v="14"/>
    <n v="5"/>
    <n v="1686.91"/>
    <n v="0.15"/>
    <x v="226"/>
    <x v="2"/>
    <s v="Debit Card"/>
    <s v="Completed"/>
    <x v="4"/>
    <s v="Completed"/>
    <s v="Store"/>
    <s v="Debit Card"/>
    <x v="1"/>
    <s v="VALID"/>
    <s v="NORMAL"/>
    <s v="Valid"/>
    <n v="8434.5500000000011"/>
    <n v="7169.3675000000012"/>
  </r>
  <r>
    <s v="ORD50228"/>
    <d v="2025-04-08T00:00:00"/>
    <s v="CUST1134"/>
    <s v="P015"/>
    <x v="8"/>
    <s v="Accessories"/>
    <x v="2"/>
    <x v="13"/>
    <n v="2"/>
    <n v="698.46"/>
    <n v="0.2"/>
    <x v="227"/>
    <x v="1"/>
    <s v="Debit Card"/>
    <s v="Returned"/>
    <x v="4"/>
    <s v="Returned"/>
    <s v="Marketplace"/>
    <s v="Debit Card"/>
    <x v="0"/>
    <s v="VALID"/>
    <s v="NORMAL"/>
    <s v="Valid"/>
    <n v="1396.92"/>
    <n v="1117.5360000000001"/>
  </r>
  <r>
    <s v="ORD50229"/>
    <d v="2025-10-31T00:00:00"/>
    <s v="CUST1166"/>
    <s v="P009"/>
    <x v="7"/>
    <s v="Accessories"/>
    <x v="3"/>
    <x v="8"/>
    <n v="2"/>
    <n v="1670.64"/>
    <n v="0.15"/>
    <x v="228"/>
    <x v="1"/>
    <s v="UPI"/>
    <s v="Completed"/>
    <x v="3"/>
    <s v="Completed"/>
    <s v="Marketplace"/>
    <s v="Upi"/>
    <x v="0"/>
    <s v="VALID"/>
    <s v="NORMAL"/>
    <s v="Valid"/>
    <n v="3341.28"/>
    <n v="2840.0880000000002"/>
  </r>
  <r>
    <s v="ORD50230"/>
    <d v="2026-03-28T00:00:00"/>
    <s v="CUST1188"/>
    <s v="P005"/>
    <x v="12"/>
    <s v="Furniture"/>
    <x v="2"/>
    <x v="12"/>
    <n v="4"/>
    <n v="9989.76"/>
    <n v="0"/>
    <x v="229"/>
    <x v="1"/>
    <s v="Net Banking"/>
    <s v="Returned"/>
    <x v="3"/>
    <s v="Returned"/>
    <s v="Marketplace"/>
    <s v="Net Banking"/>
    <x v="2"/>
    <s v="VALID"/>
    <s v="NORMAL"/>
    <s v="Valid"/>
    <n v="39959.040000000001"/>
    <n v="39959.040000000001"/>
  </r>
  <r>
    <s v="ORD50231"/>
    <d v="2025-02-19T00:00:00"/>
    <s v="CUST1165"/>
    <s v="P010"/>
    <x v="14"/>
    <s v="Electronics"/>
    <x v="3"/>
    <x v="9"/>
    <n v="5"/>
    <n v="2146.38"/>
    <n v="0.15"/>
    <x v="230"/>
    <x v="2"/>
    <s v="Net Banking"/>
    <s v="Cancelled"/>
    <x v="5"/>
    <s v="Cancelled"/>
    <s v="Store"/>
    <s v="Net Banking"/>
    <x v="1"/>
    <s v="VALID"/>
    <s v="NORMAL"/>
    <s v="Valid"/>
    <n v="10731.900000000001"/>
    <n v="9122.1150000000016"/>
  </r>
  <r>
    <s v="ORD50232"/>
    <d v="2026-05-26T00:00:00"/>
    <s v="CUST1097"/>
    <s v="P011"/>
    <x v="1"/>
    <s v="Electronics"/>
    <x v="2"/>
    <x v="12"/>
    <n v="3"/>
    <n v="3359.81"/>
    <n v="0.05"/>
    <x v="231"/>
    <x v="0"/>
    <s v="Net Banking"/>
    <s v="Completed"/>
    <x v="3"/>
    <s v="Completed"/>
    <s v="Online"/>
    <s v="Net Banking"/>
    <x v="1"/>
    <s v="VALID"/>
    <s v="NORMAL"/>
    <s v="Valid"/>
    <n v="10079.43"/>
    <n v="9575.4585000000006"/>
  </r>
  <r>
    <s v="ORD50233"/>
    <d v="2025-04-30T00:00:00"/>
    <s v="CUST1035"/>
    <s v="P004"/>
    <x v="6"/>
    <s v="Electronics"/>
    <x v="0"/>
    <x v="10"/>
    <n v="4"/>
    <n v="11897.17"/>
    <n v="0.05"/>
    <x v="232"/>
    <x v="2"/>
    <s v="UPI"/>
    <s v="Cancelled"/>
    <x v="2"/>
    <s v="Cancelled"/>
    <s v="Store"/>
    <s v="Upi"/>
    <x v="1"/>
    <s v="VALID"/>
    <s v="NORMAL"/>
    <s v="Valid"/>
    <n v="47588.68"/>
    <n v="45209.245999999999"/>
  </r>
  <r>
    <s v="ORD50234"/>
    <d v="2026-03-26T00:00:00"/>
    <s v="CUST1209"/>
    <s v="P011"/>
    <x v="1"/>
    <s v="Electronics"/>
    <x v="2"/>
    <x v="5"/>
    <n v="3"/>
    <n v="3433.5"/>
    <n v="0"/>
    <x v="233"/>
    <x v="0"/>
    <s v="UPI"/>
    <s v="Completed"/>
    <x v="1"/>
    <s v="Completed"/>
    <s v="Online"/>
    <s v="Upi"/>
    <x v="1"/>
    <s v="VALID"/>
    <s v="NORMAL"/>
    <s v="Valid"/>
    <n v="10300.5"/>
    <n v="10300.5"/>
  </r>
  <r>
    <s v="ORD50235"/>
    <d v="2024-10-26T00:00:00"/>
    <s v="CUST1198"/>
    <s v="P008"/>
    <x v="4"/>
    <s v="Stationery"/>
    <x v="3"/>
    <x v="15"/>
    <n v="5"/>
    <n v="227.33"/>
    <n v="0.15"/>
    <x v="234"/>
    <x v="0"/>
    <s v="Net Banking"/>
    <s v="Completed"/>
    <x v="6"/>
    <s v="Completed"/>
    <s v="Online"/>
    <s v="Net Banking"/>
    <x v="3"/>
    <s v="VALID"/>
    <s v="NORMAL"/>
    <s v="Valid"/>
    <n v="1136.6500000000001"/>
    <n v="966.15250000000015"/>
  </r>
  <r>
    <s v="ORD50236"/>
    <d v="2025-03-12T00:00:00"/>
    <s v="CUST1100"/>
    <s v="P013"/>
    <x v="2"/>
    <s v="Furniture"/>
    <x v="3"/>
    <x v="11"/>
    <n v="2"/>
    <n v="1550.93"/>
    <n v="0.03"/>
    <x v="235"/>
    <x v="1"/>
    <s v="Debit Card"/>
    <s v="Cancelled"/>
    <x v="0"/>
    <s v="Cancelled"/>
    <s v="Marketplace"/>
    <s v="Debit Card"/>
    <x v="2"/>
    <s v="VALID"/>
    <s v="NORMAL"/>
    <s v="Valid"/>
    <n v="3101.86"/>
    <n v="3008.8042"/>
  </r>
  <r>
    <s v="ORD50237"/>
    <d v="2024-05-15T00:00:00"/>
    <s v="CUST1204"/>
    <s v="P002"/>
    <x v="9"/>
    <s v="Electronics"/>
    <x v="2"/>
    <x v="5"/>
    <n v="3"/>
    <n v="1247.6099999999999"/>
    <n v="0.03"/>
    <x v="236"/>
    <x v="1"/>
    <s v="Credit Card"/>
    <s v="Completed"/>
    <x v="3"/>
    <s v="Completed"/>
    <s v="Marketplace"/>
    <s v="Credit Card"/>
    <x v="1"/>
    <s v="VALID"/>
    <s v="NORMAL"/>
    <s v="Valid"/>
    <n v="3742.83"/>
    <n v="3630.5450999999998"/>
  </r>
  <r>
    <s v="ORD50238"/>
    <d v="2026-01-18T00:00:00"/>
    <s v="CUST1061"/>
    <s v="P005"/>
    <x v="12"/>
    <s v="Furniture"/>
    <x v="3"/>
    <x v="9"/>
    <n v="100"/>
    <n v="9008.06"/>
    <n v="0.05"/>
    <x v="237"/>
    <x v="2"/>
    <s v="Credit Card"/>
    <s v="Cancelled"/>
    <x v="2"/>
    <s v="Cancelled"/>
    <s v="Store"/>
    <s v="Credit Card"/>
    <x v="2"/>
    <s v="VALID"/>
    <s v="NORMAL"/>
    <s v="Valid"/>
    <n v="900806"/>
    <n v="855765.7"/>
  </r>
  <r>
    <s v="ORD50239"/>
    <d v="2026-04-09T00:00:00"/>
    <s v="CUST1071"/>
    <s v="P012"/>
    <x v="0"/>
    <s v="Accessories"/>
    <x v="3"/>
    <x v="11"/>
    <n v="2"/>
    <n v="799.8"/>
    <n v="0.03"/>
    <x v="238"/>
    <x v="2"/>
    <s v="Net Banking"/>
    <s v="Completed"/>
    <x v="6"/>
    <s v="Completed"/>
    <s v="Store"/>
    <s v="Net Banking"/>
    <x v="0"/>
    <s v="VALID"/>
    <s v="NORMAL"/>
    <s v="Valid"/>
    <n v="1599.6"/>
    <n v="1551.6119999999999"/>
  </r>
  <r>
    <s v="ORD50240"/>
    <d v="2024-12-02T00:00:00"/>
    <s v="CUST1095"/>
    <s v="P014"/>
    <x v="5"/>
    <s v="Electronics"/>
    <x v="3"/>
    <x v="9"/>
    <n v="3"/>
    <n v="2992.64"/>
    <n v="0.15"/>
    <x v="239"/>
    <x v="2"/>
    <s v="Net Banking"/>
    <s v="Completed"/>
    <x v="6"/>
    <s v="Completed"/>
    <s v="Store"/>
    <s v="Net Banking"/>
    <x v="1"/>
    <s v="VALID"/>
    <s v="NORMAL"/>
    <s v="Valid"/>
    <n v="8977.92"/>
    <n v="7631.232"/>
  </r>
  <r>
    <s v="ORD50241"/>
    <d v="2025-07-22T00:00:00"/>
    <s v="CUST1232"/>
    <s v="P015"/>
    <x v="8"/>
    <s v="Accessories"/>
    <x v="2"/>
    <x v="12"/>
    <n v="4"/>
    <n v="745.76"/>
    <n v="0.08"/>
    <x v="240"/>
    <x v="1"/>
    <s v="Credit Card"/>
    <s v="Completed"/>
    <x v="6"/>
    <s v="Completed"/>
    <s v="Marketplace"/>
    <s v="Credit Card"/>
    <x v="0"/>
    <s v="VALID"/>
    <s v="NORMAL"/>
    <s v="Valid"/>
    <n v="2983.04"/>
    <n v="2744.3968"/>
  </r>
  <r>
    <s v="ORD50242"/>
    <d v="2024-03-15T00:00:00"/>
    <s v="CUST1128"/>
    <s v="P011"/>
    <x v="1"/>
    <s v="Electronics"/>
    <x v="3"/>
    <x v="9"/>
    <n v="3"/>
    <n v="3197.09"/>
    <m/>
    <x v="241"/>
    <x v="2"/>
    <s v="Debit Card"/>
    <s v="Cancelled"/>
    <x v="7"/>
    <s v="Cancelled"/>
    <s v="Store"/>
    <s v="Debit Card"/>
    <x v="1"/>
    <s v="VALID"/>
    <s v="NORMAL"/>
    <s v="Valid"/>
    <n v="9591.27"/>
    <n v="9591.27"/>
  </r>
  <r>
    <s v="ORD50243"/>
    <d v="2025-08-08T00:00:00"/>
    <s v="CUST1059"/>
    <s v="P013"/>
    <x v="2"/>
    <s v="Furniture"/>
    <x v="1"/>
    <x v="6"/>
    <n v="1"/>
    <n v="1675.01"/>
    <n v="0.1"/>
    <x v="242"/>
    <x v="1"/>
    <s v="Net Banking"/>
    <s v="Returned"/>
    <x v="0"/>
    <s v="Returned"/>
    <s v="Marketplace"/>
    <s v="Net Banking"/>
    <x v="2"/>
    <s v="VALID"/>
    <s v="NORMAL"/>
    <s v="Valid"/>
    <n v="1675.01"/>
    <n v="1507.509"/>
  </r>
  <r>
    <s v="ORD50244"/>
    <d v="2026-03-07T00:00:00"/>
    <s v="CUST1195"/>
    <s v="P002"/>
    <x v="9"/>
    <s v="Electronics"/>
    <x v="1"/>
    <x v="1"/>
    <n v="1"/>
    <n v="1181.1199999999999"/>
    <n v="0.05"/>
    <x v="243"/>
    <x v="1"/>
    <s v="Net Banking"/>
    <s v="Completed"/>
    <x v="5"/>
    <s v="Completed"/>
    <s v="Marketplace"/>
    <s v="Net Banking"/>
    <x v="1"/>
    <s v="VALID"/>
    <s v="NORMAL"/>
    <s v="Valid"/>
    <n v="1181.1199999999999"/>
    <n v="1122.0639999999999"/>
  </r>
  <r>
    <s v="ORD50245"/>
    <d v="2025-01-28T00:00:00"/>
    <s v="CUST1078"/>
    <s v="P006"/>
    <x v="10"/>
    <s v="Furniture"/>
    <x v="1"/>
    <x v="6"/>
    <n v="3"/>
    <n v="6819.61"/>
    <n v="0.1"/>
    <x v="244"/>
    <x v="0"/>
    <s v="Net Banking"/>
    <s v="Completed"/>
    <x v="0"/>
    <s v="Completed"/>
    <s v="Online"/>
    <s v="Net Banking"/>
    <x v="2"/>
    <s v="VALID"/>
    <s v="NORMAL"/>
    <s v="Valid"/>
    <n v="20458.829999999998"/>
    <n v="18412.947"/>
  </r>
  <r>
    <s v="ORD50246"/>
    <d v="2026-05-15T00:00:00"/>
    <s v="CUST1175"/>
    <s v="P012"/>
    <x v="0"/>
    <s v="Accessories"/>
    <x v="2"/>
    <x v="5"/>
    <n v="1"/>
    <n v="874.66"/>
    <n v="0.15"/>
    <x v="245"/>
    <x v="1"/>
    <s v="UPI"/>
    <s v="Completed"/>
    <x v="6"/>
    <s v="Completed"/>
    <s v="Marketplace"/>
    <s v="Upi"/>
    <x v="0"/>
    <s v="VALID"/>
    <s v="NORMAL"/>
    <s v="Valid"/>
    <n v="874.66"/>
    <n v="743.46100000000001"/>
  </r>
  <r>
    <s v="ORD50247"/>
    <d v="2026-06-11T00:00:00"/>
    <s v="CUST1037"/>
    <s v="P004"/>
    <x v="6"/>
    <s v="Electronics"/>
    <x v="1"/>
    <x v="3"/>
    <n v="5"/>
    <n v="12855.42"/>
    <n v="0.15"/>
    <x v="246"/>
    <x v="1"/>
    <s v="Debit Card"/>
    <s v="Completed"/>
    <x v="5"/>
    <s v="Completed"/>
    <s v="Marketplace"/>
    <s v="Debit Card"/>
    <x v="1"/>
    <s v="VALID"/>
    <s v="NORMAL"/>
    <s v="Valid"/>
    <n v="64277.1"/>
    <n v="54635.535000000003"/>
  </r>
  <r>
    <s v="ORD50248"/>
    <d v="2024-09-08T00:00:00"/>
    <s v="CUST1257"/>
    <s v="P006"/>
    <x v="10"/>
    <s v="Furniture"/>
    <x v="1"/>
    <x v="1"/>
    <n v="3"/>
    <n v="7119.31"/>
    <n v="0.03"/>
    <x v="247"/>
    <x v="1"/>
    <s v="Credit Card"/>
    <s v="Cancelled"/>
    <x v="6"/>
    <s v="Cancelled"/>
    <s v="Marketplace"/>
    <s v="Credit Card"/>
    <x v="2"/>
    <s v="VALID"/>
    <s v="NORMAL"/>
    <s v="Valid"/>
    <n v="21357.93"/>
    <n v="20717.1921"/>
  </r>
  <r>
    <s v="ORD50249"/>
    <d v="2025-07-08T00:00:00"/>
    <s v="CUST1218"/>
    <s v="P012"/>
    <x v="0"/>
    <s v="Accessories"/>
    <x v="0"/>
    <x v="14"/>
    <n v="2"/>
    <n v="810.98"/>
    <n v="0.15"/>
    <x v="248"/>
    <x v="0"/>
    <s v="Debit Card"/>
    <s v="Completed"/>
    <x v="1"/>
    <s v="Completed"/>
    <s v="Online"/>
    <s v="Debit Card"/>
    <x v="0"/>
    <s v="VALID"/>
    <s v="NORMAL"/>
    <s v="Valid"/>
    <n v="1621.96"/>
    <n v="1378.6660000000002"/>
  </r>
  <r>
    <s v="ORD50250"/>
    <d v="2026-06-25T00:00:00"/>
    <s v="CUST1190"/>
    <s v="P014"/>
    <x v="5"/>
    <s v="Electronics"/>
    <x v="3"/>
    <x v="15"/>
    <n v="2"/>
    <n v="2808.47"/>
    <n v="0.03"/>
    <x v="249"/>
    <x v="1"/>
    <s v="UPI"/>
    <s v="Completed"/>
    <x v="3"/>
    <s v="Completed"/>
    <s v="Marketplace"/>
    <s v="Upi"/>
    <x v="1"/>
    <s v="VALID"/>
    <s v="NORMAL"/>
    <s v="Valid"/>
    <n v="5616.94"/>
    <n v="5448.4317999999994"/>
  </r>
  <r>
    <s v="ORD50251"/>
    <d v="2024-11-04T00:00:00"/>
    <s v="CUST1050"/>
    <s v="P012"/>
    <x v="0"/>
    <s v="Accessories"/>
    <x v="3"/>
    <x v="8"/>
    <n v="2"/>
    <n v="808.59"/>
    <n v="0.03"/>
    <x v="250"/>
    <x v="2"/>
    <s v="Debit Card"/>
    <s v="Completed"/>
    <x v="0"/>
    <s v="Completed"/>
    <s v="Store"/>
    <s v="Debit Card"/>
    <x v="0"/>
    <s v="VALID"/>
    <s v="NORMAL"/>
    <s v="Valid"/>
    <n v="1617.18"/>
    <n v="1568.6646000000001"/>
  </r>
  <r>
    <s v="ORD50252"/>
    <d v="2026-02-24T00:00:00"/>
    <s v="CUST1043"/>
    <s v="P008"/>
    <x v="4"/>
    <s v="Stationery"/>
    <x v="0"/>
    <x v="10"/>
    <n v="4"/>
    <n v="237"/>
    <n v="0.1"/>
    <x v="251"/>
    <x v="2"/>
    <s v="Debit Card"/>
    <s v="Completed"/>
    <x v="5"/>
    <s v="Completed"/>
    <s v="Store"/>
    <s v="Debit Card"/>
    <x v="3"/>
    <s v="VALID"/>
    <s v="NORMAL"/>
    <s v="Valid"/>
    <n v="948"/>
    <n v="853.2"/>
  </r>
  <r>
    <s v="ORD50253"/>
    <d v="2024-03-06T00:00:00"/>
    <s v="CUST1197"/>
    <s v="P004"/>
    <x v="6"/>
    <s v="Electronics"/>
    <x v="1"/>
    <x v="1"/>
    <n v="4"/>
    <n v="11695.58"/>
    <n v="0"/>
    <x v="252"/>
    <x v="2"/>
    <s v="UPI"/>
    <s v="Completed"/>
    <x v="2"/>
    <s v="Completed"/>
    <s v="Store"/>
    <s v="Upi"/>
    <x v="1"/>
    <s v="VALID"/>
    <s v="NORMAL"/>
    <s v="Valid"/>
    <n v="46782.32"/>
    <n v="46782.32"/>
  </r>
  <r>
    <s v="ORD50254"/>
    <d v="2024-06-18T00:00:00"/>
    <s v="CUST1056"/>
    <s v="P007"/>
    <x v="11"/>
    <s v="Stationery"/>
    <x v="2"/>
    <x v="4"/>
    <n v="2"/>
    <n v="471.32"/>
    <n v="0.05"/>
    <x v="253"/>
    <x v="2"/>
    <s v="Cash on Delivery"/>
    <s v="Completed"/>
    <x v="1"/>
    <s v="Completed"/>
    <s v="Store"/>
    <s v="Cash On Delivery"/>
    <x v="3"/>
    <s v="VALID"/>
    <s v="NORMAL"/>
    <s v="Valid"/>
    <n v="942.64"/>
    <n v="895.50800000000004"/>
  </r>
  <r>
    <s v="ORD50255"/>
    <d v="2025-07-02T00:00:00"/>
    <s v="CUST1036"/>
    <s v="P005"/>
    <x v="12"/>
    <s v="Furniture"/>
    <x v="3"/>
    <x v="8"/>
    <n v="2"/>
    <n v="10174.57"/>
    <n v="0.03"/>
    <x v="254"/>
    <x v="2"/>
    <s v="Cash on Delivery"/>
    <s v="Completed"/>
    <x v="3"/>
    <s v="Completed"/>
    <s v="Store"/>
    <s v="Cash On Delivery"/>
    <x v="2"/>
    <s v="VALID"/>
    <s v="NORMAL"/>
    <s v="Valid"/>
    <n v="20349.14"/>
    <n v="19738.665799999999"/>
  </r>
  <r>
    <s v="ORD50256"/>
    <d v="2026-02-11T00:00:00"/>
    <s v="CUST1205"/>
    <s v="P010"/>
    <x v="14"/>
    <s v="Electronics"/>
    <x v="2"/>
    <x v="12"/>
    <n v="2"/>
    <n v="2081"/>
    <n v="0"/>
    <x v="255"/>
    <x v="2"/>
    <s v="Net Banking"/>
    <s v="Completed"/>
    <x v="2"/>
    <s v="Completed"/>
    <s v="Store"/>
    <s v="Net Banking"/>
    <x v="1"/>
    <s v="VALID"/>
    <s v="NORMAL"/>
    <s v="Valid"/>
    <n v="4162"/>
    <n v="4162"/>
  </r>
  <r>
    <s v="ORD50257"/>
    <d v="2024-12-24T00:00:00"/>
    <s v="CUST1221"/>
    <s v="P014"/>
    <x v="5"/>
    <s v="Electronics"/>
    <x v="0"/>
    <x v="14"/>
    <n v="5"/>
    <n v="2677.99"/>
    <n v="0.03"/>
    <x v="256"/>
    <x v="0"/>
    <s v="Cash on Delivery"/>
    <s v="Returned"/>
    <x v="7"/>
    <s v="Returned"/>
    <s v="Online"/>
    <s v="Cash On Delivery"/>
    <x v="1"/>
    <s v="VALID"/>
    <s v="NORMAL"/>
    <s v="Valid"/>
    <n v="13389.949999999999"/>
    <n v="12988.251499999998"/>
  </r>
  <r>
    <s v="ORD50258"/>
    <d v="2024-10-05T00:00:00"/>
    <s v="CUST1032"/>
    <s v="P002"/>
    <x v="9"/>
    <s v="Electronics"/>
    <x v="0"/>
    <x v="2"/>
    <n v="3"/>
    <n v="1128.6300000000001"/>
    <n v="0.15"/>
    <x v="257"/>
    <x v="0"/>
    <s v="Cash on Delivery"/>
    <s v="Completed"/>
    <x v="0"/>
    <s v="Completed"/>
    <s v="Online"/>
    <s v="Cash On Delivery"/>
    <x v="1"/>
    <s v="VALID"/>
    <s v="NORMAL"/>
    <s v="Valid"/>
    <n v="3385.8900000000003"/>
    <n v="2878.0065000000004"/>
  </r>
  <r>
    <s v="ORD50259"/>
    <d v="2026-06-08T00:00:00"/>
    <s v="CUST1138"/>
    <s v="P007"/>
    <x v="11"/>
    <s v="Stationery"/>
    <x v="3"/>
    <x v="11"/>
    <n v="5"/>
    <n v="467.62"/>
    <n v="0.03"/>
    <x v="258"/>
    <x v="1"/>
    <s v="UPI"/>
    <s v="Cancelled"/>
    <x v="7"/>
    <s v="Cancelled"/>
    <s v="Marketplace"/>
    <s v="Upi"/>
    <x v="3"/>
    <s v="VALID"/>
    <s v="NORMAL"/>
    <s v="Valid"/>
    <n v="2338.1"/>
    <n v="2267.9569999999999"/>
  </r>
  <r>
    <s v="ORD50260"/>
    <d v="2024-09-19T00:00:00"/>
    <s v="CUST1175"/>
    <s v="P007"/>
    <x v="11"/>
    <s v="Stationery"/>
    <x v="3"/>
    <x v="8"/>
    <n v="5"/>
    <n v="450.21"/>
    <n v="0.03"/>
    <x v="259"/>
    <x v="2"/>
    <s v="Debit Card"/>
    <s v="Returned"/>
    <x v="3"/>
    <s v="Returned"/>
    <s v="Store"/>
    <s v="Debit Card"/>
    <x v="3"/>
    <s v="VALID"/>
    <s v="NORMAL"/>
    <s v="Valid"/>
    <n v="2251.0499999999997"/>
    <n v="2183.5184999999997"/>
  </r>
  <r>
    <s v="ORD50261"/>
    <d v="2026-01-28T00:00:00"/>
    <s v="CUST1065"/>
    <s v="P012"/>
    <x v="0"/>
    <s v="Accessories"/>
    <x v="1"/>
    <x v="1"/>
    <n v="5"/>
    <n v="882.17"/>
    <n v="0.15"/>
    <x v="260"/>
    <x v="1"/>
    <s v="Credit Card"/>
    <s v="Completed"/>
    <x v="6"/>
    <s v="Completed"/>
    <s v="Marketplace"/>
    <s v="Credit Card"/>
    <x v="0"/>
    <s v="VALID"/>
    <s v="NORMAL"/>
    <s v="Valid"/>
    <n v="4410.8499999999995"/>
    <n v="3749.2224999999994"/>
  </r>
  <r>
    <s v="ORD50262"/>
    <d v="2024-06-20T00:00:00"/>
    <s v="CUST1212"/>
    <s v="P006"/>
    <x v="10"/>
    <s v="Furniture"/>
    <x v="1"/>
    <x v="3"/>
    <n v="3"/>
    <n v="7455.56"/>
    <n v="0.2"/>
    <x v="261"/>
    <x v="0"/>
    <s v="Cash on Delivery"/>
    <s v="Completed"/>
    <x v="1"/>
    <s v="Completed"/>
    <s v="Online"/>
    <s v="Cash On Delivery"/>
    <x v="2"/>
    <s v="VALID"/>
    <s v="NORMAL"/>
    <s v="Valid"/>
    <n v="22366.68"/>
    <n v="17893.344000000001"/>
  </r>
  <r>
    <s v="ORD50263"/>
    <d v="2024-11-20T00:00:00"/>
    <s v="CUST1257"/>
    <s v="P010"/>
    <x v="14"/>
    <s v="Electronics"/>
    <x v="0"/>
    <x v="14"/>
    <n v="3"/>
    <n v="2057.02"/>
    <n v="0"/>
    <x v="262"/>
    <x v="2"/>
    <s v="Net Banking"/>
    <s v="Returned"/>
    <x v="4"/>
    <s v="Returned"/>
    <s v="Store"/>
    <s v="Net Banking"/>
    <x v="1"/>
    <s v="VALID"/>
    <s v="NORMAL"/>
    <s v="Valid"/>
    <n v="6171.0599999999995"/>
    <n v="6171.0599999999995"/>
  </r>
  <r>
    <s v="ORD50264"/>
    <d v="2024-09-16T00:00:00"/>
    <s v="CUST1125"/>
    <s v="P008"/>
    <x v="4"/>
    <s v="Stationery"/>
    <x v="1"/>
    <x v="3"/>
    <n v="4"/>
    <n v="236.9"/>
    <n v="0.05"/>
    <x v="263"/>
    <x v="1"/>
    <s v="Credit Card"/>
    <s v="Completed"/>
    <x v="6"/>
    <s v="Completed"/>
    <s v="Marketplace"/>
    <s v="Credit Card"/>
    <x v="3"/>
    <s v="VALID"/>
    <s v="NORMAL"/>
    <s v="Valid"/>
    <n v="947.6"/>
    <n v="900.22"/>
  </r>
  <r>
    <s v="ORD50265"/>
    <d v="2024-07-08T00:00:00"/>
    <s v="CUST1172"/>
    <s v="P006"/>
    <x v="10"/>
    <s v="Furniture"/>
    <x v="3"/>
    <x v="15"/>
    <n v="4"/>
    <n v="7579.69"/>
    <n v="0.05"/>
    <x v="264"/>
    <x v="0"/>
    <s v="Debit Card"/>
    <s v="Completed"/>
    <x v="5"/>
    <s v="Completed"/>
    <s v="Online"/>
    <s v="Debit Card"/>
    <x v="2"/>
    <s v="VALID"/>
    <s v="NORMAL"/>
    <s v="Valid"/>
    <n v="30318.76"/>
    <n v="28802.822"/>
  </r>
  <r>
    <s v="ORD50266"/>
    <d v="2025-10-11T00:00:00"/>
    <s v="CUST1118"/>
    <s v="P005"/>
    <x v="12"/>
    <s v="Furniture"/>
    <x v="0"/>
    <x v="10"/>
    <n v="4"/>
    <n v="8823.92"/>
    <n v="0.08"/>
    <x v="265"/>
    <x v="1"/>
    <s v="Cash on Delivery"/>
    <s v="Cancelled"/>
    <x v="4"/>
    <s v="Cancelled"/>
    <s v="Marketplace"/>
    <s v="Cash On Delivery"/>
    <x v="2"/>
    <s v="VALID"/>
    <s v="NORMAL"/>
    <s v="Valid"/>
    <n v="35295.68"/>
    <n v="32472.025600000001"/>
  </r>
  <r>
    <s v="ORD50267"/>
    <d v="2026-02-06T00:00:00"/>
    <s v="CUST1014"/>
    <s v="P006"/>
    <x v="10"/>
    <s v="Furniture"/>
    <x v="2"/>
    <x v="12"/>
    <n v="5"/>
    <n v="7487.66"/>
    <n v="0.2"/>
    <x v="266"/>
    <x v="0"/>
    <s v="Debit Card"/>
    <s v="Returned"/>
    <x v="2"/>
    <s v="Returned"/>
    <s v="Online"/>
    <s v="Debit Card"/>
    <x v="2"/>
    <s v="VALID"/>
    <s v="NORMAL"/>
    <s v="Valid"/>
    <n v="37438.300000000003"/>
    <n v="29950.640000000003"/>
  </r>
  <r>
    <s v="ORD50268"/>
    <d v="2025-11-11T00:00:00"/>
    <s v="CUST1107"/>
    <s v="P012"/>
    <x v="0"/>
    <s v="Accessories"/>
    <x v="1"/>
    <x v="3"/>
    <n v="2"/>
    <n v="854.26"/>
    <n v="0.03"/>
    <x v="267"/>
    <x v="1"/>
    <s v="Credit Card"/>
    <s v="Cancelled"/>
    <x v="2"/>
    <s v="Cancelled"/>
    <s v="Marketplace"/>
    <s v="Credit Card"/>
    <x v="0"/>
    <s v="VALID"/>
    <s v="NORMAL"/>
    <s v="Valid"/>
    <n v="1708.52"/>
    <n v="1657.2644"/>
  </r>
  <r>
    <s v="ORD50269"/>
    <d v="2025-01-06T00:00:00"/>
    <s v="CUST1185"/>
    <s v="P001"/>
    <x v="13"/>
    <s v="Electronics"/>
    <x v="2"/>
    <x v="13"/>
    <n v="5"/>
    <n v="66409.83"/>
    <n v="0.08"/>
    <x v="268"/>
    <x v="1"/>
    <s v="Cash on Delivery"/>
    <s v="Completed"/>
    <x v="4"/>
    <s v="Completed"/>
    <s v="Marketplace"/>
    <s v="Cash On Delivery"/>
    <x v="1"/>
    <s v="VALID"/>
    <s v="NORMAL"/>
    <s v="Valid"/>
    <n v="332049.15000000002"/>
    <n v="305485.21799999999"/>
  </r>
  <r>
    <s v="ORD50270"/>
    <d v="2025-03-10T00:00:00"/>
    <s v="CUST1005"/>
    <s v="P002"/>
    <x v="9"/>
    <s v="Electronics"/>
    <x v="2"/>
    <x v="4"/>
    <n v="1"/>
    <n v="1142.69"/>
    <n v="0.1"/>
    <x v="269"/>
    <x v="1"/>
    <s v="Cash on Delivery"/>
    <s v="Completed"/>
    <x v="1"/>
    <s v="Completed"/>
    <s v="Marketplace"/>
    <s v="Cash On Delivery"/>
    <x v="1"/>
    <s v="VALID"/>
    <s v="NORMAL"/>
    <s v="Valid"/>
    <n v="1142.69"/>
    <n v="1028.421"/>
  </r>
  <r>
    <s v="ORD50271"/>
    <d v="2026-06-04T00:00:00"/>
    <s v="CUST1253"/>
    <s v="P009"/>
    <x v="7"/>
    <s v="Accessories"/>
    <x v="3"/>
    <x v="8"/>
    <n v="1"/>
    <n v="1916.03"/>
    <n v="0.03"/>
    <x v="270"/>
    <x v="1"/>
    <s v="Cash on Delivery"/>
    <s v="Completed"/>
    <x v="6"/>
    <s v="Completed"/>
    <s v="Marketplace"/>
    <s v="Cash On Delivery"/>
    <x v="0"/>
    <s v="VALID"/>
    <s v="NORMAL"/>
    <s v="Valid"/>
    <n v="1916.03"/>
    <n v="1858.5491"/>
  </r>
  <r>
    <s v="ORD50272"/>
    <d v="2024-06-03T00:00:00"/>
    <s v="CUST1099"/>
    <s v="P005"/>
    <x v="12"/>
    <s v="Furniture"/>
    <x v="3"/>
    <x v="11"/>
    <n v="1"/>
    <n v="8922.57"/>
    <n v="0"/>
    <x v="271"/>
    <x v="0"/>
    <s v="Cash on Delivery"/>
    <s v="Completed"/>
    <x v="4"/>
    <s v="Completed"/>
    <s v="Online"/>
    <s v="Cash On Delivery"/>
    <x v="2"/>
    <s v="VALID"/>
    <s v="NORMAL"/>
    <s v="Valid"/>
    <n v="8922.57"/>
    <n v="8922.57"/>
  </r>
  <r>
    <s v="ORD50273"/>
    <d v="2024-01-28T00:00:00"/>
    <s v="CUST1151"/>
    <s v="P002"/>
    <x v="9"/>
    <s v="Electronics"/>
    <x v="0"/>
    <x v="0"/>
    <n v="5"/>
    <n v="1252.69"/>
    <n v="0.15"/>
    <x v="272"/>
    <x v="2"/>
    <s v="Debit Card"/>
    <s v="Returned"/>
    <x v="1"/>
    <s v="Returned"/>
    <s v="Store"/>
    <s v="Debit Card"/>
    <x v="1"/>
    <s v="VALID"/>
    <s v="NORMAL"/>
    <s v="Valid"/>
    <n v="6263.4500000000007"/>
    <n v="5323.9325000000008"/>
  </r>
  <r>
    <s v="ORD50274"/>
    <d v="2025-08-05T00:00:00"/>
    <s v="CUST1184"/>
    <s v="P007"/>
    <x v="11"/>
    <s v="Stationery"/>
    <x v="0"/>
    <x v="10"/>
    <n v="5"/>
    <n v="446.21"/>
    <n v="0.1"/>
    <x v="273"/>
    <x v="0"/>
    <s v="Debit Card"/>
    <s v="Completed"/>
    <x v="2"/>
    <s v="Completed"/>
    <s v="Online"/>
    <s v="Debit Card"/>
    <x v="3"/>
    <s v="VALID"/>
    <s v="NORMAL"/>
    <s v="Valid"/>
    <n v="2231.0499999999997"/>
    <n v="2007.9449999999997"/>
  </r>
  <r>
    <s v="ORD50275"/>
    <d v="2025-01-18T00:00:00"/>
    <s v="CUST1040"/>
    <s v="P012"/>
    <x v="0"/>
    <s v="Accessories"/>
    <x v="1"/>
    <x v="3"/>
    <n v="2"/>
    <n v="815.5"/>
    <n v="0.05"/>
    <x v="274"/>
    <x v="1"/>
    <s v="Net Banking"/>
    <s v="Completed"/>
    <x v="8"/>
    <s v="Completed"/>
    <s v="Marketplace"/>
    <s v="Net Banking"/>
    <x v="0"/>
    <s v="VALID"/>
    <s v="NORMAL"/>
    <s v="Valid"/>
    <n v="1631"/>
    <n v="1549.45"/>
  </r>
  <r>
    <s v="ORD50276"/>
    <d v="2025-09-17T00:00:00"/>
    <s v="CUST1054"/>
    <s v="P010"/>
    <x v="14"/>
    <s v="Electronics"/>
    <x v="1"/>
    <x v="1"/>
    <n v="5"/>
    <n v="2293.29"/>
    <n v="0"/>
    <x v="275"/>
    <x v="1"/>
    <s v="Credit Card"/>
    <s v="Completed"/>
    <x v="0"/>
    <s v="Completed"/>
    <s v="Marketplace"/>
    <s v="Credit Card"/>
    <x v="1"/>
    <s v="VALID"/>
    <s v="NORMAL"/>
    <s v="Valid"/>
    <n v="11466.45"/>
    <n v="11466.45"/>
  </r>
  <r>
    <s v="ORD50277"/>
    <d v="2025-08-16T00:00:00"/>
    <s v="CUST1148"/>
    <s v="P014"/>
    <x v="5"/>
    <s v="Electronics"/>
    <x v="3"/>
    <x v="9"/>
    <n v="2"/>
    <n v="2705.85"/>
    <n v="0.2"/>
    <x v="276"/>
    <x v="2"/>
    <s v="Credit Card"/>
    <s v="Completed"/>
    <x v="3"/>
    <s v="Completed"/>
    <s v="Store"/>
    <s v="Credit Card"/>
    <x v="1"/>
    <s v="VALID"/>
    <s v="NORMAL"/>
    <s v="Valid"/>
    <n v="5411.7"/>
    <n v="4329.3599999999997"/>
  </r>
  <r>
    <s v="ORD50278"/>
    <d v="2025-07-10T00:00:00"/>
    <s v="CUST1161"/>
    <s v="P003"/>
    <x v="3"/>
    <s v="Electronics"/>
    <x v="0"/>
    <x v="14"/>
    <n v="5"/>
    <n v="1855.74"/>
    <n v="0"/>
    <x v="277"/>
    <x v="2"/>
    <s v="Net Banking"/>
    <s v="Completed"/>
    <x v="4"/>
    <s v="Completed"/>
    <s v="Store"/>
    <s v="Net Banking"/>
    <x v="1"/>
    <s v="VALID"/>
    <s v="NORMAL"/>
    <s v="Valid"/>
    <n v="9278.7000000000007"/>
    <n v="9278.7000000000007"/>
  </r>
  <r>
    <s v="ORD50279"/>
    <d v="2025-11-16T00:00:00"/>
    <s v="CUST1023"/>
    <s v="P007"/>
    <x v="11"/>
    <s v="Stationery"/>
    <x v="3"/>
    <x v="9"/>
    <n v="3"/>
    <n v="430.01"/>
    <n v="0.08"/>
    <x v="278"/>
    <x v="2"/>
    <s v="Cash on Delivery"/>
    <s v="Cancelled"/>
    <x v="6"/>
    <s v="Cancelled"/>
    <s v="Store"/>
    <s v="Cash On Delivery"/>
    <x v="3"/>
    <s v="VALID"/>
    <s v="NORMAL"/>
    <s v="Valid"/>
    <n v="1290.03"/>
    <n v="1186.8276000000001"/>
  </r>
  <r>
    <s v="ORD50280"/>
    <d v="2024-08-04T00:00:00"/>
    <s v="CUST1250"/>
    <s v="P013"/>
    <x v="2"/>
    <s v="Furniture"/>
    <x v="1"/>
    <x v="1"/>
    <n v="3"/>
    <n v="1666.67"/>
    <n v="0.08"/>
    <x v="279"/>
    <x v="2"/>
    <s v="Debit Card"/>
    <s v="Completed"/>
    <x v="7"/>
    <s v="Completed"/>
    <s v="Store"/>
    <s v="Debit Card"/>
    <x v="2"/>
    <s v="VALID"/>
    <s v="NORMAL"/>
    <s v="Valid"/>
    <n v="5000.01"/>
    <n v="4600.0092000000004"/>
  </r>
  <r>
    <s v="ORD50281"/>
    <d v="2025-10-19T00:00:00"/>
    <s v="CUST1138"/>
    <s v="P014"/>
    <x v="5"/>
    <s v="Electronics"/>
    <x v="1"/>
    <x v="3"/>
    <n v="3"/>
    <n v="2845.69"/>
    <n v="0.2"/>
    <x v="280"/>
    <x v="1"/>
    <s v="UPI"/>
    <s v="Completed"/>
    <x v="3"/>
    <s v="Completed"/>
    <s v="Marketplace"/>
    <s v="Upi"/>
    <x v="1"/>
    <s v="VALID"/>
    <s v="NORMAL"/>
    <s v="Valid"/>
    <n v="8537.07"/>
    <n v="6829.6559999999999"/>
  </r>
  <r>
    <s v="ORD50282"/>
    <d v="2025-04-15T00:00:00"/>
    <s v="CUST1145"/>
    <s v="P011"/>
    <x v="1"/>
    <s v="Electronics"/>
    <x v="2"/>
    <x v="13"/>
    <m/>
    <n v="3196.68"/>
    <n v="0.2"/>
    <x v="281"/>
    <x v="1"/>
    <s v="Cash on Delivery"/>
    <s v="Completed"/>
    <x v="3"/>
    <s v="Completed"/>
    <s v="Marketplace"/>
    <s v="Cash On Delivery"/>
    <x v="1"/>
    <s v="INVALID"/>
    <s v="NORMAL"/>
    <s v="Valid"/>
    <n v="0"/>
    <n v="0"/>
  </r>
  <r>
    <s v="ORD50283"/>
    <d v="2025-06-21T00:00:00"/>
    <s v="CUST1025"/>
    <s v="P003"/>
    <x v="3"/>
    <s v="Electronics"/>
    <x v="2"/>
    <x v="12"/>
    <n v="2"/>
    <n v="1656.16"/>
    <n v="0.03"/>
    <x v="282"/>
    <x v="2"/>
    <s v="Credit Card"/>
    <s v="Cancelled"/>
    <x v="7"/>
    <s v="Cancelled"/>
    <s v="Store"/>
    <s v="Credit Card"/>
    <x v="1"/>
    <s v="VALID"/>
    <s v="NORMAL"/>
    <s v="Valid"/>
    <n v="3312.32"/>
    <n v="3212.9504000000002"/>
  </r>
  <r>
    <s v="ORD50284"/>
    <d v="2025-10-30T00:00:00"/>
    <s v="CUST1028"/>
    <s v="P011"/>
    <x v="1"/>
    <s v="Electronics"/>
    <x v="3"/>
    <x v="15"/>
    <n v="2"/>
    <n v="3022.99"/>
    <n v="0.08"/>
    <x v="283"/>
    <x v="1"/>
    <s v="UPI"/>
    <s v="Completed"/>
    <x v="0"/>
    <s v="Completed"/>
    <s v="Marketplace"/>
    <s v="Upi"/>
    <x v="1"/>
    <s v="VALID"/>
    <s v="NORMAL"/>
    <s v="Valid"/>
    <n v="6045.98"/>
    <n v="5562.3015999999998"/>
  </r>
  <r>
    <s v="ORD50285"/>
    <d v="2024-06-27T00:00:00"/>
    <s v="CUST1108"/>
    <s v="P005"/>
    <x v="12"/>
    <s v="Furniture"/>
    <x v="2"/>
    <x v="5"/>
    <n v="4"/>
    <n v="9894.66"/>
    <n v="0.05"/>
    <x v="284"/>
    <x v="0"/>
    <s v="Credit Card"/>
    <s v="Returned"/>
    <x v="5"/>
    <s v="Returned"/>
    <s v="Online"/>
    <s v="Credit Card"/>
    <x v="2"/>
    <s v="VALID"/>
    <s v="NORMAL"/>
    <s v="Valid"/>
    <n v="39578.639999999999"/>
    <n v="37599.707999999999"/>
  </r>
  <r>
    <s v="ORD50286"/>
    <d v="2025-04-01T00:00:00"/>
    <s v="CUST1210"/>
    <s v="P003"/>
    <x v="3"/>
    <s v="Electronics"/>
    <x v="1"/>
    <x v="6"/>
    <n v="3"/>
    <n v="1943.66"/>
    <n v="0.15"/>
    <x v="285"/>
    <x v="1"/>
    <s v="Credit Card"/>
    <s v="Completed"/>
    <x v="1"/>
    <s v="Completed"/>
    <s v="Marketplace"/>
    <s v="Credit Card"/>
    <x v="1"/>
    <s v="VALID"/>
    <s v="NORMAL"/>
    <s v="Valid"/>
    <n v="5830.9800000000005"/>
    <n v="4956.3330000000005"/>
  </r>
  <r>
    <s v="ORD50287"/>
    <d v="2025-09-14T00:00:00"/>
    <s v="CUST1259"/>
    <s v="P004"/>
    <x v="6"/>
    <s v="Electronics"/>
    <x v="0"/>
    <x v="0"/>
    <n v="3"/>
    <n v="13480.56"/>
    <n v="0.15"/>
    <x v="286"/>
    <x v="2"/>
    <s v="Credit Card"/>
    <s v="Completed"/>
    <x v="0"/>
    <s v="Completed"/>
    <s v="Store"/>
    <s v="Credit Card"/>
    <x v="1"/>
    <s v="VALID"/>
    <s v="NORMAL"/>
    <s v="Valid"/>
    <n v="40441.68"/>
    <n v="34375.428"/>
  </r>
  <r>
    <s v="ORD50288"/>
    <d v="2026-02-23T00:00:00"/>
    <s v="CUST1174"/>
    <s v="P007"/>
    <x v="11"/>
    <s v="Stationery"/>
    <x v="1"/>
    <x v="3"/>
    <n v="2"/>
    <n v="452.06"/>
    <n v="0.03"/>
    <x v="287"/>
    <x v="0"/>
    <s v="Credit Card"/>
    <s v="Returned"/>
    <x v="3"/>
    <s v="Returned"/>
    <s v="Online"/>
    <s v="Credit Card"/>
    <x v="3"/>
    <s v="VALID"/>
    <s v="NORMAL"/>
    <s v="Valid"/>
    <n v="904.12"/>
    <n v="876.99639999999999"/>
  </r>
  <r>
    <s v="ORD50289"/>
    <d v="2024-08-08T00:00:00"/>
    <s v="CUST1236"/>
    <s v="P015"/>
    <x v="8"/>
    <s v="Accessories"/>
    <x v="2"/>
    <x v="4"/>
    <n v="5"/>
    <n v="733.43"/>
    <n v="0.2"/>
    <x v="288"/>
    <x v="0"/>
    <s v="UPI"/>
    <s v="Completed"/>
    <x v="0"/>
    <s v="Completed"/>
    <s v="Online"/>
    <s v="Upi"/>
    <x v="0"/>
    <s v="VALID"/>
    <s v="NORMAL"/>
    <s v="Valid"/>
    <n v="3667.1499999999996"/>
    <n v="2933.72"/>
  </r>
  <r>
    <s v="ORD50290"/>
    <d v="2025-05-14T00:00:00"/>
    <s v="CUST1108"/>
    <s v="P002"/>
    <x v="9"/>
    <s v="Electronics"/>
    <x v="0"/>
    <x v="10"/>
    <n v="1"/>
    <n v="1226.24"/>
    <n v="0.08"/>
    <x v="289"/>
    <x v="1"/>
    <s v="Net Banking"/>
    <s v="Cancelled"/>
    <x v="1"/>
    <s v="Cancelled"/>
    <s v="Marketplace"/>
    <s v="Net Banking"/>
    <x v="1"/>
    <s v="VALID"/>
    <s v="NORMAL"/>
    <s v="Valid"/>
    <n v="1226.24"/>
    <n v="1128.1408000000001"/>
  </r>
  <r>
    <s v="ORD50291"/>
    <d v="2025-01-21T00:00:00"/>
    <s v="CUST1050"/>
    <s v="P005"/>
    <x v="12"/>
    <s v="Furniture"/>
    <x v="0"/>
    <x v="2"/>
    <n v="1"/>
    <n v="10032.790000000001"/>
    <n v="0.08"/>
    <x v="290"/>
    <x v="2"/>
    <s v="UPI"/>
    <s v="Completed"/>
    <x v="4"/>
    <s v="Completed"/>
    <s v="Store"/>
    <s v="Upi"/>
    <x v="2"/>
    <s v="VALID"/>
    <s v="NORMAL"/>
    <s v="Valid"/>
    <n v="10032.790000000001"/>
    <n v="9230.1668000000009"/>
  </r>
  <r>
    <s v="ORD50292"/>
    <d v="2025-11-23T00:00:00"/>
    <s v="CUST1030"/>
    <s v="P015"/>
    <x v="8"/>
    <s v="Accessories"/>
    <x v="0"/>
    <x v="0"/>
    <n v="1"/>
    <n v="679.43"/>
    <n v="0"/>
    <x v="291"/>
    <x v="0"/>
    <s v="Net Banking"/>
    <s v="Returned"/>
    <x v="1"/>
    <s v="Returned"/>
    <s v="Online"/>
    <s v="Net Banking"/>
    <x v="0"/>
    <s v="VALID"/>
    <s v="NORMAL"/>
    <s v="Valid"/>
    <n v="679.43"/>
    <n v="679.43"/>
  </r>
  <r>
    <s v="ORD50293"/>
    <d v="2025-09-18T00:00:00"/>
    <s v="CUST1152"/>
    <s v="P001"/>
    <x v="13"/>
    <s v="Electronics"/>
    <x v="3"/>
    <x v="16"/>
    <n v="1"/>
    <n v="60025.919999999998"/>
    <n v="0.2"/>
    <x v="292"/>
    <x v="1"/>
    <s v="UPI"/>
    <s v="Completed"/>
    <x v="7"/>
    <s v="Completed"/>
    <s v="Marketplace"/>
    <s v="Upi"/>
    <x v="1"/>
    <s v="VALID"/>
    <s v="NORMAL"/>
    <s v="Valid"/>
    <n v="60025.919999999998"/>
    <n v="48020.735999999997"/>
  </r>
  <r>
    <s v="ORD50294"/>
    <d v="2025-07-07T00:00:00"/>
    <s v="CUST1118"/>
    <s v="P004"/>
    <x v="6"/>
    <s v="Electronics"/>
    <x v="2"/>
    <x v="4"/>
    <n v="4"/>
    <n v="11643.59"/>
    <n v="0.08"/>
    <x v="293"/>
    <x v="2"/>
    <s v="Cash on Delivery"/>
    <s v="Completed"/>
    <x v="4"/>
    <s v="Completed"/>
    <s v="Store"/>
    <s v="Cash On Delivery"/>
    <x v="1"/>
    <s v="VALID"/>
    <s v="NORMAL"/>
    <s v="Valid"/>
    <n v="46574.36"/>
    <n v="42848.411200000002"/>
  </r>
  <r>
    <s v="ORD50295"/>
    <d v="2025-05-14T00:00:00"/>
    <s v="CUST1143"/>
    <s v="P003"/>
    <x v="3"/>
    <s v="Electronics"/>
    <x v="0"/>
    <x v="2"/>
    <n v="5"/>
    <n v="1699.21"/>
    <n v="0.05"/>
    <x v="294"/>
    <x v="0"/>
    <s v="Cash on Delivery"/>
    <s v="Completed"/>
    <x v="2"/>
    <s v="Completed"/>
    <s v="Online"/>
    <s v="Cash On Delivery"/>
    <x v="1"/>
    <s v="VALID"/>
    <s v="NORMAL"/>
    <s v="Valid"/>
    <n v="8496.0499999999993"/>
    <n v="8071.2474999999995"/>
  </r>
  <r>
    <s v="ORD50296"/>
    <d v="2025-10-23T00:00:00"/>
    <s v="CUST1146"/>
    <s v="P003"/>
    <x v="3"/>
    <s v="Electronics"/>
    <x v="0"/>
    <x v="10"/>
    <n v="5"/>
    <n v="1798.29"/>
    <n v="0.2"/>
    <x v="295"/>
    <x v="1"/>
    <s v="Debit Card"/>
    <s v="Cancelled"/>
    <x v="1"/>
    <s v="Cancelled"/>
    <s v="Marketplace"/>
    <s v="Debit Card"/>
    <x v="1"/>
    <s v="VALID"/>
    <s v="NORMAL"/>
    <s v="Valid"/>
    <n v="8991.4500000000007"/>
    <n v="7193.1600000000008"/>
  </r>
  <r>
    <s v="ORD50297"/>
    <d v="2025-11-06T00:00:00"/>
    <s v="CUST1092"/>
    <s v="P004"/>
    <x v="6"/>
    <s v="Electronics"/>
    <x v="0"/>
    <x v="10"/>
    <n v="1"/>
    <n v="12922.82"/>
    <n v="0"/>
    <x v="296"/>
    <x v="0"/>
    <s v="Credit Card"/>
    <s v="Completed"/>
    <x v="7"/>
    <s v="Completed"/>
    <s v="Online"/>
    <s v="Credit Card"/>
    <x v="1"/>
    <s v="VALID"/>
    <s v="NORMAL"/>
    <s v="Valid"/>
    <n v="12922.82"/>
    <n v="12922.82"/>
  </r>
  <r>
    <s v="ORD50298"/>
    <d v="2025-08-10T00:00:00"/>
    <s v="CUST1058"/>
    <s v="P004"/>
    <x v="6"/>
    <s v="Electronics"/>
    <x v="0"/>
    <x v="14"/>
    <n v="4"/>
    <n v="13121.04"/>
    <n v="0.15"/>
    <x v="297"/>
    <x v="0"/>
    <s v="UPI"/>
    <s v="Returned"/>
    <x v="3"/>
    <s v="Returned"/>
    <s v="Online"/>
    <s v="Upi"/>
    <x v="1"/>
    <s v="VALID"/>
    <s v="NORMAL"/>
    <s v="Valid"/>
    <n v="52484.160000000003"/>
    <n v="44611.536000000007"/>
  </r>
  <r>
    <s v="ORD50299"/>
    <d v="2025-07-20T00:00:00"/>
    <s v="CUST1012"/>
    <s v="P010"/>
    <x v="14"/>
    <s v="Electronics"/>
    <x v="0"/>
    <x v="14"/>
    <n v="2"/>
    <n v="2102.6999999999998"/>
    <n v="0.03"/>
    <x v="298"/>
    <x v="2"/>
    <s v="UPI"/>
    <s v="Completed"/>
    <x v="4"/>
    <s v="Completed"/>
    <s v="Store"/>
    <s v="Upi"/>
    <x v="1"/>
    <s v="VALID"/>
    <s v="NORMAL"/>
    <s v="Valid"/>
    <n v="4205.3999999999996"/>
    <n v="4079.2379999999998"/>
  </r>
  <r>
    <s v="ORD50300"/>
    <d v="2024-06-10T00:00:00"/>
    <s v="CUST1159"/>
    <s v="P003"/>
    <x v="3"/>
    <s v="Electronics"/>
    <x v="1"/>
    <x v="3"/>
    <n v="3"/>
    <n v="1713.99"/>
    <n v="0.2"/>
    <x v="299"/>
    <x v="2"/>
    <s v="UPI"/>
    <s v="Completed"/>
    <x v="5"/>
    <s v="Completed"/>
    <s v="Store"/>
    <s v="Upi"/>
    <x v="1"/>
    <s v="VALID"/>
    <s v="NORMAL"/>
    <s v="Valid"/>
    <n v="5141.97"/>
    <n v="4113.576"/>
  </r>
  <r>
    <s v="ORD50301"/>
    <d v="2025-04-17T00:00:00"/>
    <s v="CUST1199"/>
    <s v="P015"/>
    <x v="8"/>
    <s v="Accessories"/>
    <x v="0"/>
    <x v="0"/>
    <n v="1"/>
    <n v="752.66"/>
    <n v="0.2"/>
    <x v="300"/>
    <x v="1"/>
    <s v="Credit Card"/>
    <s v="Returned"/>
    <x v="2"/>
    <s v="Returned"/>
    <s v="Marketplace"/>
    <s v="Credit Card"/>
    <x v="0"/>
    <s v="VALID"/>
    <s v="NORMAL"/>
    <s v="Valid"/>
    <n v="752.66"/>
    <n v="602.12799999999993"/>
  </r>
  <r>
    <s v="ORD50302"/>
    <d v="2025-05-16T00:00:00"/>
    <s v="CUST1244"/>
    <s v="P012"/>
    <x v="0"/>
    <s v="Accessories"/>
    <x v="3"/>
    <x v="8"/>
    <n v="1"/>
    <n v="865.48"/>
    <n v="0.15"/>
    <x v="301"/>
    <x v="2"/>
    <s v="Debit Card"/>
    <s v="Completed"/>
    <x v="7"/>
    <s v="Completed"/>
    <s v="Store"/>
    <s v="Debit Card"/>
    <x v="0"/>
    <s v="VALID"/>
    <s v="NORMAL"/>
    <s v="Valid"/>
    <n v="865.48"/>
    <n v="735.65800000000002"/>
  </r>
  <r>
    <s v="ORD50303"/>
    <d v="2025-04-02T00:00:00"/>
    <s v="CUST1020"/>
    <s v="P003"/>
    <x v="3"/>
    <s v="Electronics"/>
    <x v="0"/>
    <x v="0"/>
    <n v="4"/>
    <n v="1866.18"/>
    <n v="0.1"/>
    <x v="302"/>
    <x v="1"/>
    <s v="Debit Card"/>
    <s v="Completed"/>
    <x v="0"/>
    <s v="Completed"/>
    <s v="Marketplace"/>
    <s v="Debit Card"/>
    <x v="1"/>
    <s v="VALID"/>
    <s v="NORMAL"/>
    <s v="Valid"/>
    <n v="7464.72"/>
    <n v="6718.2480000000005"/>
  </r>
  <r>
    <s v="ORD50304"/>
    <d v="2025-04-09T00:00:00"/>
    <s v="CUST1007"/>
    <s v="P009"/>
    <x v="7"/>
    <s v="Accessories"/>
    <x v="2"/>
    <x v="13"/>
    <n v="5"/>
    <n v="1867.14"/>
    <n v="0.2"/>
    <x v="303"/>
    <x v="1"/>
    <s v="UPI"/>
    <s v="Completed"/>
    <x v="2"/>
    <s v="Completed"/>
    <s v="Marketplace"/>
    <s v="Upi"/>
    <x v="0"/>
    <s v="VALID"/>
    <s v="NORMAL"/>
    <s v="Valid"/>
    <n v="9335.7000000000007"/>
    <n v="7468.56"/>
  </r>
  <r>
    <s v="ORD50305"/>
    <d v="2025-10-26T00:00:00"/>
    <s v="CUST1191"/>
    <s v="P007"/>
    <x v="11"/>
    <s v="Stationery"/>
    <x v="0"/>
    <x v="2"/>
    <n v="5"/>
    <n v="429.5"/>
    <n v="0.08"/>
    <x v="304"/>
    <x v="1"/>
    <s v="Net Banking"/>
    <s v="Completed"/>
    <x v="2"/>
    <s v="Completed"/>
    <s v="Marketplace"/>
    <s v="Net Banking"/>
    <x v="3"/>
    <s v="VALID"/>
    <s v="NORMAL"/>
    <s v="Valid"/>
    <n v="2147.5"/>
    <n v="1975.7"/>
  </r>
  <r>
    <s v="ORD50306"/>
    <d v="2026-02-15T00:00:00"/>
    <s v="CUST1033"/>
    <s v="P012"/>
    <x v="0"/>
    <s v="Accessories"/>
    <x v="3"/>
    <x v="9"/>
    <n v="3"/>
    <n v="908.03"/>
    <n v="0.1"/>
    <x v="305"/>
    <x v="0"/>
    <s v="Net Banking"/>
    <s v="Completed"/>
    <x v="5"/>
    <s v="Completed"/>
    <s v="Online"/>
    <s v="Net Banking"/>
    <x v="0"/>
    <s v="VALID"/>
    <s v="NORMAL"/>
    <s v="Valid"/>
    <n v="2724.09"/>
    <n v="2451.681"/>
  </r>
  <r>
    <s v="ORD50307"/>
    <d v="2025-05-09T00:00:00"/>
    <s v="CUST1176"/>
    <s v="P003"/>
    <x v="3"/>
    <s v="Electronics"/>
    <x v="2"/>
    <x v="13"/>
    <n v="1"/>
    <n v="1753.84"/>
    <n v="0.1"/>
    <x v="306"/>
    <x v="0"/>
    <s v="Debit Card"/>
    <s v="Completed"/>
    <x v="6"/>
    <s v="Completed"/>
    <s v="Online"/>
    <s v="Debit Card"/>
    <x v="1"/>
    <s v="VALID"/>
    <s v="NORMAL"/>
    <s v="Valid"/>
    <n v="1753.84"/>
    <n v="1578.4559999999999"/>
  </r>
  <r>
    <s v="ORD50308"/>
    <d v="2025-11-18T00:00:00"/>
    <s v="CUST1191"/>
    <s v="P003"/>
    <x v="3"/>
    <s v="Electronics"/>
    <x v="2"/>
    <x v="12"/>
    <n v="3"/>
    <n v="1899.56"/>
    <n v="0.05"/>
    <x v="307"/>
    <x v="0"/>
    <s v="Cash on Delivery"/>
    <s v="Completed"/>
    <x v="3"/>
    <s v="Completed"/>
    <s v="Online"/>
    <s v="Cash On Delivery"/>
    <x v="1"/>
    <s v="VALID"/>
    <s v="NORMAL"/>
    <s v="Valid"/>
    <n v="5698.68"/>
    <n v="5413.7460000000001"/>
  </r>
  <r>
    <s v="ORD50309"/>
    <d v="2025-12-31T00:00:00"/>
    <s v="CUST1031"/>
    <s v="P015"/>
    <x v="8"/>
    <s v="Accessories"/>
    <x v="2"/>
    <x v="12"/>
    <n v="4"/>
    <n v="743.13"/>
    <n v="0.03"/>
    <x v="308"/>
    <x v="2"/>
    <m/>
    <s v="Completed"/>
    <x v="1"/>
    <s v="Completed"/>
    <s v="Store"/>
    <s v=""/>
    <x v="0"/>
    <s v="VALID"/>
    <s v="NORMAL"/>
    <s v="Valid"/>
    <n v="2972.52"/>
    <n v="2883.3444"/>
  </r>
  <r>
    <s v="ORD50310"/>
    <d v="2024-05-19T00:00:00"/>
    <s v="CUST1119"/>
    <s v="P003"/>
    <x v="3"/>
    <s v="Electronics"/>
    <x v="0"/>
    <x v="0"/>
    <n v="1"/>
    <n v="1738.54"/>
    <n v="0"/>
    <x v="309"/>
    <x v="0"/>
    <s v="Debit Card"/>
    <s v="Cancelled"/>
    <x v="3"/>
    <s v="Cancelled"/>
    <s v="Online"/>
    <s v="Debit Card"/>
    <x v="1"/>
    <s v="VALID"/>
    <s v="NORMAL"/>
    <s v="Valid"/>
    <n v="1738.54"/>
    <n v="1738.54"/>
  </r>
  <r>
    <s v="ORD50311"/>
    <d v="2025-05-09T00:00:00"/>
    <s v="CUST1009"/>
    <s v="P008"/>
    <x v="4"/>
    <s v="Stationery"/>
    <x v="2"/>
    <x v="13"/>
    <n v="2"/>
    <n v="224.03"/>
    <n v="0.05"/>
    <x v="310"/>
    <x v="2"/>
    <s v="Credit Card"/>
    <s v="Completed"/>
    <x v="6"/>
    <s v="Completed"/>
    <s v="Store"/>
    <s v="Credit Card"/>
    <x v="3"/>
    <s v="VALID"/>
    <s v="NORMAL"/>
    <s v="Valid"/>
    <n v="448.06"/>
    <n v="425.65699999999998"/>
  </r>
  <r>
    <s v="ORD50312"/>
    <d v="2024-04-09T00:00:00"/>
    <s v="CUST1085"/>
    <s v="P007"/>
    <x v="11"/>
    <s v="Stationery"/>
    <x v="3"/>
    <x v="9"/>
    <n v="3"/>
    <n v="446.87"/>
    <n v="0.03"/>
    <x v="311"/>
    <x v="1"/>
    <s v="Cash on Delivery"/>
    <s v="Completed"/>
    <x v="3"/>
    <s v="Completed"/>
    <s v="Marketplace"/>
    <s v="Cash On Delivery"/>
    <x v="3"/>
    <s v="VALID"/>
    <s v="NORMAL"/>
    <s v="Valid"/>
    <n v="1340.6100000000001"/>
    <n v="1300.3917000000001"/>
  </r>
  <r>
    <s v="ORD50313"/>
    <d v="2026-02-11T00:00:00"/>
    <s v="CUST1006"/>
    <s v="P008"/>
    <x v="4"/>
    <s v="Stationery"/>
    <x v="3"/>
    <x v="15"/>
    <n v="3"/>
    <n v="220.53"/>
    <n v="0.03"/>
    <x v="312"/>
    <x v="2"/>
    <s v="Cash on Delivery"/>
    <s v="Completed"/>
    <x v="0"/>
    <s v="Completed"/>
    <s v="Store"/>
    <s v="Cash On Delivery"/>
    <x v="3"/>
    <s v="VALID"/>
    <s v="NORMAL"/>
    <s v="Valid"/>
    <n v="661.59"/>
    <n v="641.7423"/>
  </r>
  <r>
    <s v="ORD50314"/>
    <d v="2024-04-01T00:00:00"/>
    <s v="CUST1255"/>
    <s v="P002"/>
    <x v="9"/>
    <s v="Electronics"/>
    <x v="1"/>
    <x v="7"/>
    <n v="5"/>
    <n v="1108.28"/>
    <n v="0.2"/>
    <x v="313"/>
    <x v="0"/>
    <s v="Net Banking"/>
    <s v="Returned"/>
    <x v="1"/>
    <s v="Returned"/>
    <s v="Online"/>
    <s v="Net Banking"/>
    <x v="1"/>
    <s v="VALID"/>
    <s v="NORMAL"/>
    <s v="Valid"/>
    <n v="5541.4"/>
    <n v="4433.12"/>
  </r>
  <r>
    <s v="ORD50315"/>
    <d v="2025-12-02T00:00:00"/>
    <s v="CUST1242"/>
    <s v="P012"/>
    <x v="0"/>
    <s v="Accessories"/>
    <x v="0"/>
    <x v="14"/>
    <n v="4"/>
    <n v="915.42"/>
    <n v="0.03"/>
    <x v="314"/>
    <x v="0"/>
    <s v="Credit Card"/>
    <s v="Completed"/>
    <x v="5"/>
    <s v="Completed"/>
    <s v="Online"/>
    <s v="Credit Card"/>
    <x v="0"/>
    <s v="VALID"/>
    <s v="NORMAL"/>
    <s v="Valid"/>
    <n v="3661.68"/>
    <n v="3551.8296"/>
  </r>
  <r>
    <s v="ORD50316"/>
    <d v="2025-05-13T00:00:00"/>
    <s v="CUST1050"/>
    <s v="P009"/>
    <x v="7"/>
    <s v="Accessories"/>
    <x v="3"/>
    <x v="11"/>
    <n v="4"/>
    <n v="1940.44"/>
    <n v="0.05"/>
    <x v="315"/>
    <x v="0"/>
    <s v="Debit Card"/>
    <s v="Completed"/>
    <x v="6"/>
    <s v="Completed"/>
    <s v="Online"/>
    <s v="Debit Card"/>
    <x v="0"/>
    <s v="VALID"/>
    <s v="NORMAL"/>
    <s v="Valid"/>
    <n v="7761.76"/>
    <n v="7373.6720000000005"/>
  </r>
  <r>
    <s v="ORD50317"/>
    <d v="2025-04-12T00:00:00"/>
    <s v="CUST1255"/>
    <s v="P005"/>
    <x v="12"/>
    <s v="Furniture"/>
    <x v="3"/>
    <x v="11"/>
    <n v="3"/>
    <n v="9461.81"/>
    <n v="0.03"/>
    <x v="316"/>
    <x v="0"/>
    <s v="Credit Card"/>
    <s v="Completed"/>
    <x v="0"/>
    <s v="Completed"/>
    <s v="Online"/>
    <s v="Credit Card"/>
    <x v="2"/>
    <s v="VALID"/>
    <s v="NORMAL"/>
    <s v="Valid"/>
    <n v="28385.43"/>
    <n v="27533.867099999999"/>
  </r>
  <r>
    <s v="ORD50318"/>
    <d v="2026-05-12T00:00:00"/>
    <s v="CUST1143"/>
    <s v="P015"/>
    <x v="8"/>
    <s v="Accessories"/>
    <x v="2"/>
    <x v="13"/>
    <n v="4"/>
    <n v="654.16"/>
    <n v="0.08"/>
    <x v="317"/>
    <x v="0"/>
    <s v="Cash on Delivery"/>
    <s v="Cancelled"/>
    <x v="7"/>
    <s v="Cancelled"/>
    <s v="Online"/>
    <s v="Cash On Delivery"/>
    <x v="0"/>
    <s v="VALID"/>
    <s v="NORMAL"/>
    <s v="Valid"/>
    <n v="2616.64"/>
    <n v="2407.3087999999998"/>
  </r>
  <r>
    <s v="ORD50319"/>
    <d v="2026-06-19T00:00:00"/>
    <s v="CUST1132"/>
    <s v="P015"/>
    <x v="8"/>
    <s v="Accessories"/>
    <x v="1"/>
    <x v="6"/>
    <n v="2"/>
    <n v="740.27"/>
    <n v="0.2"/>
    <x v="318"/>
    <x v="2"/>
    <s v="UPI"/>
    <s v="Completed"/>
    <x v="3"/>
    <s v="Completed"/>
    <s v="Store"/>
    <s v="Upi"/>
    <x v="0"/>
    <s v="VALID"/>
    <s v="NORMAL"/>
    <s v="Valid"/>
    <n v="1480.54"/>
    <n v="1184.432"/>
  </r>
  <r>
    <s v="ORD50320"/>
    <d v="2026-02-19T00:00:00"/>
    <s v="CUST1059"/>
    <s v="P013"/>
    <x v="2"/>
    <s v="Furniture"/>
    <x v="2"/>
    <x v="5"/>
    <n v="2"/>
    <n v="1721.99"/>
    <n v="0.08"/>
    <x v="319"/>
    <x v="1"/>
    <s v="Credit Card"/>
    <s v="Completed"/>
    <x v="4"/>
    <s v="Completed"/>
    <s v="Marketplace"/>
    <s v="Credit Card"/>
    <x v="2"/>
    <s v="VALID"/>
    <s v="NORMAL"/>
    <s v="Valid"/>
    <n v="3443.98"/>
    <n v="3168.4616000000001"/>
  </r>
  <r>
    <s v="ORD50321"/>
    <d v="2025-01-02T00:00:00"/>
    <s v="CUST1177"/>
    <s v="P006"/>
    <x v="10"/>
    <s v="Furniture"/>
    <x v="0"/>
    <x v="14"/>
    <n v="2"/>
    <n v="6832.88"/>
    <n v="0.15"/>
    <x v="320"/>
    <x v="1"/>
    <s v="Credit Card"/>
    <s v="Completed"/>
    <x v="7"/>
    <s v="Completed"/>
    <s v="Marketplace"/>
    <s v="Credit Card"/>
    <x v="2"/>
    <s v="VALID"/>
    <s v="NORMAL"/>
    <s v="Valid"/>
    <n v="13665.76"/>
    <n v="11615.896000000001"/>
  </r>
  <r>
    <s v="ORD50322"/>
    <d v="2024-11-19T00:00:00"/>
    <s v="CUST1170"/>
    <s v="P007"/>
    <x v="11"/>
    <s v="Stationery"/>
    <x v="2"/>
    <x v="13"/>
    <n v="2"/>
    <n v="447.59"/>
    <n v="0.15"/>
    <x v="321"/>
    <x v="0"/>
    <s v="Cash on Delivery"/>
    <s v="Completed"/>
    <x v="7"/>
    <s v="Completed"/>
    <s v="Online"/>
    <s v="Cash On Delivery"/>
    <x v="3"/>
    <s v="VALID"/>
    <s v="NORMAL"/>
    <s v="Valid"/>
    <n v="895.18"/>
    <n v="760.90300000000002"/>
  </r>
  <r>
    <s v="ORD50323"/>
    <d v="2024-08-30T00:00:00"/>
    <s v="CUST1090"/>
    <s v="P004"/>
    <x v="6"/>
    <s v="Electronics"/>
    <x v="3"/>
    <x v="8"/>
    <n v="5"/>
    <n v="11577.96"/>
    <n v="0.08"/>
    <x v="322"/>
    <x v="2"/>
    <s v="Debit Card"/>
    <s v="Completed"/>
    <x v="5"/>
    <s v="Completed"/>
    <s v="Store"/>
    <s v="Debit Card"/>
    <x v="1"/>
    <s v="VALID"/>
    <s v="NORMAL"/>
    <s v="Valid"/>
    <n v="57889.799999999996"/>
    <n v="53258.615999999995"/>
  </r>
  <r>
    <s v="ORD50324"/>
    <d v="2024-08-05T00:00:00"/>
    <s v="CUST1236"/>
    <s v="P011"/>
    <x v="1"/>
    <s v="Electronics"/>
    <x v="0"/>
    <x v="2"/>
    <m/>
    <n v="3357.16"/>
    <n v="0"/>
    <x v="323"/>
    <x v="0"/>
    <s v="Net Banking"/>
    <s v="Completed"/>
    <x v="0"/>
    <s v="Completed"/>
    <s v="Online"/>
    <s v="Net Banking"/>
    <x v="1"/>
    <s v="INVALID"/>
    <s v="NORMAL"/>
    <s v="Valid"/>
    <n v="0"/>
    <n v="0"/>
  </r>
  <r>
    <s v="ORD50325"/>
    <d v="2025-01-14T00:00:00"/>
    <s v="CUST1089"/>
    <s v="P011"/>
    <x v="1"/>
    <s v="Electronics"/>
    <x v="0"/>
    <x v="16"/>
    <n v="5"/>
    <n v="3027.38"/>
    <n v="0.08"/>
    <x v="324"/>
    <x v="2"/>
    <s v="Cash on Delivery"/>
    <s v="Completed"/>
    <x v="6"/>
    <s v="Completed"/>
    <s v="Store"/>
    <s v="Cash On Delivery"/>
    <x v="1"/>
    <s v="VALID"/>
    <s v="NORMAL"/>
    <s v="Valid"/>
    <n v="15136.900000000001"/>
    <n v="13925.948"/>
  </r>
  <r>
    <s v="ORD50326"/>
    <d v="2024-06-11T00:00:00"/>
    <s v="CUST1158"/>
    <s v="P007"/>
    <x v="11"/>
    <s v="Stationery"/>
    <x v="0"/>
    <x v="10"/>
    <n v="2"/>
    <n v="480.79"/>
    <n v="0"/>
    <x v="325"/>
    <x v="0"/>
    <s v="UPI"/>
    <s v="Returned"/>
    <x v="4"/>
    <s v="Returned"/>
    <s v="Online"/>
    <s v="Upi"/>
    <x v="3"/>
    <s v="VALID"/>
    <s v="NORMAL"/>
    <s v="Valid"/>
    <n v="961.58"/>
    <n v="961.58"/>
  </r>
  <r>
    <s v="ORD50327"/>
    <d v="2025-11-23T00:00:00"/>
    <s v="CUST1009"/>
    <s v="P004"/>
    <x v="6"/>
    <s v="Electronics"/>
    <x v="2"/>
    <x v="13"/>
    <n v="2"/>
    <n v="12058.71"/>
    <n v="0.15"/>
    <x v="326"/>
    <x v="0"/>
    <s v="Cash on Delivery"/>
    <s v="Completed"/>
    <x v="3"/>
    <s v="Completed"/>
    <s v="Online"/>
    <s v="Cash On Delivery"/>
    <x v="1"/>
    <s v="VALID"/>
    <s v="NORMAL"/>
    <s v="Valid"/>
    <n v="24117.42"/>
    <n v="20499.806999999997"/>
  </r>
  <r>
    <s v="ORD50328"/>
    <d v="2024-12-17T00:00:00"/>
    <s v="CUST1158"/>
    <s v="P015"/>
    <x v="8"/>
    <s v="Accessories"/>
    <x v="2"/>
    <x v="16"/>
    <n v="2"/>
    <n v="654.04999999999995"/>
    <n v="0.05"/>
    <x v="327"/>
    <x v="0"/>
    <s v="Credit Card"/>
    <s v="Completed"/>
    <x v="6"/>
    <s v="Completed"/>
    <s v="Online"/>
    <s v="Credit Card"/>
    <x v="0"/>
    <s v="VALID"/>
    <s v="NORMAL"/>
    <s v="Valid"/>
    <n v="1308.0999999999999"/>
    <n v="1242.6949999999999"/>
  </r>
  <r>
    <s v="ORD50329"/>
    <d v="2025-06-30T00:00:00"/>
    <s v="CUST1132"/>
    <s v="P015"/>
    <x v="8"/>
    <s v="Accessories"/>
    <x v="2"/>
    <x v="4"/>
    <n v="5"/>
    <n v="703.56"/>
    <n v="0"/>
    <x v="328"/>
    <x v="0"/>
    <s v="UPI"/>
    <s v="Cancelled"/>
    <x v="4"/>
    <s v="Cancelled"/>
    <s v="Online"/>
    <s v="Upi"/>
    <x v="0"/>
    <s v="VALID"/>
    <s v="NORMAL"/>
    <s v="Valid"/>
    <n v="3517.7999999999997"/>
    <n v="3517.7999999999997"/>
  </r>
  <r>
    <s v="ORD50330"/>
    <d v="2025-11-28T00:00:00"/>
    <s v="CUST1032"/>
    <s v="P012"/>
    <x v="0"/>
    <s v="Accessories"/>
    <x v="1"/>
    <x v="3"/>
    <n v="3"/>
    <n v="841.07"/>
    <n v="0.2"/>
    <x v="329"/>
    <x v="1"/>
    <s v="Cash on Delivery"/>
    <s v="Cancelled"/>
    <x v="1"/>
    <s v="Cancelled"/>
    <s v="Marketplace"/>
    <s v="Cash On Delivery"/>
    <x v="0"/>
    <s v="VALID"/>
    <s v="NORMAL"/>
    <s v="Valid"/>
    <n v="2523.21"/>
    <n v="2018.568"/>
  </r>
  <r>
    <s v="ORD50331"/>
    <d v="2024-03-03T00:00:00"/>
    <s v="CUST1259"/>
    <s v="P014"/>
    <x v="5"/>
    <s v="Electronics"/>
    <x v="2"/>
    <x v="5"/>
    <n v="1"/>
    <n v="2921"/>
    <n v="0.2"/>
    <x v="330"/>
    <x v="0"/>
    <s v="Credit Card"/>
    <s v="Completed"/>
    <x v="2"/>
    <s v="Completed"/>
    <s v="Online"/>
    <s v="Credit Card"/>
    <x v="1"/>
    <s v="VALID"/>
    <s v="NORMAL"/>
    <s v="Valid"/>
    <n v="2921"/>
    <n v="2336.8000000000002"/>
  </r>
  <r>
    <s v="ORD50332"/>
    <d v="2024-02-01T00:00:00"/>
    <s v="CUST1136"/>
    <s v="P011"/>
    <x v="1"/>
    <s v="Electronics"/>
    <x v="1"/>
    <x v="3"/>
    <n v="4"/>
    <n v="3252.43"/>
    <n v="0.15"/>
    <x v="331"/>
    <x v="2"/>
    <s v="UPI"/>
    <s v="Cancelled"/>
    <x v="1"/>
    <s v="Cancelled"/>
    <s v="Store"/>
    <s v="Upi"/>
    <x v="1"/>
    <s v="VALID"/>
    <s v="NORMAL"/>
    <s v="Valid"/>
    <n v="13009.72"/>
    <n v="11058.261999999999"/>
  </r>
  <r>
    <s v="ORD50333"/>
    <d v="2026-06-11T00:00:00"/>
    <s v="CUST1117"/>
    <s v="P007"/>
    <x v="11"/>
    <s v="Stationery"/>
    <x v="1"/>
    <x v="3"/>
    <n v="1"/>
    <n v="433.1"/>
    <n v="0.1"/>
    <x v="332"/>
    <x v="2"/>
    <s v="Cash on Delivery"/>
    <s v="Completed"/>
    <x v="4"/>
    <s v="Completed"/>
    <s v="Store"/>
    <s v="Cash On Delivery"/>
    <x v="3"/>
    <s v="VALID"/>
    <s v="NORMAL"/>
    <s v="Valid"/>
    <n v="433.1"/>
    <n v="389.79"/>
  </r>
  <r>
    <s v="ORD50334"/>
    <d v="2026-03-13T00:00:00"/>
    <s v="CUST1197"/>
    <s v="P003"/>
    <x v="3"/>
    <s v="Electronics"/>
    <x v="2"/>
    <x v="13"/>
    <n v="5"/>
    <n v="1778.68"/>
    <n v="0.2"/>
    <x v="333"/>
    <x v="1"/>
    <s v="Debit Card"/>
    <s v="Completed"/>
    <x v="3"/>
    <s v="Completed"/>
    <s v="Marketplace"/>
    <s v="Debit Card"/>
    <x v="1"/>
    <s v="VALID"/>
    <s v="NORMAL"/>
    <s v="Valid"/>
    <n v="8893.4"/>
    <n v="7114.7199999999993"/>
  </r>
  <r>
    <s v="ORD50335"/>
    <d v="2025-03-02T00:00:00"/>
    <s v="CUST1040"/>
    <s v="P004"/>
    <x v="6"/>
    <s v="Electronics"/>
    <x v="2"/>
    <x v="12"/>
    <n v="3"/>
    <n v="12203.86"/>
    <n v="0"/>
    <x v="334"/>
    <x v="2"/>
    <s v="Debit Card"/>
    <s v="Completed"/>
    <x v="3"/>
    <s v="Completed"/>
    <s v="Store"/>
    <s v="Debit Card"/>
    <x v="1"/>
    <s v="VALID"/>
    <s v="NORMAL"/>
    <s v="Valid"/>
    <n v="36611.58"/>
    <n v="36611.58"/>
  </r>
  <r>
    <s v="ORD50336"/>
    <d v="2026-01-21T00:00:00"/>
    <s v="CUST1130"/>
    <s v="P015"/>
    <x v="8"/>
    <s v="Accessories"/>
    <x v="2"/>
    <x v="4"/>
    <n v="4"/>
    <n v="731.89"/>
    <n v="0.2"/>
    <x v="335"/>
    <x v="2"/>
    <s v="Cash on Delivery"/>
    <s v="Completed"/>
    <x v="2"/>
    <s v="Completed"/>
    <s v="Store"/>
    <s v="Cash On Delivery"/>
    <x v="0"/>
    <s v="VALID"/>
    <s v="NORMAL"/>
    <s v="Valid"/>
    <n v="2927.56"/>
    <n v="2342.0479999999998"/>
  </r>
  <r>
    <s v="ORD50337"/>
    <d v="2026-04-25T00:00:00"/>
    <s v="CUST1213"/>
    <s v="P008"/>
    <x v="4"/>
    <s v="Stationery"/>
    <x v="0"/>
    <x v="10"/>
    <n v="1"/>
    <n v="222.96"/>
    <n v="0.03"/>
    <x v="336"/>
    <x v="0"/>
    <s v="UPI"/>
    <s v="Returned"/>
    <x v="5"/>
    <s v="Returned"/>
    <s v="Online"/>
    <s v="Upi"/>
    <x v="3"/>
    <s v="VALID"/>
    <s v="NORMAL"/>
    <s v="Valid"/>
    <n v="222.96"/>
    <n v="216.27120000000002"/>
  </r>
  <r>
    <s v="ORD50338"/>
    <d v="2024-04-15T00:00:00"/>
    <s v="CUST1088"/>
    <s v="P006"/>
    <x v="10"/>
    <s v="Furniture"/>
    <x v="0"/>
    <x v="14"/>
    <n v="2"/>
    <n v="6691.79"/>
    <n v="0.15"/>
    <x v="337"/>
    <x v="0"/>
    <s v="Cash on Delivery"/>
    <s v="Completed"/>
    <x v="4"/>
    <s v="Completed"/>
    <s v="Online"/>
    <s v="Cash On Delivery"/>
    <x v="2"/>
    <s v="VALID"/>
    <s v="NORMAL"/>
    <s v="Valid"/>
    <n v="13383.58"/>
    <n v="11376.043"/>
  </r>
  <r>
    <s v="ORD50339"/>
    <d v="2025-04-09T00:00:00"/>
    <s v="CUST1173"/>
    <s v="P008"/>
    <x v="4"/>
    <s v="Stationery"/>
    <x v="2"/>
    <x v="13"/>
    <n v="2"/>
    <n v="206.58"/>
    <n v="0"/>
    <x v="338"/>
    <x v="1"/>
    <s v="Credit Card"/>
    <s v="Returned"/>
    <x v="1"/>
    <s v="Returned"/>
    <s v="Marketplace"/>
    <s v="Credit Card"/>
    <x v="3"/>
    <s v="VALID"/>
    <s v="NORMAL"/>
    <s v="Valid"/>
    <n v="413.16"/>
    <n v="413.16"/>
  </r>
  <r>
    <s v="ORD50340"/>
    <d v="2024-06-18T00:00:00"/>
    <s v="CUST1128"/>
    <s v="P004"/>
    <x v="6"/>
    <s v="Electronics"/>
    <x v="2"/>
    <x v="13"/>
    <n v="1"/>
    <n v="12936.12"/>
    <n v="0.1"/>
    <x v="339"/>
    <x v="2"/>
    <s v="UPI"/>
    <s v="Cancelled"/>
    <x v="4"/>
    <s v="Cancelled"/>
    <s v="Store"/>
    <s v="Upi"/>
    <x v="1"/>
    <s v="VALID"/>
    <s v="NORMAL"/>
    <s v="Valid"/>
    <n v="12936.12"/>
    <n v="11642.508000000002"/>
  </r>
  <r>
    <s v="ORD50341"/>
    <d v="2025-10-20T00:00:00"/>
    <s v="CUST1227"/>
    <s v="P015"/>
    <x v="8"/>
    <s v="Accessories"/>
    <x v="1"/>
    <x v="3"/>
    <n v="3"/>
    <n v="698.03"/>
    <n v="0.05"/>
    <x v="340"/>
    <x v="1"/>
    <s v="Cash on Delivery"/>
    <s v="Completed"/>
    <x v="5"/>
    <s v="Completed"/>
    <s v="Marketplace"/>
    <s v="Cash On Delivery"/>
    <x v="0"/>
    <s v="VALID"/>
    <s v="NORMAL"/>
    <s v="Valid"/>
    <n v="2094.09"/>
    <n v="1989.3855000000001"/>
  </r>
  <r>
    <s v="ORD50342"/>
    <d v="2024-04-13T00:00:00"/>
    <s v="CUST1085"/>
    <s v="P009"/>
    <x v="7"/>
    <s v="Accessories"/>
    <x v="1"/>
    <x v="1"/>
    <n v="4"/>
    <n v="1746.64"/>
    <n v="0.2"/>
    <x v="341"/>
    <x v="1"/>
    <s v="Debit Card"/>
    <s v="Cancelled"/>
    <x v="3"/>
    <s v="Cancelled"/>
    <s v="Marketplace"/>
    <s v="Debit Card"/>
    <x v="0"/>
    <s v="VALID"/>
    <s v="NORMAL"/>
    <s v="Valid"/>
    <n v="6986.56"/>
    <n v="5589.2480000000005"/>
  </r>
  <r>
    <s v="ORD50343"/>
    <d v="2024-10-07T00:00:00"/>
    <s v="CUST1066"/>
    <s v="P003"/>
    <x v="3"/>
    <s v="Electronics"/>
    <x v="0"/>
    <x v="14"/>
    <n v="5"/>
    <n v="1859.12"/>
    <n v="0.2"/>
    <x v="342"/>
    <x v="0"/>
    <s v="Debit Card"/>
    <s v="Completed"/>
    <x v="4"/>
    <s v="Completed"/>
    <s v="Online"/>
    <s v="Debit Card"/>
    <x v="1"/>
    <s v="VALID"/>
    <s v="NORMAL"/>
    <s v="Valid"/>
    <n v="9295.5999999999985"/>
    <n v="7436.4799999999987"/>
  </r>
  <r>
    <s v="ORD50344"/>
    <d v="2025-08-19T00:00:00"/>
    <s v="CUST1208"/>
    <s v="P002"/>
    <x v="9"/>
    <s v="Electronics"/>
    <x v="2"/>
    <x v="4"/>
    <n v="3"/>
    <n v="1122.05"/>
    <n v="0.1"/>
    <x v="343"/>
    <x v="1"/>
    <s v="Net Banking"/>
    <s v="Completed"/>
    <x v="5"/>
    <s v="Completed"/>
    <s v="Marketplace"/>
    <s v="Net Banking"/>
    <x v="1"/>
    <s v="VALID"/>
    <s v="NORMAL"/>
    <s v="Valid"/>
    <n v="3366.1499999999996"/>
    <n v="3029.5349999999999"/>
  </r>
  <r>
    <s v="ORD50345"/>
    <d v="2025-03-21T00:00:00"/>
    <s v="CUST1096"/>
    <s v="P003"/>
    <x v="3"/>
    <s v="Electronics"/>
    <x v="1"/>
    <x v="1"/>
    <n v="2"/>
    <n v="1810.71"/>
    <n v="0.2"/>
    <x v="344"/>
    <x v="0"/>
    <s v="Cash on Delivery"/>
    <s v="Completed"/>
    <x v="3"/>
    <s v="Completed"/>
    <s v="Online"/>
    <s v="Cash On Delivery"/>
    <x v="1"/>
    <s v="VALID"/>
    <s v="NORMAL"/>
    <s v="Valid"/>
    <n v="3621.42"/>
    <n v="2897.136"/>
  </r>
  <r>
    <s v="ORD50346"/>
    <d v="2024-12-02T00:00:00"/>
    <s v="CUST1182"/>
    <s v="P009"/>
    <x v="7"/>
    <s v="Accessories"/>
    <x v="2"/>
    <x v="13"/>
    <n v="4"/>
    <n v="1712.72"/>
    <n v="0.05"/>
    <x v="345"/>
    <x v="0"/>
    <s v="Net Banking"/>
    <s v="Completed"/>
    <x v="3"/>
    <s v="Completed"/>
    <s v="Online"/>
    <s v="Net Banking"/>
    <x v="0"/>
    <s v="VALID"/>
    <s v="NORMAL"/>
    <s v="Valid"/>
    <n v="6850.88"/>
    <n v="6508.3360000000002"/>
  </r>
  <r>
    <s v="ORD50347"/>
    <d v="2024-08-10T00:00:00"/>
    <s v="CUST1201"/>
    <s v="P006"/>
    <x v="10"/>
    <s v="Furniture"/>
    <x v="0"/>
    <x v="10"/>
    <n v="3"/>
    <n v="7060.46"/>
    <n v="0.2"/>
    <x v="346"/>
    <x v="2"/>
    <s v="Credit Card"/>
    <s v="Returned"/>
    <x v="1"/>
    <s v="Returned"/>
    <s v="Store"/>
    <s v="Credit Card"/>
    <x v="2"/>
    <s v="VALID"/>
    <s v="NORMAL"/>
    <s v="Valid"/>
    <n v="21181.38"/>
    <n v="16945.103999999999"/>
  </r>
  <r>
    <s v="ORD50348"/>
    <d v="2025-04-21T00:00:00"/>
    <s v="CUST1185"/>
    <s v="P002"/>
    <x v="9"/>
    <s v="Electronics"/>
    <x v="1"/>
    <x v="1"/>
    <n v="5"/>
    <n v="1115.27"/>
    <n v="0.15"/>
    <x v="347"/>
    <x v="1"/>
    <s v="Net Banking"/>
    <s v="Completed"/>
    <x v="5"/>
    <s v="Completed"/>
    <s v="Marketplace"/>
    <s v="Net Banking"/>
    <x v="1"/>
    <s v="VALID"/>
    <s v="NORMAL"/>
    <s v="Valid"/>
    <n v="5576.35"/>
    <n v="4739.8975"/>
  </r>
  <r>
    <s v="ORD50349"/>
    <d v="2025-12-31T00:00:00"/>
    <s v="CUST1147"/>
    <s v="P007"/>
    <x v="11"/>
    <s v="Stationery"/>
    <x v="3"/>
    <x v="8"/>
    <n v="1"/>
    <n v="423.11"/>
    <n v="0.08"/>
    <x v="348"/>
    <x v="1"/>
    <s v="UPI"/>
    <s v="Completed"/>
    <x v="4"/>
    <s v="Completed"/>
    <s v="Marketplace"/>
    <s v="Upi"/>
    <x v="3"/>
    <s v="VALID"/>
    <s v="NORMAL"/>
    <s v="Valid"/>
    <n v="423.11"/>
    <n v="389.26120000000003"/>
  </r>
  <r>
    <s v="ORD50350"/>
    <d v="2025-10-21T00:00:00"/>
    <s v="CUST1117"/>
    <s v="P013"/>
    <x v="2"/>
    <s v="Furniture"/>
    <x v="1"/>
    <x v="3"/>
    <n v="3"/>
    <n v="1628.78"/>
    <n v="0.1"/>
    <x v="349"/>
    <x v="2"/>
    <s v="Cash on Delivery"/>
    <s v="Completed"/>
    <x v="6"/>
    <s v="Completed"/>
    <s v="Store"/>
    <s v="Cash On Delivery"/>
    <x v="2"/>
    <s v="VALID"/>
    <s v="NORMAL"/>
    <s v="Valid"/>
    <n v="4886.34"/>
    <n v="4397.7060000000001"/>
  </r>
  <r>
    <s v="ORD50351"/>
    <d v="2024-02-10T00:00:00"/>
    <s v="CUST1057"/>
    <s v="P001"/>
    <x v="13"/>
    <s v="Electronics"/>
    <x v="3"/>
    <x v="15"/>
    <n v="3"/>
    <n v="68747.600000000006"/>
    <n v="0.1"/>
    <x v="350"/>
    <x v="2"/>
    <s v="Debit Card"/>
    <s v="Completed"/>
    <x v="4"/>
    <s v="Completed"/>
    <s v="Store"/>
    <s v="Debit Card"/>
    <x v="1"/>
    <s v="VALID"/>
    <s v="NORMAL"/>
    <s v="Valid"/>
    <n v="206242.80000000002"/>
    <n v="185618.52000000002"/>
  </r>
  <r>
    <s v="ORD50352"/>
    <d v="2024-06-20T00:00:00"/>
    <s v="CUST1180"/>
    <s v="P014"/>
    <x v="5"/>
    <s v="Electronics"/>
    <x v="2"/>
    <x v="5"/>
    <n v="4"/>
    <n v="2667.55"/>
    <n v="0.1"/>
    <x v="351"/>
    <x v="2"/>
    <s v="Cash on Delivery"/>
    <s v="Cancelled"/>
    <x v="6"/>
    <s v="Cancelled"/>
    <s v="Store"/>
    <s v="Cash On Delivery"/>
    <x v="1"/>
    <s v="VALID"/>
    <s v="NORMAL"/>
    <s v="Valid"/>
    <n v="10670.2"/>
    <n v="9603.18"/>
  </r>
  <r>
    <s v="ORD50353"/>
    <d v="2024-03-16T00:00:00"/>
    <s v="CUST1253"/>
    <s v="P003"/>
    <x v="3"/>
    <s v="Electronics"/>
    <x v="2"/>
    <x v="12"/>
    <n v="2"/>
    <n v="1859.96"/>
    <n v="0.03"/>
    <x v="352"/>
    <x v="2"/>
    <s v="Credit Card"/>
    <s v="Completed"/>
    <x v="7"/>
    <s v="Completed"/>
    <s v="Store"/>
    <s v="Credit Card"/>
    <x v="1"/>
    <s v="VALID"/>
    <s v="NORMAL"/>
    <s v="Valid"/>
    <n v="3719.92"/>
    <n v="3608.3224"/>
  </r>
  <r>
    <s v="ORD50354"/>
    <d v="2024-09-29T00:00:00"/>
    <s v="CUST1234"/>
    <s v="P011"/>
    <x v="1"/>
    <s v="Electronics"/>
    <x v="3"/>
    <x v="11"/>
    <n v="1"/>
    <n v="2966.11"/>
    <n v="0.15"/>
    <x v="353"/>
    <x v="1"/>
    <s v="Net Banking"/>
    <s v="Returned"/>
    <x v="5"/>
    <s v="Returned"/>
    <s v="Marketplace"/>
    <s v="Net Banking"/>
    <x v="1"/>
    <s v="VALID"/>
    <s v="NORMAL"/>
    <s v="Valid"/>
    <n v="2966.11"/>
    <n v="2521.1935000000003"/>
  </r>
  <r>
    <s v="ORD50355"/>
    <d v="2024-10-12T00:00:00"/>
    <s v="CUST1127"/>
    <s v="P012"/>
    <x v="0"/>
    <s v="Accessories"/>
    <x v="3"/>
    <x v="11"/>
    <n v="3"/>
    <n v="841.31"/>
    <n v="0.03"/>
    <x v="354"/>
    <x v="0"/>
    <s v="Net Banking"/>
    <s v="Completed"/>
    <x v="7"/>
    <s v="Completed"/>
    <s v="Online"/>
    <s v="Net Banking"/>
    <x v="0"/>
    <s v="VALID"/>
    <s v="NORMAL"/>
    <s v="Valid"/>
    <n v="2523.9299999999998"/>
    <n v="2448.2120999999997"/>
  </r>
  <r>
    <s v="ORD50356"/>
    <d v="2025-01-28T00:00:00"/>
    <s v="CUST1215"/>
    <s v="P005"/>
    <x v="12"/>
    <s v="Furniture"/>
    <x v="0"/>
    <x v="0"/>
    <n v="4"/>
    <n v="10252.41"/>
    <n v="0.2"/>
    <x v="355"/>
    <x v="2"/>
    <s v="Credit Card"/>
    <s v="Completed"/>
    <x v="2"/>
    <s v="Completed"/>
    <s v="Store"/>
    <s v="Credit Card"/>
    <x v="2"/>
    <s v="VALID"/>
    <s v="NORMAL"/>
    <s v="Valid"/>
    <n v="41009.64"/>
    <n v="32807.712"/>
  </r>
  <r>
    <s v="ORD50357"/>
    <d v="2025-11-26T00:00:00"/>
    <s v="CUST1046"/>
    <s v="P006"/>
    <x v="10"/>
    <s v="Furniture"/>
    <x v="3"/>
    <x v="15"/>
    <n v="2"/>
    <n v="7504.22"/>
    <n v="0.03"/>
    <x v="356"/>
    <x v="2"/>
    <s v="Net Banking"/>
    <s v="Returned"/>
    <x v="6"/>
    <s v="Returned"/>
    <s v="Store"/>
    <s v="Net Banking"/>
    <x v="2"/>
    <s v="VALID"/>
    <s v="NORMAL"/>
    <s v="Valid"/>
    <n v="15008.44"/>
    <n v="14558.186800000001"/>
  </r>
  <r>
    <s v="ORD50358"/>
    <d v="2024-01-30T00:00:00"/>
    <s v="CUST1077"/>
    <s v="P015"/>
    <x v="8"/>
    <s v="Accessories"/>
    <x v="3"/>
    <x v="9"/>
    <n v="1"/>
    <n v="652.99"/>
    <n v="0.05"/>
    <x v="357"/>
    <x v="2"/>
    <s v="Cash on Delivery"/>
    <s v="Completed"/>
    <x v="2"/>
    <s v="Completed"/>
    <s v="Store"/>
    <s v="Cash On Delivery"/>
    <x v="0"/>
    <s v="VALID"/>
    <s v="NORMAL"/>
    <s v="Valid"/>
    <n v="652.99"/>
    <n v="620.34050000000002"/>
  </r>
  <r>
    <s v="ORD50359"/>
    <d v="2024-04-21T00:00:00"/>
    <m/>
    <s v="P003"/>
    <x v="3"/>
    <s v="Electronics"/>
    <x v="3"/>
    <x v="11"/>
    <n v="3"/>
    <n v="1823.17"/>
    <n v="0.05"/>
    <x v="358"/>
    <x v="2"/>
    <s v="Credit Card"/>
    <s v="Cancelled"/>
    <x v="1"/>
    <s v="Cancelled"/>
    <s v="Store"/>
    <s v="Credit Card"/>
    <x v="1"/>
    <s v="VALID"/>
    <s v="NORMAL"/>
    <s v="Valid"/>
    <n v="5469.51"/>
    <n v="5196.0344999999998"/>
  </r>
  <r>
    <s v="ORD50360"/>
    <d v="2024-05-06T00:00:00"/>
    <s v="CUST1217"/>
    <s v="P012"/>
    <x v="0"/>
    <s v="Accessories"/>
    <x v="2"/>
    <x v="16"/>
    <n v="1"/>
    <n v="900.08"/>
    <n v="0.1"/>
    <x v="359"/>
    <x v="2"/>
    <s v="Debit Card"/>
    <s v="Completed"/>
    <x v="4"/>
    <s v="Completed"/>
    <s v="Store"/>
    <s v="Debit Card"/>
    <x v="0"/>
    <s v="VALID"/>
    <s v="NORMAL"/>
    <s v="Valid"/>
    <n v="900.08"/>
    <n v="810.072"/>
  </r>
  <r>
    <s v="ORD50361"/>
    <d v="2024-10-23T00:00:00"/>
    <s v="CUST1190"/>
    <s v="P003"/>
    <x v="3"/>
    <s v="Electronics"/>
    <x v="0"/>
    <x v="0"/>
    <n v="1"/>
    <n v="1738.96"/>
    <n v="0.08"/>
    <x v="360"/>
    <x v="1"/>
    <s v="UPI"/>
    <s v="Completed"/>
    <x v="5"/>
    <s v="Completed"/>
    <s v="Marketplace"/>
    <s v="Upi"/>
    <x v="1"/>
    <s v="VALID"/>
    <s v="NORMAL"/>
    <s v="Valid"/>
    <n v="1738.96"/>
    <n v="1599.8432"/>
  </r>
  <r>
    <s v="ORD50362"/>
    <d v="2026-02-25T00:00:00"/>
    <s v="CUST1231"/>
    <s v="P011"/>
    <x v="1"/>
    <s v="Electronics"/>
    <x v="1"/>
    <x v="6"/>
    <n v="1"/>
    <n v="2956.16"/>
    <n v="0"/>
    <x v="361"/>
    <x v="2"/>
    <s v="Cash on Delivery"/>
    <s v="Cancelled"/>
    <x v="2"/>
    <s v="Cancelled"/>
    <s v="Store"/>
    <s v="Cash On Delivery"/>
    <x v="1"/>
    <s v="VALID"/>
    <s v="NORMAL"/>
    <s v="Valid"/>
    <n v="2956.16"/>
    <n v="2956.16"/>
  </r>
  <r>
    <s v="ORD50363"/>
    <d v="2025-03-04T00:00:00"/>
    <s v="CUST1207"/>
    <s v="P009"/>
    <x v="7"/>
    <s v="Accessories"/>
    <x v="1"/>
    <x v="6"/>
    <n v="3"/>
    <n v="1796.8"/>
    <n v="0.03"/>
    <x v="362"/>
    <x v="2"/>
    <s v="Cash on Delivery"/>
    <s v="Returned"/>
    <x v="3"/>
    <s v="Returned"/>
    <s v="Store"/>
    <s v="Cash On Delivery"/>
    <x v="0"/>
    <s v="VALID"/>
    <s v="NORMAL"/>
    <s v="Valid"/>
    <n v="5390.4"/>
    <n v="5228.6880000000001"/>
  </r>
  <r>
    <s v="ORD50364"/>
    <d v="2024-05-16T00:00:00"/>
    <s v="CUST1026"/>
    <s v="P009"/>
    <x v="7"/>
    <s v="Accessories"/>
    <x v="1"/>
    <x v="3"/>
    <n v="5"/>
    <n v="1793.56"/>
    <n v="0"/>
    <x v="363"/>
    <x v="0"/>
    <s v="Net Banking"/>
    <s v="Returned"/>
    <x v="0"/>
    <s v="Returned"/>
    <s v="Online"/>
    <s v="Net Banking"/>
    <x v="0"/>
    <s v="VALID"/>
    <s v="NORMAL"/>
    <s v="Valid"/>
    <n v="8967.7999999999993"/>
    <n v="8967.7999999999993"/>
  </r>
  <r>
    <s v="ORD50365"/>
    <d v="2025-11-27T00:00:00"/>
    <s v="CUST1096"/>
    <s v="P004"/>
    <x v="6"/>
    <s v="Electronics"/>
    <x v="1"/>
    <x v="1"/>
    <n v="3"/>
    <n v="12542.89"/>
    <n v="0"/>
    <x v="364"/>
    <x v="2"/>
    <s v="Debit Card"/>
    <s v="Completed"/>
    <x v="0"/>
    <s v="Completed"/>
    <s v="Store"/>
    <s v="Debit Card"/>
    <x v="1"/>
    <s v="VALID"/>
    <s v="NORMAL"/>
    <s v="Valid"/>
    <n v="37628.67"/>
    <n v="37628.67"/>
  </r>
  <r>
    <s v="ORD50366"/>
    <d v="2024-10-05T00:00:00"/>
    <s v="CUST1210"/>
    <s v="P012"/>
    <x v="0"/>
    <s v="Accessories"/>
    <x v="2"/>
    <x v="4"/>
    <n v="5"/>
    <n v="802.39"/>
    <n v="0.05"/>
    <x v="365"/>
    <x v="0"/>
    <s v="Net Banking"/>
    <s v="Completed"/>
    <x v="2"/>
    <s v="Completed"/>
    <s v="Online"/>
    <s v="Net Banking"/>
    <x v="0"/>
    <s v="VALID"/>
    <s v="NORMAL"/>
    <s v="Valid"/>
    <n v="4011.95"/>
    <n v="3811.3525"/>
  </r>
  <r>
    <s v="ORD50367"/>
    <d v="2025-02-16T00:00:00"/>
    <s v="CUST1062"/>
    <s v="P011"/>
    <x v="1"/>
    <s v="Electronics"/>
    <x v="1"/>
    <x v="7"/>
    <n v="5"/>
    <n v="3021.11"/>
    <n v="0"/>
    <x v="366"/>
    <x v="0"/>
    <s v="UPI"/>
    <s v="Completed"/>
    <x v="1"/>
    <s v="Completed"/>
    <s v="Online"/>
    <s v="Upi"/>
    <x v="1"/>
    <s v="VALID"/>
    <s v="NORMAL"/>
    <s v="Valid"/>
    <n v="15105.550000000001"/>
    <n v="15105.550000000001"/>
  </r>
  <r>
    <s v="ORD50368"/>
    <d v="2025-11-26T00:00:00"/>
    <s v="CUST1028"/>
    <s v="P003"/>
    <x v="3"/>
    <s v="Electronics"/>
    <x v="1"/>
    <x v="6"/>
    <n v="2"/>
    <n v="1871.44"/>
    <n v="0"/>
    <x v="367"/>
    <x v="1"/>
    <s v="Debit Card"/>
    <s v="Completed"/>
    <x v="6"/>
    <s v="Completed"/>
    <s v="Marketplace"/>
    <s v="Debit Card"/>
    <x v="1"/>
    <s v="VALID"/>
    <s v="NORMAL"/>
    <s v="Valid"/>
    <n v="3742.88"/>
    <n v="3742.88"/>
  </r>
  <r>
    <s v="ORD50369"/>
    <d v="2026-02-09T00:00:00"/>
    <s v="CUST1155"/>
    <s v="P006"/>
    <x v="10"/>
    <s v="Furniture"/>
    <x v="0"/>
    <x v="2"/>
    <n v="1"/>
    <n v="7765.91"/>
    <n v="0.05"/>
    <x v="368"/>
    <x v="0"/>
    <s v="Credit Card"/>
    <s v="Completed"/>
    <x v="7"/>
    <s v="Completed"/>
    <s v="Online"/>
    <s v="Credit Card"/>
    <x v="2"/>
    <s v="VALID"/>
    <s v="NORMAL"/>
    <s v="Valid"/>
    <n v="7765.91"/>
    <n v="7377.6144999999997"/>
  </r>
  <r>
    <s v="ORD50370"/>
    <d v="2024-04-23T00:00:00"/>
    <s v="CUST1180"/>
    <s v="P006"/>
    <x v="10"/>
    <s v="Furniture"/>
    <x v="0"/>
    <x v="2"/>
    <n v="4"/>
    <n v="7536.7"/>
    <n v="0.1"/>
    <x v="369"/>
    <x v="2"/>
    <s v="Cash on Delivery"/>
    <s v="Completed"/>
    <x v="6"/>
    <s v="Completed"/>
    <s v="Store"/>
    <s v="Cash On Delivery"/>
    <x v="2"/>
    <s v="VALID"/>
    <s v="NORMAL"/>
    <s v="Valid"/>
    <n v="30146.799999999999"/>
    <n v="27132.12"/>
  </r>
  <r>
    <s v="ORD50371"/>
    <d v="2024-07-04T00:00:00"/>
    <m/>
    <s v="P004"/>
    <x v="6"/>
    <s v="Electronics"/>
    <x v="0"/>
    <x v="14"/>
    <n v="3"/>
    <n v="12159.57"/>
    <n v="0.15"/>
    <x v="370"/>
    <x v="1"/>
    <s v="Debit Card"/>
    <s v="Cancelled"/>
    <x v="5"/>
    <s v="Cancelled"/>
    <s v="Marketplace"/>
    <s v="Debit Card"/>
    <x v="1"/>
    <s v="VALID"/>
    <s v="NORMAL"/>
    <s v="Valid"/>
    <n v="36478.71"/>
    <n v="31006.9035"/>
  </r>
  <r>
    <s v="ORD50372"/>
    <d v="2026-06-07T00:00:00"/>
    <s v="CUST1091"/>
    <s v="P008"/>
    <x v="4"/>
    <s v="Stationery"/>
    <x v="2"/>
    <x v="5"/>
    <n v="1"/>
    <n v="219.55"/>
    <n v="0.08"/>
    <x v="371"/>
    <x v="2"/>
    <s v="Credit Card"/>
    <s v="Returned"/>
    <x v="7"/>
    <s v="Returned"/>
    <s v="Store"/>
    <s v="Credit Card"/>
    <x v="3"/>
    <s v="VALID"/>
    <s v="NORMAL"/>
    <s v="Valid"/>
    <n v="219.55"/>
    <n v="201.98600000000002"/>
  </r>
  <r>
    <s v="ORD50373"/>
    <d v="2024-05-04T00:00:00"/>
    <s v="CUST1033"/>
    <s v="P002"/>
    <x v="9"/>
    <s v="Electronics"/>
    <x v="1"/>
    <x v="3"/>
    <n v="5"/>
    <n v="1142.01"/>
    <n v="0.15"/>
    <x v="372"/>
    <x v="1"/>
    <s v="Cash on Delivery"/>
    <s v="Completed"/>
    <x v="2"/>
    <s v="Completed"/>
    <s v="Marketplace"/>
    <s v="Cash On Delivery"/>
    <x v="1"/>
    <s v="VALID"/>
    <s v="NORMAL"/>
    <s v="Valid"/>
    <n v="5710.05"/>
    <n v="4853.5425000000005"/>
  </r>
  <r>
    <s v="ORD50374"/>
    <d v="2026-04-01T00:00:00"/>
    <s v="CUST1220"/>
    <s v="P014"/>
    <x v="5"/>
    <s v="Electronics"/>
    <x v="0"/>
    <x v="14"/>
    <n v="1"/>
    <n v="2885.95"/>
    <n v="0"/>
    <x v="373"/>
    <x v="0"/>
    <s v="Net Banking"/>
    <s v="Completed"/>
    <x v="6"/>
    <s v="Completed"/>
    <s v="Online"/>
    <s v="Net Banking"/>
    <x v="1"/>
    <s v="VALID"/>
    <s v="NORMAL"/>
    <s v="Valid"/>
    <n v="2885.95"/>
    <n v="2885.95"/>
  </r>
  <r>
    <s v="ORD50375"/>
    <d v="2026-03-24T00:00:00"/>
    <s v="CUST1084"/>
    <s v="P011"/>
    <x v="1"/>
    <s v="Electronics"/>
    <x v="1"/>
    <x v="6"/>
    <n v="3"/>
    <n v="3301"/>
    <n v="0.08"/>
    <x v="374"/>
    <x v="1"/>
    <s v="UPI"/>
    <s v="Completed"/>
    <x v="2"/>
    <s v="Completed"/>
    <s v="Marketplace"/>
    <s v="Upi"/>
    <x v="1"/>
    <s v="VALID"/>
    <s v="NORMAL"/>
    <s v="Valid"/>
    <n v="9903"/>
    <n v="9110.76"/>
  </r>
  <r>
    <s v="ORD50376"/>
    <d v="2025-08-28T00:00:00"/>
    <s v="CUST1130"/>
    <s v="P007"/>
    <x v="11"/>
    <s v="Stationery"/>
    <x v="2"/>
    <x v="5"/>
    <n v="4"/>
    <n v="485.83"/>
    <n v="0.15"/>
    <x v="375"/>
    <x v="0"/>
    <s v="Credit Card"/>
    <s v="Cancelled"/>
    <x v="7"/>
    <s v="Cancelled"/>
    <s v="Online"/>
    <s v="Credit Card"/>
    <x v="3"/>
    <s v="VALID"/>
    <s v="NORMAL"/>
    <s v="Valid"/>
    <n v="1943.32"/>
    <n v="1651.8219999999999"/>
  </r>
  <r>
    <s v="ORD50377"/>
    <d v="2024-11-04T00:00:00"/>
    <s v="CUST1013"/>
    <s v="P008"/>
    <x v="4"/>
    <s v="Stationery"/>
    <x v="1"/>
    <x v="3"/>
    <n v="3"/>
    <n v="216.63"/>
    <n v="0"/>
    <x v="376"/>
    <x v="2"/>
    <s v="Net Banking"/>
    <s v="Completed"/>
    <x v="1"/>
    <s v="Completed"/>
    <s v="Store"/>
    <s v="Net Banking"/>
    <x v="3"/>
    <s v="VALID"/>
    <s v="NORMAL"/>
    <s v="Valid"/>
    <n v="649.89"/>
    <n v="649.89"/>
  </r>
  <r>
    <s v="ORD50378"/>
    <d v="2025-08-22T00:00:00"/>
    <s v="CUST1208"/>
    <s v="P010"/>
    <x v="14"/>
    <s v="Electronics"/>
    <x v="0"/>
    <x v="14"/>
    <n v="1"/>
    <n v="2302.17"/>
    <n v="0.1"/>
    <x v="377"/>
    <x v="1"/>
    <s v="Debit Card"/>
    <s v="Completed"/>
    <x v="7"/>
    <s v="Completed"/>
    <s v="Marketplace"/>
    <s v="Debit Card"/>
    <x v="1"/>
    <s v="VALID"/>
    <s v="NORMAL"/>
    <s v="Valid"/>
    <n v="2302.17"/>
    <n v="2071.953"/>
  </r>
  <r>
    <s v="ORD50379"/>
    <d v="2025-12-10T00:00:00"/>
    <s v="CUST1138"/>
    <s v="P002"/>
    <x v="9"/>
    <s v="Electronics"/>
    <x v="3"/>
    <x v="8"/>
    <n v="2"/>
    <n v="1271.6099999999999"/>
    <n v="0.15"/>
    <x v="378"/>
    <x v="1"/>
    <s v="Credit Card"/>
    <s v="Completed"/>
    <x v="3"/>
    <s v="Completed"/>
    <s v="Marketplace"/>
    <s v="Credit Card"/>
    <x v="1"/>
    <s v="VALID"/>
    <s v="NORMAL"/>
    <s v="Valid"/>
    <n v="2543.2199999999998"/>
    <n v="2161.7370000000001"/>
  </r>
  <r>
    <s v="ORD50380"/>
    <d v="2025-06-24T00:00:00"/>
    <s v="CUST1099"/>
    <s v="P003"/>
    <x v="3"/>
    <s v="Electronics"/>
    <x v="3"/>
    <x v="8"/>
    <n v="1"/>
    <n v="1894.3"/>
    <n v="0.15"/>
    <x v="379"/>
    <x v="1"/>
    <s v="Debit Card"/>
    <s v="Completed"/>
    <x v="1"/>
    <s v="Completed"/>
    <s v="Marketplace"/>
    <s v="Debit Card"/>
    <x v="1"/>
    <s v="VALID"/>
    <s v="NORMAL"/>
    <s v="Valid"/>
    <n v="1894.3"/>
    <n v="1610.155"/>
  </r>
  <r>
    <s v="ORD50381"/>
    <d v="2025-10-25T00:00:00"/>
    <s v="CUST1189"/>
    <s v="P007"/>
    <x v="11"/>
    <s v="Stationery"/>
    <x v="1"/>
    <x v="1"/>
    <n v="5"/>
    <n v="451.42"/>
    <n v="0"/>
    <x v="380"/>
    <x v="2"/>
    <s v="Credit Card"/>
    <s v="Completed"/>
    <x v="6"/>
    <s v="Completed"/>
    <s v="Store"/>
    <s v="Credit Card"/>
    <x v="3"/>
    <s v="VALID"/>
    <s v="NORMAL"/>
    <s v="Valid"/>
    <n v="2257.1"/>
    <n v="2257.1"/>
  </r>
  <r>
    <s v="ORD50382"/>
    <d v="2024-05-10T00:00:00"/>
    <m/>
    <s v="P006"/>
    <x v="10"/>
    <s v="Furniture"/>
    <x v="3"/>
    <x v="8"/>
    <n v="1"/>
    <n v="7711.65"/>
    <n v="0.05"/>
    <x v="381"/>
    <x v="1"/>
    <s v="Credit Card"/>
    <s v="Returned"/>
    <x v="4"/>
    <s v="Returned"/>
    <s v="Marketplace"/>
    <s v="Credit Card"/>
    <x v="2"/>
    <s v="VALID"/>
    <s v="NORMAL"/>
    <s v="Valid"/>
    <n v="7711.65"/>
    <n v="7326.0674999999992"/>
  </r>
  <r>
    <s v="ORD50383"/>
    <d v="2024-07-24T00:00:00"/>
    <s v="CUST1100"/>
    <s v="P006"/>
    <x v="10"/>
    <s v="Furniture"/>
    <x v="3"/>
    <x v="15"/>
    <n v="5"/>
    <n v="7513.93"/>
    <n v="0.15"/>
    <x v="382"/>
    <x v="1"/>
    <s v="Debit Card"/>
    <s v="Completed"/>
    <x v="5"/>
    <s v="Completed"/>
    <s v="Marketplace"/>
    <s v="Debit Card"/>
    <x v="2"/>
    <s v="VALID"/>
    <s v="NORMAL"/>
    <s v="Valid"/>
    <n v="37569.65"/>
    <n v="31934.202499999999"/>
  </r>
  <r>
    <s v="ORD50384"/>
    <d v="2025-07-09T00:00:00"/>
    <s v="CUST1252"/>
    <s v="P014"/>
    <x v="5"/>
    <s v="Electronics"/>
    <x v="1"/>
    <x v="3"/>
    <n v="1"/>
    <n v="2598.8200000000002"/>
    <n v="0.05"/>
    <x v="383"/>
    <x v="1"/>
    <s v="Cash on Delivery"/>
    <s v="Completed"/>
    <x v="7"/>
    <s v="Completed"/>
    <s v="Marketplace"/>
    <s v="Cash On Delivery"/>
    <x v="1"/>
    <s v="VALID"/>
    <s v="NORMAL"/>
    <s v="Valid"/>
    <n v="2598.8200000000002"/>
    <n v="2468.8790000000004"/>
  </r>
  <r>
    <s v="ORD50385"/>
    <d v="2026-06-23T00:00:00"/>
    <s v="CUST1214"/>
    <s v="P009"/>
    <x v="7"/>
    <s v="Accessories"/>
    <x v="0"/>
    <x v="0"/>
    <n v="2"/>
    <n v="1799.6"/>
    <n v="0.15"/>
    <x v="384"/>
    <x v="0"/>
    <s v="Net Banking"/>
    <s v="Cancelled"/>
    <x v="6"/>
    <s v="Cancelled"/>
    <s v="Online"/>
    <s v="Net Banking"/>
    <x v="0"/>
    <s v="VALID"/>
    <s v="NORMAL"/>
    <s v="Valid"/>
    <n v="3599.2"/>
    <n v="3059.3199999999997"/>
  </r>
  <r>
    <s v="ORD50386"/>
    <d v="2026-05-16T00:00:00"/>
    <s v="CUST1156"/>
    <s v="P008"/>
    <x v="4"/>
    <s v="Stationery"/>
    <x v="1"/>
    <x v="3"/>
    <n v="4"/>
    <n v="204.28"/>
    <n v="0.03"/>
    <x v="88"/>
    <x v="2"/>
    <s v="Cash on Delivery"/>
    <s v="Completed"/>
    <x v="7"/>
    <s v="Completed"/>
    <s v="Store"/>
    <s v="Cash On Delivery"/>
    <x v="3"/>
    <s v="VALID"/>
    <s v="NORMAL"/>
    <s v="Valid"/>
    <n v="817.12"/>
    <n v="792.60640000000001"/>
  </r>
  <r>
    <s v="ORD50387"/>
    <d v="2025-12-12T00:00:00"/>
    <s v="CUST1110"/>
    <s v="P010"/>
    <x v="14"/>
    <s v="Electronics"/>
    <x v="1"/>
    <x v="1"/>
    <n v="3"/>
    <n v="2066.0500000000002"/>
    <m/>
    <x v="385"/>
    <x v="0"/>
    <s v="Net Banking"/>
    <s v="Completed"/>
    <x v="1"/>
    <s v="Completed"/>
    <s v="Online"/>
    <s v="Net Banking"/>
    <x v="1"/>
    <s v="VALID"/>
    <s v="NORMAL"/>
    <s v="Valid"/>
    <n v="6198.1500000000005"/>
    <n v="6198.1500000000005"/>
  </r>
  <r>
    <s v="ORD50388"/>
    <d v="2026-02-02T00:00:00"/>
    <s v="CUST1259"/>
    <s v="P006"/>
    <x v="10"/>
    <s v="Furniture"/>
    <x v="3"/>
    <x v="11"/>
    <n v="1"/>
    <n v="7256"/>
    <n v="0.03"/>
    <x v="386"/>
    <x v="2"/>
    <s v="UPI"/>
    <s v="Completed"/>
    <x v="7"/>
    <s v="Completed"/>
    <s v="Store"/>
    <s v="Upi"/>
    <x v="2"/>
    <s v="VALID"/>
    <s v="NORMAL"/>
    <s v="Valid"/>
    <n v="7256"/>
    <n v="7038.32"/>
  </r>
  <r>
    <s v="ORD50389"/>
    <d v="2026-01-07T00:00:00"/>
    <s v="CUST1238"/>
    <s v="P006"/>
    <x v="10"/>
    <s v="Furniture"/>
    <x v="1"/>
    <x v="3"/>
    <n v="4"/>
    <n v="6797.94"/>
    <n v="0.05"/>
    <x v="387"/>
    <x v="1"/>
    <s v="UPI"/>
    <s v="Returned"/>
    <x v="5"/>
    <s v="Returned"/>
    <s v="Marketplace"/>
    <s v="Upi"/>
    <x v="2"/>
    <s v="VALID"/>
    <s v="NORMAL"/>
    <s v="Valid"/>
    <n v="27191.759999999998"/>
    <n v="25832.171999999999"/>
  </r>
  <r>
    <s v="ORD50390"/>
    <d v="2026-01-26T00:00:00"/>
    <s v="CUST1134"/>
    <s v="P004"/>
    <x v="6"/>
    <s v="Electronics"/>
    <x v="0"/>
    <x v="14"/>
    <n v="3"/>
    <n v="12778.43"/>
    <n v="0.1"/>
    <x v="388"/>
    <x v="2"/>
    <s v="UPI"/>
    <s v="Completed"/>
    <x v="5"/>
    <s v="Completed"/>
    <s v="Store"/>
    <s v="Upi"/>
    <x v="1"/>
    <s v="VALID"/>
    <s v="NORMAL"/>
    <s v="Valid"/>
    <n v="38335.29"/>
    <n v="34501.760999999999"/>
  </r>
  <r>
    <s v="ORD50391"/>
    <d v="2026-04-09T00:00:00"/>
    <s v="CUST1099"/>
    <s v="P009"/>
    <x v="7"/>
    <s v="Accessories"/>
    <x v="3"/>
    <x v="15"/>
    <n v="4"/>
    <n v="1659.57"/>
    <n v="0.03"/>
    <x v="389"/>
    <x v="2"/>
    <s v="Credit Card"/>
    <s v="Completed"/>
    <x v="4"/>
    <s v="Completed"/>
    <s v="Store"/>
    <s v="Credit Card"/>
    <x v="0"/>
    <s v="VALID"/>
    <s v="NORMAL"/>
    <s v="Valid"/>
    <n v="6638.28"/>
    <n v="6439.1315999999997"/>
  </r>
  <r>
    <s v="ORD50392"/>
    <d v="2025-02-02T00:00:00"/>
    <s v="CUST1231"/>
    <s v="P008"/>
    <x v="4"/>
    <s v="Stationery"/>
    <x v="2"/>
    <x v="13"/>
    <n v="5"/>
    <n v="220.97"/>
    <n v="0.03"/>
    <x v="390"/>
    <x v="0"/>
    <s v="Cash on Delivery"/>
    <s v="Completed"/>
    <x v="2"/>
    <s v="Completed"/>
    <s v="Online"/>
    <s v="Cash On Delivery"/>
    <x v="3"/>
    <s v="VALID"/>
    <s v="NORMAL"/>
    <s v="Valid"/>
    <n v="1104.8499999999999"/>
    <n v="1071.7044999999998"/>
  </r>
  <r>
    <s v="ORD50393"/>
    <d v="2025-07-15T00:00:00"/>
    <s v="CUST1142"/>
    <s v="P005"/>
    <x v="12"/>
    <s v="Furniture"/>
    <x v="1"/>
    <x v="6"/>
    <n v="2"/>
    <n v="9498.91"/>
    <n v="0.08"/>
    <x v="391"/>
    <x v="2"/>
    <s v="Net Banking"/>
    <s v="Returned"/>
    <x v="1"/>
    <s v="Returned"/>
    <s v="Store"/>
    <s v="Net Banking"/>
    <x v="2"/>
    <s v="VALID"/>
    <s v="NORMAL"/>
    <s v="Valid"/>
    <n v="18997.82"/>
    <n v="17477.9944"/>
  </r>
  <r>
    <s v="ORD50394"/>
    <d v="2024-09-17T00:00:00"/>
    <s v="CUST1067"/>
    <s v="P009"/>
    <x v="7"/>
    <s v="Accessories"/>
    <x v="0"/>
    <x v="10"/>
    <n v="5"/>
    <n v="1731.57"/>
    <n v="0"/>
    <x v="392"/>
    <x v="1"/>
    <s v="UPI"/>
    <s v="Cancelled"/>
    <x v="7"/>
    <s v="Cancelled"/>
    <s v="Marketplace"/>
    <s v="Upi"/>
    <x v="0"/>
    <s v="VALID"/>
    <s v="NORMAL"/>
    <s v="Valid"/>
    <n v="8657.85"/>
    <n v="8657.85"/>
  </r>
  <r>
    <s v="ORD50395"/>
    <d v="2025-07-15T00:00:00"/>
    <s v="CUST1135"/>
    <s v="P011"/>
    <x v="1"/>
    <s v="Electronics"/>
    <x v="3"/>
    <x v="9"/>
    <n v="4"/>
    <n v="3253.22"/>
    <n v="0.03"/>
    <x v="393"/>
    <x v="2"/>
    <s v="Debit Card"/>
    <s v="Completed"/>
    <x v="0"/>
    <s v="Completed"/>
    <s v="Store"/>
    <s v="Debit Card"/>
    <x v="1"/>
    <s v="VALID"/>
    <s v="NORMAL"/>
    <s v="Valid"/>
    <n v="13012.88"/>
    <n v="12622.4936"/>
  </r>
  <r>
    <s v="ORD50396"/>
    <d v="2024-04-01T00:00:00"/>
    <s v="CUST1172"/>
    <s v="P007"/>
    <x v="11"/>
    <s v="Stationery"/>
    <x v="0"/>
    <x v="14"/>
    <n v="1"/>
    <n v="415.14"/>
    <n v="0.2"/>
    <x v="394"/>
    <x v="2"/>
    <s v="Net Banking"/>
    <s v="Completed"/>
    <x v="6"/>
    <s v="Completed"/>
    <s v="Store"/>
    <s v="Net Banking"/>
    <x v="3"/>
    <s v="VALID"/>
    <s v="NORMAL"/>
    <s v="Valid"/>
    <n v="415.14"/>
    <n v="332.11199999999997"/>
  </r>
  <r>
    <s v="ORD50397"/>
    <d v="2024-12-03T00:00:00"/>
    <s v="CUST1182"/>
    <s v="P009"/>
    <x v="7"/>
    <s v="Accessories"/>
    <x v="3"/>
    <x v="15"/>
    <n v="4"/>
    <n v="1903.38"/>
    <n v="0.03"/>
    <x v="395"/>
    <x v="0"/>
    <s v="UPI"/>
    <s v="Returned"/>
    <x v="3"/>
    <s v="Returned"/>
    <s v="Online"/>
    <s v="Upi"/>
    <x v="0"/>
    <s v="VALID"/>
    <s v="NORMAL"/>
    <s v="Valid"/>
    <n v="7613.52"/>
    <n v="7385.1144000000004"/>
  </r>
  <r>
    <s v="ORD50398"/>
    <d v="2024-01-24T00:00:00"/>
    <s v="CUST1092"/>
    <s v="P005"/>
    <x v="12"/>
    <s v="Furniture"/>
    <x v="1"/>
    <x v="6"/>
    <n v="2"/>
    <n v="9035.83"/>
    <n v="0"/>
    <x v="396"/>
    <x v="2"/>
    <s v="Debit Card"/>
    <s v="Returned"/>
    <x v="1"/>
    <s v="Returned"/>
    <s v="Store"/>
    <s v="Debit Card"/>
    <x v="2"/>
    <s v="VALID"/>
    <s v="NORMAL"/>
    <s v="Valid"/>
    <n v="18071.66"/>
    <n v="18071.66"/>
  </r>
  <r>
    <s v="ORD50399"/>
    <d v="2024-07-05T00:00:00"/>
    <s v="CUST1105"/>
    <s v="P003"/>
    <x v="3"/>
    <s v="Electronics"/>
    <x v="3"/>
    <x v="8"/>
    <n v="3"/>
    <n v="1877.09"/>
    <n v="0"/>
    <x v="397"/>
    <x v="1"/>
    <s v="Net Banking"/>
    <s v="Completed"/>
    <x v="6"/>
    <s v="Completed"/>
    <s v="Marketplace"/>
    <s v="Net Banking"/>
    <x v="1"/>
    <s v="VALID"/>
    <s v="NORMAL"/>
    <s v="Valid"/>
    <n v="5631.2699999999995"/>
    <n v="5631.2699999999995"/>
  </r>
  <r>
    <s v="ORD50400"/>
    <d v="2024-04-23T00:00:00"/>
    <s v="CUST1097"/>
    <s v="P013"/>
    <x v="2"/>
    <s v="Furniture"/>
    <x v="2"/>
    <x v="13"/>
    <n v="4"/>
    <n v="1494.72"/>
    <n v="0.2"/>
    <x v="398"/>
    <x v="1"/>
    <s v="Cash on Delivery"/>
    <s v="Completed"/>
    <x v="5"/>
    <s v="Completed"/>
    <s v="Marketplace"/>
    <s v="Cash On Delivery"/>
    <x v="2"/>
    <s v="VALID"/>
    <s v="NORMAL"/>
    <s v="Valid"/>
    <n v="5978.88"/>
    <n v="4783.1040000000003"/>
  </r>
  <r>
    <s v="ORD50401"/>
    <d v="2025-02-01T00:00:00"/>
    <s v="CUST1119"/>
    <s v="P007"/>
    <x v="11"/>
    <s v="Stationery"/>
    <x v="1"/>
    <x v="1"/>
    <n v="4"/>
    <n v="468.25"/>
    <n v="0.08"/>
    <x v="399"/>
    <x v="0"/>
    <s v="UPI"/>
    <s v="Completed"/>
    <x v="3"/>
    <s v="Completed"/>
    <s v="Online"/>
    <s v="Upi"/>
    <x v="3"/>
    <s v="VALID"/>
    <s v="NORMAL"/>
    <s v="Valid"/>
    <n v="1873"/>
    <n v="1723.16"/>
  </r>
  <r>
    <s v="ORD50402"/>
    <d v="2025-07-14T00:00:00"/>
    <s v="CUST1079"/>
    <s v="P013"/>
    <x v="2"/>
    <s v="Furniture"/>
    <x v="3"/>
    <x v="15"/>
    <n v="4"/>
    <n v="1561.91"/>
    <n v="0.1"/>
    <x v="400"/>
    <x v="1"/>
    <s v="Cash on Delivery"/>
    <s v="Completed"/>
    <x v="3"/>
    <s v="Completed"/>
    <s v="Marketplace"/>
    <s v="Cash On Delivery"/>
    <x v="2"/>
    <s v="VALID"/>
    <s v="NORMAL"/>
    <s v="Valid"/>
    <n v="6247.64"/>
    <n v="5622.8760000000002"/>
  </r>
  <r>
    <s v="ORD50403"/>
    <d v="2024-10-11T00:00:00"/>
    <s v="CUST1129"/>
    <s v="P012"/>
    <x v="0"/>
    <s v="Accessories"/>
    <x v="3"/>
    <x v="9"/>
    <n v="2"/>
    <n v="808.86"/>
    <n v="0"/>
    <x v="401"/>
    <x v="1"/>
    <s v="Debit Card"/>
    <s v="Cancelled"/>
    <x v="5"/>
    <s v="Cancelled"/>
    <s v="Marketplace"/>
    <s v="Debit Card"/>
    <x v="0"/>
    <s v="VALID"/>
    <s v="NORMAL"/>
    <s v="Valid"/>
    <n v="1617.72"/>
    <n v="1617.72"/>
  </r>
  <r>
    <s v="ORD50404"/>
    <d v="2026-04-02T00:00:00"/>
    <s v="CUST1152"/>
    <s v="P006"/>
    <x v="10"/>
    <s v="Furniture"/>
    <x v="1"/>
    <x v="3"/>
    <n v="5"/>
    <n v="6887.04"/>
    <n v="0.2"/>
    <x v="402"/>
    <x v="1"/>
    <s v="Debit Card"/>
    <s v="Completed"/>
    <x v="3"/>
    <s v="Completed"/>
    <s v="Marketplace"/>
    <s v="Debit Card"/>
    <x v="2"/>
    <s v="VALID"/>
    <s v="NORMAL"/>
    <s v="Valid"/>
    <n v="34435.199999999997"/>
    <n v="27548.159999999996"/>
  </r>
  <r>
    <s v="ORD50405"/>
    <d v="2025-10-13T00:00:00"/>
    <s v="CUST1076"/>
    <s v="P009"/>
    <x v="7"/>
    <s v="Accessories"/>
    <x v="2"/>
    <x v="4"/>
    <n v="2"/>
    <n v="1725.5"/>
    <n v="0"/>
    <x v="403"/>
    <x v="0"/>
    <s v="Debit Card"/>
    <s v="Completed"/>
    <x v="6"/>
    <s v="Completed"/>
    <s v="Online"/>
    <s v="Debit Card"/>
    <x v="0"/>
    <s v="VALID"/>
    <s v="NORMAL"/>
    <s v="Valid"/>
    <n v="3451"/>
    <n v="3451"/>
  </r>
  <r>
    <s v="ORD50406"/>
    <d v="2026-03-20T00:00:00"/>
    <s v="CUST1063"/>
    <s v="P009"/>
    <x v="7"/>
    <s v="Accessories"/>
    <x v="0"/>
    <x v="10"/>
    <n v="4"/>
    <n v="1779.43"/>
    <n v="0.08"/>
    <x v="404"/>
    <x v="2"/>
    <s v="Credit Card"/>
    <s v="Completed"/>
    <x v="6"/>
    <s v="Completed"/>
    <s v="Store"/>
    <s v="Credit Card"/>
    <x v="0"/>
    <s v="VALID"/>
    <s v="NORMAL"/>
    <s v="Valid"/>
    <n v="7117.72"/>
    <n v="6548.3024000000005"/>
  </r>
  <r>
    <s v="ORD50407"/>
    <d v="2024-12-10T00:00:00"/>
    <s v="CUST1198"/>
    <s v="P003"/>
    <x v="3"/>
    <s v="Electronics"/>
    <x v="0"/>
    <x v="10"/>
    <n v="4"/>
    <n v="1821.56"/>
    <n v="0.15"/>
    <x v="405"/>
    <x v="1"/>
    <s v="Credit Card"/>
    <s v="Completed"/>
    <x v="6"/>
    <s v="Completed"/>
    <s v="Marketplace"/>
    <s v="Credit Card"/>
    <x v="1"/>
    <s v="VALID"/>
    <s v="NORMAL"/>
    <s v="Valid"/>
    <n v="7286.24"/>
    <n v="6193.3040000000001"/>
  </r>
  <r>
    <s v="ORD50408"/>
    <d v="2026-03-15T00:00:00"/>
    <s v="CUST1045"/>
    <s v="P006"/>
    <x v="10"/>
    <s v="Furniture"/>
    <x v="0"/>
    <x v="2"/>
    <n v="5"/>
    <n v="7389.6"/>
    <n v="0.15"/>
    <x v="406"/>
    <x v="0"/>
    <s v="Cash on Delivery"/>
    <s v="Completed"/>
    <x v="3"/>
    <s v="Completed"/>
    <s v="Online"/>
    <s v="Cash On Delivery"/>
    <x v="2"/>
    <s v="VALID"/>
    <s v="NORMAL"/>
    <s v="Valid"/>
    <n v="36948"/>
    <n v="31405.8"/>
  </r>
  <r>
    <s v="ORD50409"/>
    <d v="2024-08-01T00:00:00"/>
    <s v="CUST1118"/>
    <s v="P013"/>
    <x v="2"/>
    <s v="Furniture"/>
    <x v="2"/>
    <x v="5"/>
    <n v="4"/>
    <n v="1709.3"/>
    <n v="0"/>
    <x v="407"/>
    <x v="2"/>
    <s v="Debit Card"/>
    <s v="Completed"/>
    <x v="7"/>
    <s v="Completed"/>
    <s v="Store"/>
    <s v="Debit Card"/>
    <x v="2"/>
    <s v="VALID"/>
    <s v="NORMAL"/>
    <s v="Valid"/>
    <n v="6837.2"/>
    <n v="6837.2"/>
  </r>
  <r>
    <s v="ORD50410"/>
    <d v="2024-04-06T00:00:00"/>
    <s v="CUST1238"/>
    <s v="P012"/>
    <x v="0"/>
    <s v="Accessories"/>
    <x v="3"/>
    <x v="9"/>
    <n v="2"/>
    <n v="835.93"/>
    <n v="0.15"/>
    <x v="408"/>
    <x v="2"/>
    <s v="Credit Card"/>
    <s v="Completed"/>
    <x v="3"/>
    <s v="Completed"/>
    <s v="Store"/>
    <s v="Credit Card"/>
    <x v="0"/>
    <s v="VALID"/>
    <s v="NORMAL"/>
    <s v="Valid"/>
    <n v="1671.86"/>
    <n v="1421.0809999999999"/>
  </r>
  <r>
    <s v="ORD50411"/>
    <d v="2025-05-28T00:00:00"/>
    <s v="CUST1019"/>
    <s v="P013"/>
    <x v="2"/>
    <s v="Furniture"/>
    <x v="2"/>
    <x v="13"/>
    <n v="5"/>
    <n v="1619.15"/>
    <n v="0.1"/>
    <x v="409"/>
    <x v="2"/>
    <s v="Credit Card"/>
    <s v="Completed"/>
    <x v="7"/>
    <s v="Completed"/>
    <s v="Store"/>
    <s v="Credit Card"/>
    <x v="2"/>
    <s v="VALID"/>
    <s v="NORMAL"/>
    <s v="Valid"/>
    <n v="8095.75"/>
    <n v="7286.1750000000002"/>
  </r>
  <r>
    <s v="ORD50412"/>
    <d v="2025-02-11T00:00:00"/>
    <s v="CUST1059"/>
    <s v="P005"/>
    <x v="12"/>
    <s v="Furniture"/>
    <x v="2"/>
    <x v="12"/>
    <n v="3"/>
    <n v="9624.64"/>
    <n v="0.08"/>
    <x v="410"/>
    <x v="0"/>
    <s v="Debit Card"/>
    <s v="Cancelled"/>
    <x v="6"/>
    <s v="Cancelled"/>
    <s v="Online"/>
    <s v="Debit Card"/>
    <x v="2"/>
    <s v="VALID"/>
    <s v="NORMAL"/>
    <s v="Valid"/>
    <n v="28873.919999999998"/>
    <n v="26564.006399999998"/>
  </r>
  <r>
    <s v="ORD50413"/>
    <d v="2025-09-25T00:00:00"/>
    <s v="CUST1209"/>
    <s v="P012"/>
    <x v="0"/>
    <s v="Accessories"/>
    <x v="3"/>
    <x v="9"/>
    <n v="2"/>
    <n v="898.1"/>
    <n v="0.1"/>
    <x v="411"/>
    <x v="0"/>
    <s v="UPI"/>
    <s v="Completed"/>
    <x v="0"/>
    <s v="Completed"/>
    <s v="Online"/>
    <s v="Upi"/>
    <x v="0"/>
    <s v="VALID"/>
    <s v="NORMAL"/>
    <s v="Valid"/>
    <n v="1796.2"/>
    <n v="1616.58"/>
  </r>
  <r>
    <s v="ORD50414"/>
    <d v="2024-09-17T00:00:00"/>
    <s v="CUST1045"/>
    <s v="P012"/>
    <x v="0"/>
    <s v="Accessories"/>
    <x v="0"/>
    <x v="10"/>
    <n v="2"/>
    <n v="873.31"/>
    <n v="0.03"/>
    <x v="412"/>
    <x v="2"/>
    <s v="Debit Card"/>
    <s v="Completed"/>
    <x v="5"/>
    <s v="Completed"/>
    <s v="Store"/>
    <s v="Debit Card"/>
    <x v="0"/>
    <s v="VALID"/>
    <s v="NORMAL"/>
    <s v="Valid"/>
    <n v="1746.62"/>
    <n v="1694.2213999999999"/>
  </r>
  <r>
    <s v="ORD50415"/>
    <d v="2024-12-20T00:00:00"/>
    <s v="CUST1257"/>
    <s v="P006"/>
    <x v="10"/>
    <s v="Furniture"/>
    <x v="3"/>
    <x v="11"/>
    <n v="5"/>
    <n v="7631.83"/>
    <n v="0.03"/>
    <x v="413"/>
    <x v="0"/>
    <s v="Cash on Delivery"/>
    <s v="Cancelled"/>
    <x v="8"/>
    <s v="Cancelled"/>
    <s v="Online"/>
    <s v="Cash On Delivery"/>
    <x v="2"/>
    <s v="VALID"/>
    <s v="NORMAL"/>
    <s v="Valid"/>
    <n v="38159.15"/>
    <n v="37014.375500000002"/>
  </r>
  <r>
    <s v="ORD50416"/>
    <d v="2024-01-30T00:00:00"/>
    <s v="CUST1176"/>
    <s v="P015"/>
    <x v="8"/>
    <s v="Accessories"/>
    <x v="2"/>
    <x v="12"/>
    <n v="5"/>
    <n v="721.14"/>
    <n v="0.2"/>
    <x v="414"/>
    <x v="0"/>
    <s v="Credit Card"/>
    <s v="Cancelled"/>
    <x v="6"/>
    <s v="Cancelled"/>
    <s v="Online"/>
    <s v="Credit Card"/>
    <x v="0"/>
    <s v="VALID"/>
    <s v="NORMAL"/>
    <s v="Valid"/>
    <n v="3605.7"/>
    <n v="2884.56"/>
  </r>
  <r>
    <s v="ORD50417"/>
    <d v="2025-05-25T00:00:00"/>
    <s v="CUST1233"/>
    <s v="P011"/>
    <x v="1"/>
    <s v="Electronics"/>
    <x v="3"/>
    <x v="9"/>
    <n v="3"/>
    <n v="3061.73"/>
    <n v="0.08"/>
    <x v="415"/>
    <x v="0"/>
    <s v="Debit Card"/>
    <s v="Completed"/>
    <x v="6"/>
    <s v="Completed"/>
    <s v="Online"/>
    <s v="Debit Card"/>
    <x v="1"/>
    <s v="VALID"/>
    <s v="NORMAL"/>
    <s v="Valid"/>
    <n v="9185.19"/>
    <n v="8450.3748000000014"/>
  </r>
  <r>
    <s v="ORD50418"/>
    <d v="2026-06-05T00:00:00"/>
    <s v="CUST1008"/>
    <s v="P002"/>
    <x v="9"/>
    <s v="Electronics"/>
    <x v="3"/>
    <x v="15"/>
    <n v="2"/>
    <n v="1130.78"/>
    <n v="0.03"/>
    <x v="416"/>
    <x v="1"/>
    <s v="Credit Card"/>
    <s v="Completed"/>
    <x v="7"/>
    <s v="Completed"/>
    <s v="Marketplace"/>
    <s v="Credit Card"/>
    <x v="1"/>
    <s v="VALID"/>
    <s v="NORMAL"/>
    <s v="Valid"/>
    <n v="2261.56"/>
    <n v="2193.7132000000001"/>
  </r>
  <r>
    <s v="ORD50419"/>
    <d v="2025-04-24T00:00:00"/>
    <s v="CUST1145"/>
    <s v="P015"/>
    <x v="8"/>
    <s v="Accessories"/>
    <x v="2"/>
    <x v="4"/>
    <n v="1"/>
    <n v="701.38"/>
    <n v="0.05"/>
    <x v="417"/>
    <x v="1"/>
    <s v="Credit Card"/>
    <s v="Completed"/>
    <x v="0"/>
    <s v="Completed"/>
    <s v="Marketplace"/>
    <s v="Credit Card"/>
    <x v="0"/>
    <s v="VALID"/>
    <s v="NORMAL"/>
    <s v="Valid"/>
    <n v="701.38"/>
    <n v="666.31100000000004"/>
  </r>
  <r>
    <s v="ORD50420"/>
    <d v="2025-01-09T00:00:00"/>
    <s v="CUST1081"/>
    <s v="P007"/>
    <x v="11"/>
    <s v="Stationery"/>
    <x v="3"/>
    <x v="11"/>
    <n v="2"/>
    <n v="470.5"/>
    <n v="0.15"/>
    <x v="418"/>
    <x v="0"/>
    <s v="Credit Card"/>
    <s v="Completed"/>
    <x v="5"/>
    <s v="Completed"/>
    <s v="Online"/>
    <s v="Credit Card"/>
    <x v="3"/>
    <s v="VALID"/>
    <s v="NORMAL"/>
    <s v="Valid"/>
    <n v="941"/>
    <n v="799.85"/>
  </r>
  <r>
    <s v="ORD50421"/>
    <d v="2026-03-30T00:00:00"/>
    <s v="CUST1145"/>
    <s v="P001"/>
    <x v="13"/>
    <s v="Electronics"/>
    <x v="0"/>
    <x v="14"/>
    <n v="2"/>
    <n v="63274.58"/>
    <n v="0.03"/>
    <x v="419"/>
    <x v="0"/>
    <s v="Debit Card"/>
    <s v="Completed"/>
    <x v="6"/>
    <s v="Completed"/>
    <s v="Online"/>
    <s v="Debit Card"/>
    <x v="1"/>
    <s v="VALID"/>
    <s v="NORMAL"/>
    <s v="Valid"/>
    <n v="126549.16"/>
    <n v="122752.68520000001"/>
  </r>
  <r>
    <s v="ORD50422"/>
    <d v="2024-06-14T00:00:00"/>
    <s v="CUST1258"/>
    <s v="P001"/>
    <x v="13"/>
    <s v="Electronics"/>
    <x v="0"/>
    <x v="0"/>
    <n v="2"/>
    <n v="65783.070000000007"/>
    <n v="0.1"/>
    <x v="420"/>
    <x v="0"/>
    <s v="Cash on Delivery"/>
    <s v="Completed"/>
    <x v="2"/>
    <s v="Completed"/>
    <s v="Online"/>
    <s v="Cash On Delivery"/>
    <x v="1"/>
    <s v="VALID"/>
    <s v="NORMAL"/>
    <s v="Valid"/>
    <n v="131566.14000000001"/>
    <n v="118409.52600000001"/>
  </r>
  <r>
    <s v="ORD50423"/>
    <d v="2024-07-13T00:00:00"/>
    <s v="CUST1204"/>
    <s v="P012"/>
    <x v="0"/>
    <s v="Accessories"/>
    <x v="1"/>
    <x v="3"/>
    <n v="2"/>
    <n v="810.05"/>
    <n v="0.08"/>
    <x v="421"/>
    <x v="0"/>
    <s v="Net Banking"/>
    <s v="Completed"/>
    <x v="5"/>
    <s v="Completed"/>
    <s v="Online"/>
    <s v="Net Banking"/>
    <x v="0"/>
    <s v="VALID"/>
    <s v="NORMAL"/>
    <s v="Valid"/>
    <n v="1620.1"/>
    <n v="1490.492"/>
  </r>
  <r>
    <s v="ORD50424"/>
    <d v="2024-01-31T00:00:00"/>
    <s v="CUST1029"/>
    <s v="P015"/>
    <x v="8"/>
    <s v="Accessories"/>
    <x v="3"/>
    <x v="11"/>
    <n v="1"/>
    <n v="737.79"/>
    <n v="0.15"/>
    <x v="422"/>
    <x v="2"/>
    <s v="Cash on Delivery"/>
    <s v="Completed"/>
    <x v="6"/>
    <s v="Completed"/>
    <s v="Store"/>
    <s v="Cash On Delivery"/>
    <x v="0"/>
    <s v="VALID"/>
    <s v="NORMAL"/>
    <s v="Valid"/>
    <n v="737.79"/>
    <n v="627.12149999999997"/>
  </r>
  <r>
    <s v="ORD50425"/>
    <d v="2026-04-06T00:00:00"/>
    <s v="CUST1176"/>
    <s v="P014"/>
    <x v="5"/>
    <s v="Electronics"/>
    <x v="0"/>
    <x v="10"/>
    <n v="4"/>
    <n v="2811.24"/>
    <n v="0.08"/>
    <x v="423"/>
    <x v="2"/>
    <s v="Net Banking"/>
    <s v="Returned"/>
    <x v="7"/>
    <s v="Returned"/>
    <s v="Store"/>
    <s v="Net Banking"/>
    <x v="1"/>
    <s v="VALID"/>
    <s v="NORMAL"/>
    <s v="Valid"/>
    <n v="11244.96"/>
    <n v="10345.3632"/>
  </r>
  <r>
    <s v="ORD50426"/>
    <d v="2024-04-01T00:00:00"/>
    <s v="CUST1132"/>
    <s v="P009"/>
    <x v="7"/>
    <s v="Accessories"/>
    <x v="2"/>
    <x v="13"/>
    <n v="1"/>
    <n v="1928.1"/>
    <n v="0"/>
    <x v="424"/>
    <x v="0"/>
    <s v="Net Banking"/>
    <s v="Completed"/>
    <x v="6"/>
    <s v="Completed"/>
    <s v="Online"/>
    <s v="Net Banking"/>
    <x v="0"/>
    <s v="VALID"/>
    <s v="NORMAL"/>
    <s v="Valid"/>
    <n v="1928.1"/>
    <n v="1928.1"/>
  </r>
  <r>
    <s v="ORD50427"/>
    <d v="2026-01-14T00:00:00"/>
    <s v="CUST1208"/>
    <s v="P015"/>
    <x v="8"/>
    <s v="Accessories"/>
    <x v="2"/>
    <x v="5"/>
    <n v="1"/>
    <n v="743.39"/>
    <n v="0.05"/>
    <x v="425"/>
    <x v="0"/>
    <s v="Credit Card"/>
    <s v="Cancelled"/>
    <x v="7"/>
    <s v="Cancelled"/>
    <s v="Online"/>
    <s v="Credit Card"/>
    <x v="0"/>
    <s v="VALID"/>
    <s v="NORMAL"/>
    <s v="Valid"/>
    <n v="743.39"/>
    <n v="706.22050000000002"/>
  </r>
  <r>
    <s v="ORD50428"/>
    <d v="2024-11-19T00:00:00"/>
    <s v="CUST1138"/>
    <s v="P010"/>
    <x v="14"/>
    <s v="Electronics"/>
    <x v="0"/>
    <x v="0"/>
    <n v="3"/>
    <n v="2115.4299999999998"/>
    <n v="0.08"/>
    <x v="426"/>
    <x v="2"/>
    <s v="UPI"/>
    <s v="Cancelled"/>
    <x v="4"/>
    <s v="Cancelled"/>
    <s v="Store"/>
    <s v="Upi"/>
    <x v="1"/>
    <s v="VALID"/>
    <s v="NORMAL"/>
    <s v="Valid"/>
    <n v="6346.2899999999991"/>
    <n v="5838.5867999999991"/>
  </r>
  <r>
    <s v="ORD50429"/>
    <d v="2024-03-25T00:00:00"/>
    <s v="CUST1057"/>
    <s v="P010"/>
    <x v="14"/>
    <s v="Electronics"/>
    <x v="3"/>
    <x v="11"/>
    <n v="2"/>
    <n v="2267.54"/>
    <n v="0.05"/>
    <x v="427"/>
    <x v="1"/>
    <s v="Net Banking"/>
    <s v="Completed"/>
    <x v="7"/>
    <s v="Completed"/>
    <s v="Marketplace"/>
    <s v="Net Banking"/>
    <x v="1"/>
    <s v="VALID"/>
    <s v="NORMAL"/>
    <s v="Valid"/>
    <n v="4535.08"/>
    <n v="4308.326"/>
  </r>
  <r>
    <s v="ORD50430"/>
    <d v="2026-05-02T00:00:00"/>
    <s v="CUST1120"/>
    <s v="P007"/>
    <x v="11"/>
    <s v="Stationery"/>
    <x v="2"/>
    <x v="12"/>
    <n v="3"/>
    <n v="419.41"/>
    <n v="0.15"/>
    <x v="428"/>
    <x v="0"/>
    <s v="Cash on Delivery"/>
    <s v="Cancelled"/>
    <x v="6"/>
    <s v="Cancelled"/>
    <s v="Online"/>
    <s v="Cash On Delivery"/>
    <x v="3"/>
    <s v="VALID"/>
    <s v="NORMAL"/>
    <s v="Valid"/>
    <n v="1258.23"/>
    <n v="1069.4955"/>
  </r>
  <r>
    <s v="ORD50431"/>
    <d v="2024-03-15T00:00:00"/>
    <s v="CUST1092"/>
    <s v="P009"/>
    <x v="7"/>
    <s v="Accessories"/>
    <x v="0"/>
    <x v="2"/>
    <n v="4"/>
    <n v="1851.69"/>
    <n v="0.15"/>
    <x v="429"/>
    <x v="1"/>
    <s v="Credit Card"/>
    <s v="Returned"/>
    <x v="4"/>
    <s v="Returned"/>
    <s v="Marketplace"/>
    <s v="Credit Card"/>
    <x v="0"/>
    <s v="VALID"/>
    <s v="NORMAL"/>
    <s v="Valid"/>
    <n v="7406.76"/>
    <n v="6295.7460000000001"/>
  </r>
  <r>
    <s v="ORD50432"/>
    <d v="2025-03-25T00:00:00"/>
    <s v="CUST1073"/>
    <s v="P010"/>
    <x v="14"/>
    <s v="Electronics"/>
    <x v="3"/>
    <x v="11"/>
    <n v="3"/>
    <n v="2065.9"/>
    <n v="0.1"/>
    <x v="430"/>
    <x v="2"/>
    <s v="Credit Card"/>
    <s v="Completed"/>
    <x v="0"/>
    <s v="Completed"/>
    <s v="Store"/>
    <s v="Credit Card"/>
    <x v="1"/>
    <s v="VALID"/>
    <s v="NORMAL"/>
    <s v="Valid"/>
    <n v="6197.7000000000007"/>
    <n v="5577.93"/>
  </r>
  <r>
    <s v="ORD50433"/>
    <d v="2025-12-28T00:00:00"/>
    <s v="CUST1012"/>
    <s v="P003"/>
    <x v="3"/>
    <s v="Electronics"/>
    <x v="1"/>
    <x v="6"/>
    <n v="1"/>
    <n v="1907.49"/>
    <n v="0"/>
    <x v="431"/>
    <x v="1"/>
    <s v="Debit Card"/>
    <s v="Completed"/>
    <x v="3"/>
    <s v="Completed"/>
    <s v="Marketplace"/>
    <s v="Debit Card"/>
    <x v="1"/>
    <s v="VALID"/>
    <s v="NORMAL"/>
    <s v="Valid"/>
    <n v="1907.49"/>
    <n v="1907.49"/>
  </r>
  <r>
    <s v="ORD50434"/>
    <d v="2024-01-26T00:00:00"/>
    <s v="CUST1067"/>
    <s v="P008"/>
    <x v="4"/>
    <s v="Stationery"/>
    <x v="0"/>
    <x v="10"/>
    <n v="3"/>
    <n v="223.4"/>
    <n v="0.03"/>
    <x v="432"/>
    <x v="0"/>
    <s v="Cash on Delivery"/>
    <s v="Cancelled"/>
    <x v="1"/>
    <s v="Cancelled"/>
    <s v="Online"/>
    <s v="Cash On Delivery"/>
    <x v="3"/>
    <s v="VALID"/>
    <s v="NORMAL"/>
    <s v="Valid"/>
    <n v="670.2"/>
    <n v="650.09400000000005"/>
  </r>
  <r>
    <s v="ORD50435"/>
    <d v="2025-09-07T00:00:00"/>
    <s v="CUST1249"/>
    <s v="P011"/>
    <x v="1"/>
    <s v="Electronics"/>
    <x v="0"/>
    <x v="2"/>
    <n v="1"/>
    <n v="3446.15"/>
    <n v="0.2"/>
    <x v="433"/>
    <x v="1"/>
    <s v="UPI"/>
    <s v="Completed"/>
    <x v="2"/>
    <s v="Completed"/>
    <s v="Marketplace"/>
    <s v="Upi"/>
    <x v="1"/>
    <s v="VALID"/>
    <s v="NORMAL"/>
    <s v="Valid"/>
    <n v="3446.15"/>
    <n v="2756.92"/>
  </r>
  <r>
    <s v="ORD50436"/>
    <d v="2024-07-19T00:00:00"/>
    <s v="CUST1224"/>
    <s v="P013"/>
    <x v="2"/>
    <s v="Furniture"/>
    <x v="1"/>
    <x v="1"/>
    <n v="3"/>
    <n v="1528.82"/>
    <n v="0.15"/>
    <x v="434"/>
    <x v="2"/>
    <s v="Debit Card"/>
    <s v="Completed"/>
    <x v="6"/>
    <s v="Completed"/>
    <s v="Store"/>
    <s v="Debit Card"/>
    <x v="2"/>
    <s v="VALID"/>
    <s v="NORMAL"/>
    <s v="Valid"/>
    <n v="4586.46"/>
    <n v="3898.491"/>
  </r>
  <r>
    <s v="ORD50437"/>
    <d v="2025-11-22T00:00:00"/>
    <s v="CUST1169"/>
    <s v="P011"/>
    <x v="1"/>
    <s v="Electronics"/>
    <x v="2"/>
    <x v="12"/>
    <n v="4"/>
    <n v="3082.48"/>
    <n v="0.2"/>
    <x v="435"/>
    <x v="2"/>
    <s v="Net Banking"/>
    <s v="Completed"/>
    <x v="2"/>
    <s v="Completed"/>
    <s v="Store"/>
    <s v="Net Banking"/>
    <x v="1"/>
    <s v="VALID"/>
    <s v="NORMAL"/>
    <s v="Valid"/>
    <n v="12329.92"/>
    <n v="9863.9359999999997"/>
  </r>
  <r>
    <s v="ORD50438"/>
    <d v="2025-12-18T00:00:00"/>
    <s v="CUST1198"/>
    <s v="P006"/>
    <x v="10"/>
    <s v="Furniture"/>
    <x v="2"/>
    <x v="5"/>
    <n v="3"/>
    <n v="6906.65"/>
    <n v="0.08"/>
    <x v="436"/>
    <x v="2"/>
    <s v="Debit Card"/>
    <s v="Returned"/>
    <x v="2"/>
    <s v="Returned"/>
    <s v="Store"/>
    <s v="Debit Card"/>
    <x v="2"/>
    <s v="VALID"/>
    <s v="NORMAL"/>
    <s v="Valid"/>
    <n v="20719.949999999997"/>
    <n v="19062.353999999996"/>
  </r>
  <r>
    <s v="ORD50439"/>
    <d v="2025-06-19T00:00:00"/>
    <s v="CUST1098"/>
    <s v="P001"/>
    <x v="13"/>
    <s v="Electronics"/>
    <x v="3"/>
    <x v="9"/>
    <n v="4"/>
    <n v="63754.45"/>
    <n v="0.15"/>
    <x v="437"/>
    <x v="2"/>
    <s v="Credit Card"/>
    <s v="Cancelled"/>
    <x v="3"/>
    <s v="Cancelled"/>
    <s v="Store"/>
    <s v="Credit Card"/>
    <x v="1"/>
    <s v="VALID"/>
    <s v="NORMAL"/>
    <s v="Valid"/>
    <n v="255017.8"/>
    <n v="216765.13"/>
  </r>
  <r>
    <s v="ORD50440"/>
    <d v="2024-10-19T00:00:00"/>
    <s v="CUST1249"/>
    <s v="P009"/>
    <x v="7"/>
    <s v="Accessories"/>
    <x v="1"/>
    <x v="1"/>
    <n v="2"/>
    <n v="1846.33"/>
    <n v="0.2"/>
    <x v="438"/>
    <x v="0"/>
    <s v="Net Banking"/>
    <s v="Completed"/>
    <x v="3"/>
    <s v="Completed"/>
    <s v="Online"/>
    <s v="Net Banking"/>
    <x v="0"/>
    <s v="VALID"/>
    <s v="NORMAL"/>
    <s v="Valid"/>
    <n v="3692.66"/>
    <n v="2954.1279999999997"/>
  </r>
  <r>
    <s v="ORD50441"/>
    <d v="2026-06-12T00:00:00"/>
    <s v="CUST1083"/>
    <s v="P007"/>
    <x v="11"/>
    <s v="Stationery"/>
    <x v="0"/>
    <x v="10"/>
    <n v="3"/>
    <n v="421.51"/>
    <n v="0.03"/>
    <x v="439"/>
    <x v="2"/>
    <s v="Cash on Delivery"/>
    <s v="Completed"/>
    <x v="6"/>
    <s v="Completed"/>
    <s v="Store"/>
    <s v="Cash On Delivery"/>
    <x v="3"/>
    <s v="VALID"/>
    <s v="NORMAL"/>
    <s v="Valid"/>
    <n v="1264.53"/>
    <n v="1226.5941"/>
  </r>
  <r>
    <s v="ORD50442"/>
    <d v="2025-01-09T00:00:00"/>
    <s v="CUST1196"/>
    <s v="P010"/>
    <x v="14"/>
    <s v="Electronics"/>
    <x v="0"/>
    <x v="16"/>
    <n v="2"/>
    <n v="2036.75"/>
    <n v="0.2"/>
    <x v="440"/>
    <x v="1"/>
    <s v="Debit Card"/>
    <s v="Completed"/>
    <x v="4"/>
    <s v="Completed"/>
    <s v="Marketplace"/>
    <s v="Debit Card"/>
    <x v="1"/>
    <s v="VALID"/>
    <s v="NORMAL"/>
    <s v="Valid"/>
    <n v="4073.5"/>
    <n v="3258.8"/>
  </r>
  <r>
    <s v="ORD50443"/>
    <d v="2025-01-30T00:00:00"/>
    <s v="CUST1057"/>
    <s v="P004"/>
    <x v="6"/>
    <s v="Electronics"/>
    <x v="1"/>
    <x v="6"/>
    <n v="1"/>
    <n v="12049.14"/>
    <n v="0.2"/>
    <x v="441"/>
    <x v="2"/>
    <s v="Credit Card"/>
    <s v="Completed"/>
    <x v="7"/>
    <s v="Completed"/>
    <s v="Store"/>
    <s v="Credit Card"/>
    <x v="1"/>
    <s v="VALID"/>
    <s v="NORMAL"/>
    <s v="Valid"/>
    <n v="12049.14"/>
    <n v="9639.3119999999999"/>
  </r>
  <r>
    <s v="ORD50444"/>
    <d v="2024-01-01T00:00:00"/>
    <s v="CUST1081"/>
    <s v="P002"/>
    <x v="9"/>
    <s v="Electronics"/>
    <x v="3"/>
    <x v="9"/>
    <n v="1"/>
    <n v="1209.54"/>
    <n v="0"/>
    <x v="442"/>
    <x v="2"/>
    <s v="Debit Card"/>
    <s v="Completed"/>
    <x v="2"/>
    <s v="Completed"/>
    <s v="Store"/>
    <s v="Debit Card"/>
    <x v="1"/>
    <s v="VALID"/>
    <s v="NORMAL"/>
    <s v="Valid"/>
    <n v="1209.54"/>
    <n v="1209.54"/>
  </r>
  <r>
    <s v="ORD50445"/>
    <d v="2025-01-08T00:00:00"/>
    <m/>
    <s v="P001"/>
    <x v="13"/>
    <s v="Electronics"/>
    <x v="2"/>
    <x v="5"/>
    <n v="5"/>
    <n v="61119.33"/>
    <n v="0.05"/>
    <x v="443"/>
    <x v="0"/>
    <s v="Cash on Delivery"/>
    <s v="Returned"/>
    <x v="7"/>
    <s v="Returned"/>
    <s v="Online"/>
    <s v="Cash On Delivery"/>
    <x v="1"/>
    <s v="VALID"/>
    <s v="NORMAL"/>
    <s v="Valid"/>
    <n v="305596.65000000002"/>
    <n v="290316.8175"/>
  </r>
  <r>
    <s v="ORD50446"/>
    <d v="2025-07-17T00:00:00"/>
    <s v="CUST1102"/>
    <s v="P010"/>
    <x v="14"/>
    <s v="Electronics"/>
    <x v="0"/>
    <x v="2"/>
    <n v="3"/>
    <n v="2055.13"/>
    <n v="0.2"/>
    <x v="444"/>
    <x v="2"/>
    <s v="Credit Card"/>
    <s v="Returned"/>
    <x v="7"/>
    <s v="Returned"/>
    <s v="Store"/>
    <s v="Credit Card"/>
    <x v="1"/>
    <s v="VALID"/>
    <s v="NORMAL"/>
    <s v="Valid"/>
    <n v="6165.39"/>
    <n v="4932.3119999999999"/>
  </r>
  <r>
    <s v="ORD50447"/>
    <d v="2025-05-28T00:00:00"/>
    <s v="CUST1243"/>
    <s v="P007"/>
    <x v="11"/>
    <s v="Stationery"/>
    <x v="3"/>
    <x v="9"/>
    <n v="2"/>
    <n v="424.74"/>
    <n v="0.08"/>
    <x v="445"/>
    <x v="1"/>
    <s v="Debit Card"/>
    <s v="Completed"/>
    <x v="0"/>
    <s v="Completed"/>
    <s v="Marketplace"/>
    <s v="Debit Card"/>
    <x v="3"/>
    <s v="VALID"/>
    <s v="NORMAL"/>
    <s v="Valid"/>
    <n v="849.48"/>
    <n v="781.52160000000003"/>
  </r>
  <r>
    <s v="ORD50448"/>
    <d v="2025-08-14T00:00:00"/>
    <s v="CUST1103"/>
    <s v="P005"/>
    <x v="12"/>
    <s v="Furniture"/>
    <x v="1"/>
    <x v="7"/>
    <n v="3"/>
    <n v="10142.75"/>
    <n v="0"/>
    <x v="446"/>
    <x v="2"/>
    <s v="Net Banking"/>
    <s v="Returned"/>
    <x v="2"/>
    <s v="Returned"/>
    <s v="Store"/>
    <s v="Net Banking"/>
    <x v="2"/>
    <s v="VALID"/>
    <s v="NORMAL"/>
    <s v="Valid"/>
    <n v="30428.25"/>
    <n v="30428.25"/>
  </r>
  <r>
    <s v="ORD50449"/>
    <d v="2025-04-16T00:00:00"/>
    <s v="CUST1119"/>
    <s v="P009"/>
    <x v="7"/>
    <s v="Accessories"/>
    <x v="3"/>
    <x v="15"/>
    <n v="4"/>
    <n v="1700.64"/>
    <n v="0"/>
    <x v="447"/>
    <x v="0"/>
    <s v="Credit Card"/>
    <s v="Returned"/>
    <x v="5"/>
    <s v="Returned"/>
    <s v="Online"/>
    <s v="Credit Card"/>
    <x v="0"/>
    <s v="VALID"/>
    <s v="NORMAL"/>
    <s v="Valid"/>
    <n v="6802.56"/>
    <n v="6802.56"/>
  </r>
  <r>
    <s v="ORD50450"/>
    <d v="2024-02-01T00:00:00"/>
    <s v="CUST1228"/>
    <s v="P005"/>
    <x v="12"/>
    <s v="Furniture"/>
    <x v="0"/>
    <x v="0"/>
    <n v="4"/>
    <n v="8751.3700000000008"/>
    <n v="0.2"/>
    <x v="448"/>
    <x v="0"/>
    <s v="Net Banking"/>
    <s v="Completed"/>
    <x v="4"/>
    <s v="Completed"/>
    <s v="Online"/>
    <s v="Net Banking"/>
    <x v="2"/>
    <s v="VALID"/>
    <s v="NORMAL"/>
    <s v="Valid"/>
    <n v="35005.480000000003"/>
    <n v="28004.384000000002"/>
  </r>
  <r>
    <s v="ORD50451"/>
    <d v="2024-06-03T00:00:00"/>
    <s v="CUST1153"/>
    <s v="P009"/>
    <x v="7"/>
    <s v="Accessories"/>
    <x v="2"/>
    <x v="13"/>
    <n v="4"/>
    <n v="1761.17"/>
    <n v="0.05"/>
    <x v="449"/>
    <x v="1"/>
    <s v="Debit Card"/>
    <s v="Completed"/>
    <x v="7"/>
    <s v="Completed"/>
    <s v="Marketplace"/>
    <s v="Debit Card"/>
    <x v="0"/>
    <s v="VALID"/>
    <s v="NORMAL"/>
    <s v="Valid"/>
    <n v="7044.68"/>
    <n v="6692.4459999999999"/>
  </r>
  <r>
    <s v="ORD50452"/>
    <d v="2024-07-08T00:00:00"/>
    <s v="CUST1205"/>
    <s v="P014"/>
    <x v="5"/>
    <s v="Electronics"/>
    <x v="0"/>
    <x v="10"/>
    <n v="4"/>
    <n v="2874.74"/>
    <n v="0.2"/>
    <x v="450"/>
    <x v="1"/>
    <s v="Credit Card"/>
    <s v="Cancelled"/>
    <x v="4"/>
    <s v="Cancelled"/>
    <s v="Marketplace"/>
    <s v="Credit Card"/>
    <x v="1"/>
    <s v="VALID"/>
    <s v="NORMAL"/>
    <s v="Valid"/>
    <n v="11498.96"/>
    <n v="9199.1679999999997"/>
  </r>
  <r>
    <s v="ORD50453"/>
    <d v="2026-04-13T00:00:00"/>
    <s v="CUST1257"/>
    <s v="P004"/>
    <x v="6"/>
    <s v="Electronics"/>
    <x v="0"/>
    <x v="0"/>
    <n v="1"/>
    <n v="11944.96"/>
    <n v="0.03"/>
    <x v="451"/>
    <x v="1"/>
    <s v="Cash on Delivery"/>
    <s v="Completed"/>
    <x v="0"/>
    <s v="Completed"/>
    <s v="Marketplace"/>
    <s v="Cash On Delivery"/>
    <x v="1"/>
    <s v="VALID"/>
    <s v="NORMAL"/>
    <s v="Valid"/>
    <n v="11944.96"/>
    <n v="11586.611199999999"/>
  </r>
  <r>
    <s v="ORD50454"/>
    <d v="2024-09-15T00:00:00"/>
    <s v="CUST1006"/>
    <s v="P012"/>
    <x v="0"/>
    <s v="Accessories"/>
    <x v="2"/>
    <x v="4"/>
    <n v="1"/>
    <n v="890.58"/>
    <n v="0.05"/>
    <x v="452"/>
    <x v="2"/>
    <s v="Cash on Delivery"/>
    <s v="Returned"/>
    <x v="2"/>
    <s v="Returned"/>
    <s v="Store"/>
    <s v="Cash On Delivery"/>
    <x v="0"/>
    <s v="VALID"/>
    <s v="NORMAL"/>
    <s v="Valid"/>
    <n v="890.58"/>
    <n v="846.05100000000004"/>
  </r>
  <r>
    <s v="ORD50455"/>
    <d v="2024-03-26T00:00:00"/>
    <s v="CUST1238"/>
    <s v="P012"/>
    <x v="0"/>
    <s v="Accessories"/>
    <x v="3"/>
    <x v="11"/>
    <n v="1"/>
    <n v="852.43"/>
    <n v="0.08"/>
    <x v="453"/>
    <x v="2"/>
    <s v="Net Banking"/>
    <s v="Completed"/>
    <x v="7"/>
    <s v="Completed"/>
    <s v="Store"/>
    <s v="Net Banking"/>
    <x v="0"/>
    <s v="VALID"/>
    <s v="NORMAL"/>
    <s v="Valid"/>
    <n v="852.43"/>
    <n v="784.23559999999998"/>
  </r>
  <r>
    <s v="ORD50456"/>
    <d v="2024-01-11T00:00:00"/>
    <s v="CUST1171"/>
    <s v="P005"/>
    <x v="12"/>
    <s v="Furniture"/>
    <x v="3"/>
    <x v="15"/>
    <n v="4"/>
    <n v="9951.84"/>
    <n v="0.2"/>
    <x v="454"/>
    <x v="1"/>
    <s v="UPI"/>
    <s v="Cancelled"/>
    <x v="7"/>
    <s v="Cancelled"/>
    <s v="Marketplace"/>
    <s v="Upi"/>
    <x v="2"/>
    <s v="VALID"/>
    <s v="NORMAL"/>
    <s v="Valid"/>
    <n v="39807.360000000001"/>
    <n v="31845.887999999999"/>
  </r>
  <r>
    <s v="ORD50457"/>
    <d v="2024-04-13T00:00:00"/>
    <s v="CUST1084"/>
    <s v="P004"/>
    <x v="6"/>
    <s v="Electronics"/>
    <x v="1"/>
    <x v="6"/>
    <n v="3"/>
    <n v="12066.93"/>
    <n v="0.05"/>
    <x v="455"/>
    <x v="2"/>
    <s v="Cash on Delivery"/>
    <s v="Completed"/>
    <x v="1"/>
    <s v="Completed"/>
    <s v="Store"/>
    <s v="Cash On Delivery"/>
    <x v="1"/>
    <s v="VALID"/>
    <s v="NORMAL"/>
    <s v="Valid"/>
    <n v="36200.79"/>
    <n v="34390.750500000002"/>
  </r>
  <r>
    <s v="ORD50458"/>
    <d v="2025-03-03T00:00:00"/>
    <s v="CUST1244"/>
    <s v="P003"/>
    <x v="3"/>
    <s v="Electronics"/>
    <x v="0"/>
    <x v="14"/>
    <n v="2"/>
    <n v="1924.01"/>
    <n v="0"/>
    <x v="456"/>
    <x v="2"/>
    <s v="Cash on Delivery"/>
    <s v="Completed"/>
    <x v="0"/>
    <s v="Completed"/>
    <s v="Store"/>
    <s v="Cash On Delivery"/>
    <x v="1"/>
    <s v="VALID"/>
    <s v="NORMAL"/>
    <s v="Valid"/>
    <n v="3848.02"/>
    <n v="3848.02"/>
  </r>
  <r>
    <s v="ORD50459"/>
    <d v="2025-09-12T00:00:00"/>
    <s v="CUST1228"/>
    <s v="P011"/>
    <x v="1"/>
    <s v="Electronics"/>
    <x v="3"/>
    <x v="15"/>
    <n v="4"/>
    <n v="3258.17"/>
    <n v="0.1"/>
    <x v="457"/>
    <x v="0"/>
    <s v="Net Banking"/>
    <s v="Completed"/>
    <x v="0"/>
    <s v="Completed"/>
    <s v="Online"/>
    <s v="Net Banking"/>
    <x v="1"/>
    <s v="VALID"/>
    <s v="NORMAL"/>
    <s v="Valid"/>
    <n v="13032.68"/>
    <n v="11729.412"/>
  </r>
  <r>
    <s v="ORD50460"/>
    <d v="2025-07-06T00:00:00"/>
    <s v="CUST1251"/>
    <s v="P003"/>
    <x v="3"/>
    <s v="Electronics"/>
    <x v="3"/>
    <x v="8"/>
    <n v="4"/>
    <n v="1673.48"/>
    <n v="0.03"/>
    <x v="458"/>
    <x v="1"/>
    <s v="UPI"/>
    <s v="Completed"/>
    <x v="7"/>
    <s v="Completed"/>
    <s v="Marketplace"/>
    <s v="Upi"/>
    <x v="1"/>
    <s v="VALID"/>
    <s v="NORMAL"/>
    <s v="Valid"/>
    <n v="6693.92"/>
    <n v="6493.1023999999998"/>
  </r>
  <r>
    <s v="ORD50461"/>
    <d v="2025-07-05T00:00:00"/>
    <s v="CUST1081"/>
    <s v="P012"/>
    <x v="0"/>
    <s v="Accessories"/>
    <x v="1"/>
    <x v="3"/>
    <n v="5"/>
    <n v="856.66"/>
    <n v="0"/>
    <x v="459"/>
    <x v="2"/>
    <s v="UPI"/>
    <s v="Completed"/>
    <x v="6"/>
    <s v="Completed"/>
    <s v="Store"/>
    <s v="Upi"/>
    <x v="0"/>
    <s v="VALID"/>
    <s v="NORMAL"/>
    <s v="Valid"/>
    <n v="4283.3"/>
    <n v="4283.3"/>
  </r>
  <r>
    <s v="ORD50462"/>
    <d v="2025-08-20T00:00:00"/>
    <s v="CUST1161"/>
    <s v="P002"/>
    <x v="9"/>
    <s v="Electronics"/>
    <x v="3"/>
    <x v="15"/>
    <n v="5"/>
    <n v="1122.83"/>
    <n v="0.2"/>
    <x v="460"/>
    <x v="2"/>
    <s v="Debit Card"/>
    <s v="Completed"/>
    <x v="2"/>
    <s v="Completed"/>
    <s v="Store"/>
    <s v="Debit Card"/>
    <x v="1"/>
    <s v="VALID"/>
    <s v="NORMAL"/>
    <s v="Valid"/>
    <n v="5614.15"/>
    <n v="4491.32"/>
  </r>
  <r>
    <s v="ORD50463"/>
    <d v="2024-09-13T00:00:00"/>
    <s v="CUST1202"/>
    <s v="P012"/>
    <x v="0"/>
    <s v="Accessories"/>
    <x v="3"/>
    <x v="8"/>
    <n v="1"/>
    <n v="862.24"/>
    <n v="0.05"/>
    <x v="461"/>
    <x v="0"/>
    <s v="Credit Card"/>
    <s v="Completed"/>
    <x v="6"/>
    <s v="Completed"/>
    <s v="Online"/>
    <s v="Credit Card"/>
    <x v="0"/>
    <s v="VALID"/>
    <s v="NORMAL"/>
    <s v="Valid"/>
    <n v="862.24"/>
    <n v="819.12800000000004"/>
  </r>
  <r>
    <s v="ORD50464"/>
    <d v="2025-11-15T00:00:00"/>
    <s v="CUST1117"/>
    <s v="P004"/>
    <x v="6"/>
    <s v="Electronics"/>
    <x v="2"/>
    <x v="12"/>
    <n v="2"/>
    <n v="13024.15"/>
    <n v="0.2"/>
    <x v="462"/>
    <x v="2"/>
    <s v="Credit Card"/>
    <s v="Returned"/>
    <x v="0"/>
    <s v="Returned"/>
    <s v="Store"/>
    <s v="Credit Card"/>
    <x v="1"/>
    <s v="VALID"/>
    <s v="NORMAL"/>
    <s v="Valid"/>
    <n v="26048.3"/>
    <n v="20838.64"/>
  </r>
  <r>
    <s v="ORD50465"/>
    <d v="2025-12-02T00:00:00"/>
    <s v="CUST1085"/>
    <s v="P015"/>
    <x v="8"/>
    <s v="Accessories"/>
    <x v="3"/>
    <x v="9"/>
    <n v="1"/>
    <n v="670.28"/>
    <n v="0.1"/>
    <x v="463"/>
    <x v="2"/>
    <s v="Credit Card"/>
    <s v="Cancelled"/>
    <x v="7"/>
    <s v="Cancelled"/>
    <s v="Store"/>
    <s v="Credit Card"/>
    <x v="0"/>
    <s v="VALID"/>
    <s v="NORMAL"/>
    <s v="Valid"/>
    <n v="670.28"/>
    <n v="603.25199999999995"/>
  </r>
  <r>
    <s v="ORD50466"/>
    <d v="2025-03-08T00:00:00"/>
    <s v="CUST1102"/>
    <s v="P002"/>
    <x v="9"/>
    <s v="Electronics"/>
    <x v="0"/>
    <x v="10"/>
    <n v="1"/>
    <n v="1131.1300000000001"/>
    <n v="0.05"/>
    <x v="464"/>
    <x v="1"/>
    <s v="Cash on Delivery"/>
    <s v="Completed"/>
    <x v="7"/>
    <s v="Completed"/>
    <s v="Marketplace"/>
    <s v="Cash On Delivery"/>
    <x v="1"/>
    <s v="VALID"/>
    <s v="NORMAL"/>
    <s v="Valid"/>
    <n v="1131.1300000000001"/>
    <n v="1074.5735000000002"/>
  </r>
  <r>
    <s v="ORD50467"/>
    <d v="2025-08-07T00:00:00"/>
    <s v="CUST1017"/>
    <s v="P006"/>
    <x v="10"/>
    <s v="Furniture"/>
    <x v="2"/>
    <x v="13"/>
    <n v="4"/>
    <n v="6916.48"/>
    <n v="0.05"/>
    <x v="465"/>
    <x v="0"/>
    <s v="UPI"/>
    <s v="Returned"/>
    <x v="2"/>
    <s v="Returned"/>
    <s v="Online"/>
    <s v="Upi"/>
    <x v="2"/>
    <s v="VALID"/>
    <s v="NORMAL"/>
    <s v="Valid"/>
    <n v="27665.919999999998"/>
    <n v="26282.624"/>
  </r>
  <r>
    <s v="ORD50468"/>
    <d v="2025-10-05T00:00:00"/>
    <s v="CUST1151"/>
    <s v="P011"/>
    <x v="1"/>
    <s v="Electronics"/>
    <x v="0"/>
    <x v="14"/>
    <n v="5"/>
    <n v="3038.37"/>
    <n v="0"/>
    <x v="466"/>
    <x v="1"/>
    <s v="Credit Card"/>
    <s v="Completed"/>
    <x v="5"/>
    <s v="Completed"/>
    <s v="Marketplace"/>
    <s v="Credit Card"/>
    <x v="1"/>
    <s v="VALID"/>
    <s v="NORMAL"/>
    <s v="Valid"/>
    <n v="15191.849999999999"/>
    <n v="15191.849999999999"/>
  </r>
  <r>
    <s v="ORD50469"/>
    <d v="2025-09-05T00:00:00"/>
    <s v="CUST1195"/>
    <s v="P012"/>
    <x v="0"/>
    <s v="Accessories"/>
    <x v="2"/>
    <x v="5"/>
    <n v="3"/>
    <n v="914.65"/>
    <n v="0.05"/>
    <x v="467"/>
    <x v="2"/>
    <s v="Credit Card"/>
    <s v="Completed"/>
    <x v="0"/>
    <s v="Completed"/>
    <s v="Store"/>
    <s v="Credit Card"/>
    <x v="0"/>
    <s v="VALID"/>
    <s v="NORMAL"/>
    <s v="Valid"/>
    <n v="2743.95"/>
    <n v="2606.7524999999996"/>
  </r>
  <r>
    <s v="ORD50470"/>
    <d v="2026-04-17T00:00:00"/>
    <s v="CUST1215"/>
    <s v="P012"/>
    <x v="0"/>
    <s v="Accessories"/>
    <x v="3"/>
    <x v="8"/>
    <n v="2"/>
    <n v="795.27"/>
    <n v="0.2"/>
    <x v="468"/>
    <x v="0"/>
    <s v="Net Banking"/>
    <s v="Completed"/>
    <x v="7"/>
    <s v="Completed"/>
    <s v="Online"/>
    <s v="Net Banking"/>
    <x v="0"/>
    <s v="VALID"/>
    <s v="NORMAL"/>
    <s v="Valid"/>
    <n v="1590.54"/>
    <n v="1272.432"/>
  </r>
  <r>
    <s v="ORD50471"/>
    <d v="2026-02-27T00:00:00"/>
    <s v="CUST1040"/>
    <s v="P008"/>
    <x v="4"/>
    <s v="Stationery"/>
    <x v="2"/>
    <x v="12"/>
    <n v="4"/>
    <n v="209.99"/>
    <n v="0.03"/>
    <x v="469"/>
    <x v="0"/>
    <s v="Credit Card"/>
    <s v="Completed"/>
    <x v="6"/>
    <s v="Completed"/>
    <s v="Online"/>
    <s v="Credit Card"/>
    <x v="3"/>
    <s v="VALID"/>
    <s v="NORMAL"/>
    <s v="Valid"/>
    <n v="839.96"/>
    <n v="814.76120000000003"/>
  </r>
  <r>
    <s v="ORD50472"/>
    <d v="2025-02-07T00:00:00"/>
    <s v="CUST1019"/>
    <s v="P003"/>
    <x v="3"/>
    <s v="Electronics"/>
    <x v="3"/>
    <x v="9"/>
    <n v="1"/>
    <n v="1763.69"/>
    <n v="0.2"/>
    <x v="470"/>
    <x v="1"/>
    <s v="Debit Card"/>
    <s v="Completed"/>
    <x v="2"/>
    <s v="Completed"/>
    <s v="Marketplace"/>
    <s v="Debit Card"/>
    <x v="1"/>
    <s v="VALID"/>
    <s v="NORMAL"/>
    <s v="Valid"/>
    <n v="1763.69"/>
    <n v="1410.952"/>
  </r>
  <r>
    <s v="ORD50473"/>
    <d v="2024-05-10T00:00:00"/>
    <s v="CUST1005"/>
    <s v="P011"/>
    <x v="1"/>
    <s v="Electronics"/>
    <x v="3"/>
    <x v="11"/>
    <n v="3"/>
    <n v="3437.58"/>
    <n v="0.05"/>
    <x v="471"/>
    <x v="1"/>
    <m/>
    <s v="Cancelled"/>
    <x v="4"/>
    <s v="Cancelled"/>
    <s v="Marketplace"/>
    <s v=""/>
    <x v="1"/>
    <s v="VALID"/>
    <s v="NORMAL"/>
    <s v="Valid"/>
    <n v="10312.74"/>
    <n v="9797.1029999999992"/>
  </r>
  <r>
    <s v="ORD50474"/>
    <d v="2026-03-03T00:00:00"/>
    <s v="CUST1023"/>
    <s v="P001"/>
    <x v="13"/>
    <s v="Electronics"/>
    <x v="1"/>
    <x v="7"/>
    <n v="4"/>
    <n v="66153.97"/>
    <n v="0.05"/>
    <x v="472"/>
    <x v="1"/>
    <s v="Credit Card"/>
    <s v="Completed"/>
    <x v="2"/>
    <s v="Completed"/>
    <s v="Marketplace"/>
    <s v="Credit Card"/>
    <x v="1"/>
    <s v="VALID"/>
    <s v="NORMAL"/>
    <s v="Valid"/>
    <n v="264615.88"/>
    <n v="251385.08600000001"/>
  </r>
  <r>
    <s v="ORD50475"/>
    <d v="2024-07-24T00:00:00"/>
    <s v="CUST1204"/>
    <s v="P002"/>
    <x v="9"/>
    <s v="Electronics"/>
    <x v="3"/>
    <x v="8"/>
    <n v="4"/>
    <n v="1250.0999999999999"/>
    <n v="0.05"/>
    <x v="473"/>
    <x v="0"/>
    <s v="Cash on Delivery"/>
    <s v="Completed"/>
    <x v="3"/>
    <s v="Completed"/>
    <s v="Online"/>
    <s v="Cash On Delivery"/>
    <x v="1"/>
    <s v="VALID"/>
    <s v="NORMAL"/>
    <s v="Valid"/>
    <n v="5000.3999999999996"/>
    <n v="4750.3799999999992"/>
  </r>
  <r>
    <s v="ORD50476"/>
    <d v="2025-02-17T00:00:00"/>
    <s v="CUST1045"/>
    <s v="P012"/>
    <x v="0"/>
    <s v="Accessories"/>
    <x v="0"/>
    <x v="2"/>
    <n v="4"/>
    <n v="900.98"/>
    <n v="0.2"/>
    <x v="474"/>
    <x v="0"/>
    <s v="Cash on Delivery"/>
    <s v="Completed"/>
    <x v="5"/>
    <s v="Completed"/>
    <s v="Online"/>
    <s v="Cash On Delivery"/>
    <x v="0"/>
    <s v="VALID"/>
    <s v="NORMAL"/>
    <s v="Valid"/>
    <n v="3603.92"/>
    <n v="2883.136"/>
  </r>
  <r>
    <s v="ORD50477"/>
    <d v="2024-04-27T00:00:00"/>
    <s v="CUST1022"/>
    <s v="P007"/>
    <x v="11"/>
    <s v="Stationery"/>
    <x v="1"/>
    <x v="7"/>
    <n v="1"/>
    <n v="442.1"/>
    <n v="0.03"/>
    <x v="475"/>
    <x v="0"/>
    <s v="UPI"/>
    <s v="Completed"/>
    <x v="5"/>
    <s v="Completed"/>
    <s v="Online"/>
    <s v="Upi"/>
    <x v="3"/>
    <s v="VALID"/>
    <s v="NORMAL"/>
    <s v="Valid"/>
    <n v="442.1"/>
    <n v="428.83700000000005"/>
  </r>
  <r>
    <s v="ORD50478"/>
    <d v="2026-05-19T00:00:00"/>
    <s v="CUST1076"/>
    <s v="P004"/>
    <x v="6"/>
    <s v="Electronics"/>
    <x v="3"/>
    <x v="8"/>
    <n v="1"/>
    <n v="13021.68"/>
    <n v="0.2"/>
    <x v="476"/>
    <x v="0"/>
    <s v="Net Banking"/>
    <s v="Completed"/>
    <x v="1"/>
    <s v="Completed"/>
    <s v="Online"/>
    <s v="Net Banking"/>
    <x v="1"/>
    <s v="VALID"/>
    <s v="NORMAL"/>
    <s v="Valid"/>
    <n v="13021.68"/>
    <n v="10417.344000000001"/>
  </r>
  <r>
    <s v="ORD50479"/>
    <d v="2025-10-09T00:00:00"/>
    <s v="CUST1244"/>
    <s v="P010"/>
    <x v="14"/>
    <s v="Electronics"/>
    <x v="2"/>
    <x v="12"/>
    <n v="1"/>
    <n v="2130.23"/>
    <n v="0"/>
    <x v="477"/>
    <x v="0"/>
    <s v="Credit Card"/>
    <s v="Cancelled"/>
    <x v="7"/>
    <s v="Cancelled"/>
    <s v="Online"/>
    <s v="Credit Card"/>
    <x v="1"/>
    <s v="VALID"/>
    <s v="NORMAL"/>
    <s v="Valid"/>
    <n v="2130.23"/>
    <n v="2130.23"/>
  </r>
  <r>
    <s v="ORD50480"/>
    <d v="2025-08-21T00:00:00"/>
    <s v="CUST1199"/>
    <s v="P001"/>
    <x v="13"/>
    <s v="Electronics"/>
    <x v="2"/>
    <x v="12"/>
    <n v="3"/>
    <n v="61458.73"/>
    <n v="0.1"/>
    <x v="478"/>
    <x v="1"/>
    <s v="Credit Card"/>
    <s v="Returned"/>
    <x v="1"/>
    <s v="Returned"/>
    <s v="Marketplace"/>
    <s v="Credit Card"/>
    <x v="1"/>
    <s v="VALID"/>
    <s v="NORMAL"/>
    <s v="Valid"/>
    <n v="184376.19"/>
    <n v="165938.571"/>
  </r>
  <r>
    <s v="ORD50481"/>
    <d v="2025-08-16T00:00:00"/>
    <s v="CUST1087"/>
    <s v="P003"/>
    <x v="3"/>
    <s v="Electronics"/>
    <x v="1"/>
    <x v="6"/>
    <n v="2"/>
    <n v="1786.8"/>
    <n v="0.15"/>
    <x v="479"/>
    <x v="0"/>
    <s v="Net Banking"/>
    <s v="Completed"/>
    <x v="1"/>
    <s v="Completed"/>
    <s v="Online"/>
    <s v="Net Banking"/>
    <x v="1"/>
    <s v="VALID"/>
    <s v="NORMAL"/>
    <s v="Valid"/>
    <n v="3573.6"/>
    <n v="3037.56"/>
  </r>
  <r>
    <s v="ORD50482"/>
    <d v="2025-05-09T00:00:00"/>
    <m/>
    <s v="P004"/>
    <x v="6"/>
    <s v="Electronics"/>
    <x v="3"/>
    <x v="9"/>
    <n v="4"/>
    <n v="13387.89"/>
    <n v="0.1"/>
    <x v="480"/>
    <x v="0"/>
    <s v="Cash on Delivery"/>
    <s v="Completed"/>
    <x v="4"/>
    <s v="Completed"/>
    <s v="Online"/>
    <s v="Cash On Delivery"/>
    <x v="1"/>
    <s v="VALID"/>
    <s v="NORMAL"/>
    <s v="Valid"/>
    <n v="53551.56"/>
    <n v="48196.403999999995"/>
  </r>
  <r>
    <s v="ORD50483"/>
    <d v="2025-09-23T00:00:00"/>
    <s v="CUST1198"/>
    <s v="P001"/>
    <x v="13"/>
    <s v="Electronics"/>
    <x v="2"/>
    <x v="12"/>
    <n v="4"/>
    <n v="68567.81"/>
    <n v="0.08"/>
    <x v="481"/>
    <x v="0"/>
    <s v="UPI"/>
    <s v="Cancelled"/>
    <x v="4"/>
    <s v="Cancelled"/>
    <s v="Online"/>
    <s v="Upi"/>
    <x v="1"/>
    <s v="VALID"/>
    <s v="NORMAL"/>
    <s v="Valid"/>
    <n v="274271.24"/>
    <n v="252329.54079999999"/>
  </r>
  <r>
    <s v="ORD50484"/>
    <d v="2024-12-09T00:00:00"/>
    <s v="CUST1019"/>
    <s v="P001"/>
    <x v="13"/>
    <s v="Electronics"/>
    <x v="2"/>
    <x v="5"/>
    <n v="3"/>
    <n v="70158.559999999998"/>
    <n v="0.03"/>
    <x v="482"/>
    <x v="0"/>
    <s v="Cash on Delivery"/>
    <s v="Completed"/>
    <x v="0"/>
    <s v="Completed"/>
    <s v="Online"/>
    <s v="Cash On Delivery"/>
    <x v="1"/>
    <s v="VALID"/>
    <s v="NORMAL"/>
    <s v="Valid"/>
    <n v="210475.68"/>
    <n v="204161.40959999998"/>
  </r>
  <r>
    <s v="ORD50485"/>
    <d v="2024-01-31T00:00:00"/>
    <s v="CUST1224"/>
    <s v="P012"/>
    <x v="0"/>
    <s v="Accessories"/>
    <x v="3"/>
    <x v="9"/>
    <n v="4"/>
    <n v="807"/>
    <n v="0.03"/>
    <x v="483"/>
    <x v="0"/>
    <s v="UPI"/>
    <s v="Completed"/>
    <x v="1"/>
    <s v="Completed"/>
    <s v="Online"/>
    <s v="Upi"/>
    <x v="0"/>
    <s v="VALID"/>
    <s v="NORMAL"/>
    <s v="Valid"/>
    <n v="3228"/>
    <n v="3131.16"/>
  </r>
  <r>
    <s v="ORD50486"/>
    <d v="2024-11-18T00:00:00"/>
    <s v="CUST1013"/>
    <s v="P013"/>
    <x v="2"/>
    <s v="Furniture"/>
    <x v="3"/>
    <x v="11"/>
    <n v="2"/>
    <n v="1556.93"/>
    <n v="0.03"/>
    <x v="484"/>
    <x v="1"/>
    <s v="UPI"/>
    <s v="Cancelled"/>
    <x v="5"/>
    <s v="Cancelled"/>
    <s v="Marketplace"/>
    <s v="Upi"/>
    <x v="2"/>
    <s v="VALID"/>
    <s v="NORMAL"/>
    <s v="Valid"/>
    <n v="3113.86"/>
    <n v="3020.4441999999999"/>
  </r>
  <r>
    <s v="ORD50487"/>
    <d v="2025-02-28T00:00:00"/>
    <s v="CUST1251"/>
    <s v="P005"/>
    <x v="12"/>
    <s v="Furniture"/>
    <x v="1"/>
    <x v="6"/>
    <n v="5"/>
    <n v="8956.7099999999991"/>
    <n v="0"/>
    <x v="485"/>
    <x v="1"/>
    <s v="UPI"/>
    <s v="Completed"/>
    <x v="4"/>
    <s v="Completed"/>
    <s v="Marketplace"/>
    <s v="Upi"/>
    <x v="2"/>
    <s v="VALID"/>
    <s v="NORMAL"/>
    <s v="Valid"/>
    <n v="44783.549999999996"/>
    <n v="44783.549999999996"/>
  </r>
  <r>
    <s v="ORD50488"/>
    <d v="2025-09-21T00:00:00"/>
    <s v="CUST1209"/>
    <s v="P004"/>
    <x v="6"/>
    <s v="Electronics"/>
    <x v="3"/>
    <x v="8"/>
    <n v="1"/>
    <n v="11653.28"/>
    <n v="0.03"/>
    <x v="486"/>
    <x v="0"/>
    <s v="Cash on Delivery"/>
    <s v="Completed"/>
    <x v="0"/>
    <s v="Completed"/>
    <s v="Online"/>
    <s v="Cash On Delivery"/>
    <x v="1"/>
    <s v="VALID"/>
    <s v="NORMAL"/>
    <s v="Valid"/>
    <n v="11653.28"/>
    <n v="11303.6816"/>
  </r>
  <r>
    <s v="ORD50489"/>
    <d v="2024-06-07T00:00:00"/>
    <s v="CUST1177"/>
    <s v="P011"/>
    <x v="1"/>
    <s v="Electronics"/>
    <x v="0"/>
    <x v="0"/>
    <n v="5"/>
    <n v="2964.57"/>
    <n v="0.08"/>
    <x v="487"/>
    <x v="1"/>
    <s v="Net Banking"/>
    <s v="Completed"/>
    <x v="0"/>
    <s v="Completed"/>
    <s v="Marketplace"/>
    <s v="Net Banking"/>
    <x v="1"/>
    <s v="VALID"/>
    <s v="NORMAL"/>
    <s v="Valid"/>
    <n v="14822.85"/>
    <n v="13637.022000000001"/>
  </r>
  <r>
    <s v="ORD50490"/>
    <d v="2024-01-04T00:00:00"/>
    <s v="CUST1212"/>
    <s v="P001"/>
    <x v="13"/>
    <s v="Electronics"/>
    <x v="0"/>
    <x v="10"/>
    <n v="4"/>
    <n v="62476.24"/>
    <n v="0.2"/>
    <x v="488"/>
    <x v="1"/>
    <s v="UPI"/>
    <s v="Completed"/>
    <x v="4"/>
    <s v="Completed"/>
    <s v="Marketplace"/>
    <s v="Upi"/>
    <x v="1"/>
    <s v="VALID"/>
    <s v="NORMAL"/>
    <s v="Valid"/>
    <n v="249904.96"/>
    <n v="199923.96799999999"/>
  </r>
  <r>
    <s v="ORD50491"/>
    <d v="2026-06-22T00:00:00"/>
    <s v="CUST1225"/>
    <s v="P002"/>
    <x v="9"/>
    <s v="Electronics"/>
    <x v="1"/>
    <x v="7"/>
    <n v="4"/>
    <n v="1131.51"/>
    <n v="0.03"/>
    <x v="489"/>
    <x v="0"/>
    <s v="Credit Card"/>
    <s v="Completed"/>
    <x v="7"/>
    <s v="Completed"/>
    <s v="Online"/>
    <s v="Credit Card"/>
    <x v="1"/>
    <s v="VALID"/>
    <s v="NORMAL"/>
    <s v="Valid"/>
    <n v="4526.04"/>
    <n v="4390.2587999999996"/>
  </r>
  <r>
    <s v="ORD50492"/>
    <d v="2024-01-25T00:00:00"/>
    <s v="CUST1198"/>
    <s v="P004"/>
    <x v="6"/>
    <s v="Electronics"/>
    <x v="0"/>
    <x v="10"/>
    <n v="3"/>
    <n v="12795.75"/>
    <n v="0.1"/>
    <x v="490"/>
    <x v="0"/>
    <s v="Debit Card"/>
    <s v="Completed"/>
    <x v="4"/>
    <s v="Completed"/>
    <s v="Online"/>
    <s v="Debit Card"/>
    <x v="1"/>
    <s v="VALID"/>
    <s v="NORMAL"/>
    <s v="Valid"/>
    <n v="38387.25"/>
    <n v="34548.525000000001"/>
  </r>
  <r>
    <s v="ORD50493"/>
    <d v="2025-05-30T00:00:00"/>
    <s v="CUST1198"/>
    <s v="P003"/>
    <x v="3"/>
    <s v="Electronics"/>
    <x v="0"/>
    <x v="2"/>
    <n v="5"/>
    <n v="1921.75"/>
    <n v="0.08"/>
    <x v="491"/>
    <x v="1"/>
    <s v="Net Banking"/>
    <s v="Completed"/>
    <x v="7"/>
    <s v="Completed"/>
    <s v="Marketplace"/>
    <s v="Net Banking"/>
    <x v="1"/>
    <s v="VALID"/>
    <s v="NORMAL"/>
    <s v="Valid"/>
    <n v="9608.75"/>
    <n v="8840.0499999999993"/>
  </r>
  <r>
    <s v="ORD50494"/>
    <d v="2026-04-26T00:00:00"/>
    <s v="CUST1055"/>
    <s v="P013"/>
    <x v="2"/>
    <s v="Furniture"/>
    <x v="2"/>
    <x v="5"/>
    <n v="1"/>
    <n v="1488.02"/>
    <n v="0"/>
    <x v="492"/>
    <x v="1"/>
    <s v="UPI"/>
    <s v="Completed"/>
    <x v="1"/>
    <s v="Completed"/>
    <s v="Marketplace"/>
    <s v="Upi"/>
    <x v="2"/>
    <s v="VALID"/>
    <s v="NORMAL"/>
    <s v="Valid"/>
    <n v="1488.02"/>
    <n v="1488.02"/>
  </r>
  <r>
    <s v="ORD50495"/>
    <d v="2024-06-07T00:00:00"/>
    <s v="CUST1154"/>
    <s v="P011"/>
    <x v="1"/>
    <s v="Electronics"/>
    <x v="1"/>
    <x v="3"/>
    <n v="4"/>
    <n v="3018.98"/>
    <n v="0.2"/>
    <x v="493"/>
    <x v="1"/>
    <s v="Credit Card"/>
    <s v="Completed"/>
    <x v="7"/>
    <s v="Completed"/>
    <s v="Marketplace"/>
    <s v="Credit Card"/>
    <x v="1"/>
    <s v="VALID"/>
    <s v="NORMAL"/>
    <s v="Valid"/>
    <n v="12075.92"/>
    <n v="9660.7360000000008"/>
  </r>
  <r>
    <s v="ORD50496"/>
    <d v="2024-01-12T00:00:00"/>
    <s v="CUST1141"/>
    <s v="P013"/>
    <x v="2"/>
    <s v="Furniture"/>
    <x v="2"/>
    <x v="4"/>
    <n v="1"/>
    <n v="1542.21"/>
    <n v="0.05"/>
    <x v="494"/>
    <x v="0"/>
    <m/>
    <s v="Completed"/>
    <x v="0"/>
    <s v="Completed"/>
    <s v="Online"/>
    <s v=""/>
    <x v="2"/>
    <s v="VALID"/>
    <s v="NORMAL"/>
    <s v="Valid"/>
    <n v="1542.21"/>
    <n v="1465.0995"/>
  </r>
  <r>
    <s v="ORD50497"/>
    <d v="2024-06-20T00:00:00"/>
    <s v="CUST1177"/>
    <s v="P003"/>
    <x v="3"/>
    <s v="Electronics"/>
    <x v="1"/>
    <x v="1"/>
    <n v="5"/>
    <n v="1712.11"/>
    <n v="0.2"/>
    <x v="495"/>
    <x v="2"/>
    <s v="Credit Card"/>
    <s v="Completed"/>
    <x v="2"/>
    <s v="Completed"/>
    <s v="Store"/>
    <s v="Credit Card"/>
    <x v="1"/>
    <s v="VALID"/>
    <s v="NORMAL"/>
    <s v="Valid"/>
    <n v="8560.5499999999993"/>
    <n v="6848.44"/>
  </r>
  <r>
    <s v="ORD50498"/>
    <d v="2025-02-04T00:00:00"/>
    <s v="CUST1134"/>
    <s v="P004"/>
    <x v="6"/>
    <s v="Electronics"/>
    <x v="3"/>
    <x v="11"/>
    <n v="1"/>
    <n v="11699.86"/>
    <n v="0.08"/>
    <x v="496"/>
    <x v="0"/>
    <s v="UPI"/>
    <s v="Completed"/>
    <x v="5"/>
    <s v="Completed"/>
    <s v="Online"/>
    <s v="Upi"/>
    <x v="1"/>
    <s v="VALID"/>
    <s v="NORMAL"/>
    <s v="Valid"/>
    <n v="11699.86"/>
    <n v="10763.871200000001"/>
  </r>
  <r>
    <s v="ORD50499"/>
    <d v="2024-08-08T00:00:00"/>
    <s v="CUST1084"/>
    <s v="P005"/>
    <x v="12"/>
    <s v="Furniture"/>
    <x v="3"/>
    <x v="15"/>
    <n v="2"/>
    <n v="10105.34"/>
    <n v="0.15"/>
    <x v="497"/>
    <x v="2"/>
    <s v="Net Banking"/>
    <s v="Returned"/>
    <x v="6"/>
    <s v="Returned"/>
    <s v="Store"/>
    <s v="Net Banking"/>
    <x v="2"/>
    <s v="VALID"/>
    <s v="NORMAL"/>
    <s v="Valid"/>
    <n v="20210.68"/>
    <n v="17179.078000000001"/>
  </r>
  <r>
    <s v="ORD50500"/>
    <d v="2024-09-30T00:00:00"/>
    <s v="CUST1074"/>
    <s v="P002"/>
    <x v="9"/>
    <s v="Electronics"/>
    <x v="3"/>
    <x v="15"/>
    <n v="5"/>
    <n v="1170.3399999999999"/>
    <n v="0.08"/>
    <x v="498"/>
    <x v="2"/>
    <s v="Cash on Delivery"/>
    <s v="Completed"/>
    <x v="3"/>
    <s v="Completed"/>
    <s v="Store"/>
    <s v="Cash On Delivery"/>
    <x v="1"/>
    <s v="VALID"/>
    <s v="NORMAL"/>
    <s v="Valid"/>
    <n v="5851.7"/>
    <n v="5383.5640000000003"/>
  </r>
  <r>
    <s v="ORD50501"/>
    <d v="2024-04-21T00:00:00"/>
    <s v="CUST1071"/>
    <s v="P015"/>
    <x v="8"/>
    <s v="Accessories"/>
    <x v="0"/>
    <x v="14"/>
    <n v="3"/>
    <n v="698.77"/>
    <n v="0.05"/>
    <x v="499"/>
    <x v="0"/>
    <s v="Credit Card"/>
    <s v="Cancelled"/>
    <x v="4"/>
    <s v="Cancelled"/>
    <s v="Online"/>
    <s v="Credit Card"/>
    <x v="0"/>
    <s v="VALID"/>
    <s v="NORMAL"/>
    <s v="Valid"/>
    <n v="2096.31"/>
    <n v="1991.4945"/>
  </r>
  <r>
    <s v="ORD50502"/>
    <d v="2024-04-02T00:00:00"/>
    <s v="CUST1002"/>
    <s v="P013"/>
    <x v="2"/>
    <s v="Furniture"/>
    <x v="2"/>
    <x v="5"/>
    <n v="2"/>
    <n v="1483"/>
    <n v="0.08"/>
    <x v="500"/>
    <x v="0"/>
    <s v="Net Banking"/>
    <s v="Completed"/>
    <x v="4"/>
    <s v="Completed"/>
    <s v="Online"/>
    <s v="Net Banking"/>
    <x v="2"/>
    <s v="VALID"/>
    <s v="NORMAL"/>
    <s v="Valid"/>
    <n v="2966"/>
    <n v="2728.72"/>
  </r>
  <r>
    <s v="ORD50503"/>
    <d v="2024-01-14T00:00:00"/>
    <s v="CUST1060"/>
    <s v="P008"/>
    <x v="4"/>
    <s v="Stationery"/>
    <x v="1"/>
    <x v="3"/>
    <n v="2"/>
    <n v="209.05"/>
    <n v="0"/>
    <x v="501"/>
    <x v="1"/>
    <s v="Credit Card"/>
    <s v="Returned"/>
    <x v="1"/>
    <s v="Returned"/>
    <s v="Marketplace"/>
    <s v="Credit Card"/>
    <x v="3"/>
    <s v="VALID"/>
    <s v="NORMAL"/>
    <s v="Valid"/>
    <n v="418.1"/>
    <n v="418.1"/>
  </r>
  <r>
    <s v="ORD50504"/>
    <d v="2024-05-07T00:00:00"/>
    <s v="CUST1180"/>
    <s v="P015"/>
    <x v="8"/>
    <s v="Accessories"/>
    <x v="1"/>
    <x v="7"/>
    <n v="2"/>
    <n v="715.87"/>
    <n v="0.1"/>
    <x v="502"/>
    <x v="2"/>
    <s v="Net Banking"/>
    <s v="Completed"/>
    <x v="6"/>
    <s v="Completed"/>
    <s v="Store"/>
    <s v="Net Banking"/>
    <x v="0"/>
    <s v="VALID"/>
    <s v="NORMAL"/>
    <s v="Valid"/>
    <n v="1431.74"/>
    <n v="1288.566"/>
  </r>
  <r>
    <s v="ORD50505"/>
    <d v="2024-06-12T00:00:00"/>
    <s v="CUST1085"/>
    <s v="P008"/>
    <x v="4"/>
    <s v="Stationery"/>
    <x v="2"/>
    <x v="12"/>
    <n v="3"/>
    <n v="206.11"/>
    <n v="0"/>
    <x v="503"/>
    <x v="2"/>
    <s v="Debit Card"/>
    <s v="Completed"/>
    <x v="4"/>
    <s v="Completed"/>
    <s v="Store"/>
    <s v="Debit Card"/>
    <x v="3"/>
    <s v="VALID"/>
    <s v="NORMAL"/>
    <s v="Valid"/>
    <n v="618.33000000000004"/>
    <n v="618.33000000000004"/>
  </r>
  <r>
    <s v="ORD50506"/>
    <d v="2024-09-08T00:00:00"/>
    <s v="CUST1008"/>
    <s v="P002"/>
    <x v="9"/>
    <s v="Electronics"/>
    <x v="3"/>
    <x v="8"/>
    <n v="1"/>
    <n v="1226.6400000000001"/>
    <n v="0.03"/>
    <x v="504"/>
    <x v="0"/>
    <s v="Debit Card"/>
    <s v="Completed"/>
    <x v="4"/>
    <s v="Completed"/>
    <s v="Online"/>
    <s v="Debit Card"/>
    <x v="1"/>
    <s v="VALID"/>
    <s v="NORMAL"/>
    <s v="Valid"/>
    <n v="1226.6400000000001"/>
    <n v="1189.8408000000002"/>
  </r>
  <r>
    <s v="ORD50507"/>
    <d v="2024-04-30T00:00:00"/>
    <s v="CUST1188"/>
    <s v="P007"/>
    <x v="11"/>
    <s v="Stationery"/>
    <x v="2"/>
    <x v="12"/>
    <n v="2"/>
    <n v="455.69"/>
    <n v="0.1"/>
    <x v="505"/>
    <x v="2"/>
    <s v="Credit Card"/>
    <s v="Completed"/>
    <x v="4"/>
    <s v="Completed"/>
    <s v="Store"/>
    <s v="Credit Card"/>
    <x v="3"/>
    <s v="VALID"/>
    <s v="NORMAL"/>
    <s v="Valid"/>
    <n v="911.38"/>
    <n v="820.24199999999996"/>
  </r>
  <r>
    <s v="ORD50508"/>
    <d v="2026-05-31T00:00:00"/>
    <s v="CUST1035"/>
    <s v="P006"/>
    <x v="10"/>
    <s v="Furniture"/>
    <x v="1"/>
    <x v="6"/>
    <n v="5"/>
    <n v="7176.06"/>
    <n v="0.08"/>
    <x v="506"/>
    <x v="0"/>
    <s v="Cash on Delivery"/>
    <s v="Completed"/>
    <x v="1"/>
    <s v="Completed"/>
    <s v="Online"/>
    <s v="Cash On Delivery"/>
    <x v="2"/>
    <s v="VALID"/>
    <s v="NORMAL"/>
    <s v="Valid"/>
    <n v="35880.300000000003"/>
    <n v="33009.876000000004"/>
  </r>
  <r>
    <s v="ORD50509"/>
    <d v="2025-02-10T00:00:00"/>
    <s v="CUST1187"/>
    <s v="P004"/>
    <x v="6"/>
    <s v="Electronics"/>
    <x v="1"/>
    <x v="3"/>
    <n v="5"/>
    <n v="11594.73"/>
    <n v="0"/>
    <x v="507"/>
    <x v="0"/>
    <s v="Credit Card"/>
    <s v="Completed"/>
    <x v="3"/>
    <s v="Completed"/>
    <s v="Online"/>
    <s v="Credit Card"/>
    <x v="1"/>
    <s v="VALID"/>
    <s v="NORMAL"/>
    <s v="Valid"/>
    <n v="57973.649999999994"/>
    <n v="57973.649999999994"/>
  </r>
  <r>
    <s v="ORD50510"/>
    <d v="2025-06-30T00:00:00"/>
    <s v="CUST1139"/>
    <s v="P005"/>
    <x v="12"/>
    <s v="Furniture"/>
    <x v="3"/>
    <x v="8"/>
    <n v="1"/>
    <n v="10164.1"/>
    <n v="0.2"/>
    <x v="508"/>
    <x v="1"/>
    <s v="Net Banking"/>
    <s v="Completed"/>
    <x v="1"/>
    <s v="Completed"/>
    <s v="Marketplace"/>
    <s v="Net Banking"/>
    <x v="2"/>
    <s v="VALID"/>
    <s v="NORMAL"/>
    <s v="Valid"/>
    <n v="10164.1"/>
    <n v="8131.2800000000007"/>
  </r>
  <r>
    <s v="ORD50511"/>
    <d v="2025-03-18T00:00:00"/>
    <s v="CUST1027"/>
    <s v="P001"/>
    <x v="13"/>
    <s v="Electronics"/>
    <x v="3"/>
    <x v="15"/>
    <n v="4"/>
    <n v="60689.8"/>
    <n v="0.2"/>
    <x v="509"/>
    <x v="0"/>
    <s v="Credit Card"/>
    <s v="Completed"/>
    <x v="5"/>
    <s v="Completed"/>
    <s v="Online"/>
    <s v="Credit Card"/>
    <x v="1"/>
    <s v="VALID"/>
    <s v="NORMAL"/>
    <s v="Valid"/>
    <n v="242759.2"/>
    <n v="194207.36000000002"/>
  </r>
  <r>
    <s v="ORD50512"/>
    <d v="2025-01-30T00:00:00"/>
    <s v="CUST1053"/>
    <s v="P012"/>
    <x v="0"/>
    <s v="Accessories"/>
    <x v="0"/>
    <x v="2"/>
    <n v="1"/>
    <n v="864.19"/>
    <n v="0.15"/>
    <x v="510"/>
    <x v="1"/>
    <s v="Debit Card"/>
    <s v="Completed"/>
    <x v="6"/>
    <s v="Completed"/>
    <s v="Marketplace"/>
    <s v="Debit Card"/>
    <x v="0"/>
    <s v="VALID"/>
    <s v="NORMAL"/>
    <s v="Valid"/>
    <n v="864.19"/>
    <n v="734.56150000000002"/>
  </r>
  <r>
    <s v="ORD50513"/>
    <d v="2026-03-20T00:00:00"/>
    <s v="CUST1246"/>
    <s v="P008"/>
    <x v="4"/>
    <s v="Stationery"/>
    <x v="0"/>
    <x v="14"/>
    <n v="2"/>
    <n v="212.08"/>
    <n v="0"/>
    <x v="511"/>
    <x v="0"/>
    <s v="UPI"/>
    <s v="Completed"/>
    <x v="3"/>
    <s v="Completed"/>
    <s v="Online"/>
    <s v="Upi"/>
    <x v="3"/>
    <s v="VALID"/>
    <s v="NORMAL"/>
    <s v="Valid"/>
    <n v="424.16"/>
    <n v="424.16"/>
  </r>
  <r>
    <s v="ORD50514"/>
    <d v="2024-11-30T00:00:00"/>
    <s v="CUST1210"/>
    <s v="P003"/>
    <x v="3"/>
    <s v="Electronics"/>
    <x v="2"/>
    <x v="13"/>
    <n v="2"/>
    <n v="1910.34"/>
    <n v="0.08"/>
    <x v="512"/>
    <x v="1"/>
    <s v="Debit Card"/>
    <s v="Completed"/>
    <x v="1"/>
    <s v="Completed"/>
    <s v="Marketplace"/>
    <s v="Debit Card"/>
    <x v="1"/>
    <s v="VALID"/>
    <s v="NORMAL"/>
    <s v="Valid"/>
    <n v="3820.68"/>
    <n v="3515.0255999999999"/>
  </r>
  <r>
    <s v="ORD50515"/>
    <d v="2025-11-07T00:00:00"/>
    <s v="CUST1027"/>
    <s v="P013"/>
    <x v="2"/>
    <s v="Furniture"/>
    <x v="2"/>
    <x v="13"/>
    <n v="1"/>
    <n v="1600.77"/>
    <n v="0.03"/>
    <x v="513"/>
    <x v="1"/>
    <s v="Cash on Delivery"/>
    <s v="Cancelled"/>
    <x v="2"/>
    <s v="Cancelled"/>
    <s v="Marketplace"/>
    <s v="Cash On Delivery"/>
    <x v="2"/>
    <s v="VALID"/>
    <s v="NORMAL"/>
    <s v="Valid"/>
    <n v="1600.77"/>
    <n v="1552.7469000000001"/>
  </r>
  <r>
    <s v="ORD50516"/>
    <d v="2025-06-21T00:00:00"/>
    <s v="CUST1137"/>
    <s v="P014"/>
    <x v="5"/>
    <s v="Electronics"/>
    <x v="1"/>
    <x v="6"/>
    <n v="2"/>
    <n v="2590.7199999999998"/>
    <n v="0.05"/>
    <x v="514"/>
    <x v="1"/>
    <s v="UPI"/>
    <s v="Completed"/>
    <x v="1"/>
    <s v="Completed"/>
    <s v="Marketplace"/>
    <s v="Upi"/>
    <x v="1"/>
    <s v="VALID"/>
    <s v="NORMAL"/>
    <s v="Valid"/>
    <n v="5181.4399999999996"/>
    <n v="4922.3679999999995"/>
  </r>
  <r>
    <s v="ORD50517"/>
    <d v="2024-07-01T00:00:00"/>
    <s v="CUST1146"/>
    <s v="P008"/>
    <x v="4"/>
    <s v="Stationery"/>
    <x v="2"/>
    <x v="12"/>
    <n v="2"/>
    <n v="219.32"/>
    <n v="0.08"/>
    <x v="515"/>
    <x v="1"/>
    <m/>
    <s v="Cancelled"/>
    <x v="6"/>
    <s v="Cancelled"/>
    <s v="Marketplace"/>
    <s v=""/>
    <x v="3"/>
    <s v="VALID"/>
    <s v="NORMAL"/>
    <s v="Valid"/>
    <n v="438.64"/>
    <n v="403.54879999999997"/>
  </r>
  <r>
    <s v="ORD50518"/>
    <d v="2024-10-17T00:00:00"/>
    <s v="CUST1033"/>
    <s v="P003"/>
    <x v="3"/>
    <s v="Electronics"/>
    <x v="2"/>
    <x v="13"/>
    <n v="2"/>
    <n v="1827.77"/>
    <n v="0.1"/>
    <x v="516"/>
    <x v="1"/>
    <s v="Credit Card"/>
    <s v="Completed"/>
    <x v="0"/>
    <s v="Completed"/>
    <s v="Marketplace"/>
    <s v="Credit Card"/>
    <x v="1"/>
    <s v="VALID"/>
    <s v="NORMAL"/>
    <s v="Valid"/>
    <n v="3655.54"/>
    <n v="3289.9859999999999"/>
  </r>
  <r>
    <s v="ORD50519"/>
    <d v="2024-10-27T00:00:00"/>
    <s v="CUST1115"/>
    <s v="P010"/>
    <x v="14"/>
    <s v="Electronics"/>
    <x v="2"/>
    <x v="12"/>
    <n v="1"/>
    <n v="2338.23"/>
    <n v="0.05"/>
    <x v="517"/>
    <x v="0"/>
    <s v="Cash on Delivery"/>
    <s v="Returned"/>
    <x v="4"/>
    <s v="Returned"/>
    <s v="Online"/>
    <s v="Cash On Delivery"/>
    <x v="1"/>
    <s v="VALID"/>
    <s v="NORMAL"/>
    <s v="Valid"/>
    <n v="2338.23"/>
    <n v="2221.3184999999999"/>
  </r>
  <r>
    <s v="ORD50520"/>
    <d v="2024-05-28T00:00:00"/>
    <s v="CUST1172"/>
    <s v="P006"/>
    <x v="10"/>
    <s v="Furniture"/>
    <x v="0"/>
    <x v="2"/>
    <n v="4"/>
    <n v="6635.67"/>
    <n v="0.05"/>
    <x v="518"/>
    <x v="2"/>
    <s v="Debit Card"/>
    <s v="Completed"/>
    <x v="5"/>
    <s v="Completed"/>
    <s v="Store"/>
    <s v="Debit Card"/>
    <x v="2"/>
    <s v="VALID"/>
    <s v="NORMAL"/>
    <s v="Valid"/>
    <n v="26542.68"/>
    <n v="25215.546000000002"/>
  </r>
  <r>
    <s v="ORD50521"/>
    <d v="2024-01-31T00:00:00"/>
    <s v="CUST1240"/>
    <s v="P005"/>
    <x v="12"/>
    <s v="Furniture"/>
    <x v="3"/>
    <x v="8"/>
    <n v="5"/>
    <n v="9586.39"/>
    <n v="0.08"/>
    <x v="519"/>
    <x v="0"/>
    <s v="Debit Card"/>
    <s v="Cancelled"/>
    <x v="5"/>
    <s v="Cancelled"/>
    <s v="Online"/>
    <s v="Debit Card"/>
    <x v="2"/>
    <s v="VALID"/>
    <s v="NORMAL"/>
    <s v="Valid"/>
    <n v="47931.95"/>
    <n v="44097.394"/>
  </r>
  <r>
    <s v="ORD50522"/>
    <d v="2025-05-15T00:00:00"/>
    <s v="CUST1229"/>
    <s v="P015"/>
    <x v="8"/>
    <s v="Accessories"/>
    <x v="1"/>
    <x v="6"/>
    <n v="3"/>
    <n v="674.07"/>
    <n v="0.08"/>
    <x v="520"/>
    <x v="2"/>
    <s v="Net Banking"/>
    <s v="Completed"/>
    <x v="5"/>
    <s v="Completed"/>
    <s v="Store"/>
    <s v="Net Banking"/>
    <x v="0"/>
    <s v="VALID"/>
    <s v="NORMAL"/>
    <s v="Valid"/>
    <n v="2022.21"/>
    <n v="1860.4331999999999"/>
  </r>
  <r>
    <s v="ORD50523"/>
    <d v="2025-08-15T00:00:00"/>
    <s v="CUST1242"/>
    <s v="P001"/>
    <x v="13"/>
    <s v="Electronics"/>
    <x v="3"/>
    <x v="8"/>
    <n v="4"/>
    <n v="60577.73"/>
    <n v="0.2"/>
    <x v="521"/>
    <x v="0"/>
    <s v="UPI"/>
    <s v="Cancelled"/>
    <x v="3"/>
    <s v="Cancelled"/>
    <s v="Online"/>
    <s v="Upi"/>
    <x v="1"/>
    <s v="VALID"/>
    <s v="NORMAL"/>
    <s v="Valid"/>
    <n v="242310.92"/>
    <n v="193848.736"/>
  </r>
  <r>
    <s v="ORD50524"/>
    <d v="2025-08-13T00:00:00"/>
    <s v="CUST1130"/>
    <s v="P013"/>
    <x v="2"/>
    <s v="Furniture"/>
    <x v="3"/>
    <x v="15"/>
    <n v="3"/>
    <n v="1606"/>
    <n v="0.15"/>
    <x v="522"/>
    <x v="0"/>
    <s v="Cash on Delivery"/>
    <s v="Cancelled"/>
    <x v="6"/>
    <s v="Cancelled"/>
    <s v="Online"/>
    <s v="Cash On Delivery"/>
    <x v="2"/>
    <s v="VALID"/>
    <s v="NORMAL"/>
    <s v="Valid"/>
    <n v="4818"/>
    <n v="4095.3"/>
  </r>
  <r>
    <s v="ORD50525"/>
    <d v="2025-01-11T00:00:00"/>
    <s v="CUST1132"/>
    <s v="P008"/>
    <x v="4"/>
    <s v="Stationery"/>
    <x v="2"/>
    <x v="4"/>
    <n v="2"/>
    <n v="205.95"/>
    <n v="1.25"/>
    <x v="523"/>
    <x v="2"/>
    <s v="Cash on Delivery"/>
    <s v="Completed"/>
    <x v="7"/>
    <s v="Completed"/>
    <s v="Store"/>
    <s v="Cash On Delivery"/>
    <x v="3"/>
    <s v="VALID"/>
    <s v="NORMAL"/>
    <s v="Invalid"/>
    <n v="411.9"/>
    <n v="-102.97500000000002"/>
  </r>
  <r>
    <s v="ORD50526"/>
    <d v="2025-04-11T00:00:00"/>
    <s v="CUST1114"/>
    <s v="P009"/>
    <x v="7"/>
    <s v="Accessories"/>
    <x v="3"/>
    <x v="8"/>
    <n v="3"/>
    <n v="1722.84"/>
    <n v="0.05"/>
    <x v="524"/>
    <x v="0"/>
    <s v="Net Banking"/>
    <s v="Cancelled"/>
    <x v="4"/>
    <s v="Cancelled"/>
    <s v="Online"/>
    <s v="Net Banking"/>
    <x v="0"/>
    <s v="VALID"/>
    <s v="NORMAL"/>
    <s v="Valid"/>
    <n v="5168.5199999999995"/>
    <n v="4910.0939999999991"/>
  </r>
  <r>
    <s v="ORD50527"/>
    <d v="2024-02-29T00:00:00"/>
    <s v="CUST1089"/>
    <s v="P013"/>
    <x v="2"/>
    <s v="Furniture"/>
    <x v="2"/>
    <x v="5"/>
    <n v="5"/>
    <n v="1640.71"/>
    <n v="0.08"/>
    <x v="525"/>
    <x v="2"/>
    <s v="Credit Card"/>
    <s v="Completed"/>
    <x v="1"/>
    <s v="Completed"/>
    <s v="Store"/>
    <s v="Credit Card"/>
    <x v="2"/>
    <s v="VALID"/>
    <s v="NORMAL"/>
    <s v="Valid"/>
    <n v="8203.5499999999993"/>
    <n v="7547.2659999999996"/>
  </r>
  <r>
    <s v="ORD50528"/>
    <d v="2025-04-27T00:00:00"/>
    <s v="CUST1112"/>
    <s v="P011"/>
    <x v="1"/>
    <s v="Electronics"/>
    <x v="3"/>
    <x v="15"/>
    <n v="5"/>
    <n v="3417.24"/>
    <n v="0.2"/>
    <x v="526"/>
    <x v="1"/>
    <s v="Debit Card"/>
    <s v="Completed"/>
    <x v="7"/>
    <s v="Completed"/>
    <s v="Marketplace"/>
    <s v="Debit Card"/>
    <x v="1"/>
    <s v="VALID"/>
    <s v="NORMAL"/>
    <s v="Valid"/>
    <n v="17086.199999999997"/>
    <n v="13668.959999999997"/>
  </r>
  <r>
    <s v="ORD50529"/>
    <d v="2026-04-02T00:00:00"/>
    <s v="CUST1020"/>
    <s v="P015"/>
    <x v="8"/>
    <s v="Accessories"/>
    <x v="2"/>
    <x v="4"/>
    <n v="2"/>
    <n v="706.94"/>
    <n v="0.15"/>
    <x v="527"/>
    <x v="0"/>
    <s v="Debit Card"/>
    <s v="Completed"/>
    <x v="3"/>
    <s v="Completed"/>
    <s v="Online"/>
    <s v="Debit Card"/>
    <x v="0"/>
    <s v="VALID"/>
    <s v="NORMAL"/>
    <s v="Valid"/>
    <n v="1413.88"/>
    <n v="1201.798"/>
  </r>
  <r>
    <s v="ORD50530"/>
    <d v="2024-01-07T00:00:00"/>
    <s v="CUST1013"/>
    <s v="P009"/>
    <x v="7"/>
    <s v="Accessories"/>
    <x v="0"/>
    <x v="0"/>
    <n v="2"/>
    <n v="1710.1"/>
    <n v="0.03"/>
    <x v="528"/>
    <x v="1"/>
    <s v="Credit Card"/>
    <s v="Completed"/>
    <x v="5"/>
    <s v="Completed"/>
    <s v="Marketplace"/>
    <s v="Credit Card"/>
    <x v="0"/>
    <s v="VALID"/>
    <s v="NORMAL"/>
    <s v="Valid"/>
    <n v="3420.2"/>
    <n v="3317.5940000000001"/>
  </r>
  <r>
    <s v="ORD50531"/>
    <d v="2024-05-15T00:00:00"/>
    <s v="CUST1197"/>
    <s v="P006"/>
    <x v="10"/>
    <s v="Furniture"/>
    <x v="3"/>
    <x v="15"/>
    <n v="4"/>
    <n v="7001.97"/>
    <n v="0.1"/>
    <x v="529"/>
    <x v="1"/>
    <s v="UPI"/>
    <s v="Cancelled"/>
    <x v="6"/>
    <s v="Cancelled"/>
    <s v="Marketplace"/>
    <s v="Upi"/>
    <x v="2"/>
    <s v="VALID"/>
    <s v="NORMAL"/>
    <s v="Valid"/>
    <n v="28007.88"/>
    <n v="25207.092000000001"/>
  </r>
  <r>
    <s v="ORD50532"/>
    <d v="2025-05-25T00:00:00"/>
    <s v="CUST1165"/>
    <s v="P010"/>
    <x v="14"/>
    <s v="Electronics"/>
    <x v="3"/>
    <x v="15"/>
    <n v="1"/>
    <n v="2372.7800000000002"/>
    <n v="0"/>
    <x v="530"/>
    <x v="0"/>
    <s v="Cash on Delivery"/>
    <s v="Completed"/>
    <x v="5"/>
    <s v="Completed"/>
    <s v="Online"/>
    <s v="Cash On Delivery"/>
    <x v="1"/>
    <s v="VALID"/>
    <s v="NORMAL"/>
    <s v="Valid"/>
    <n v="2372.7800000000002"/>
    <n v="2372.7800000000002"/>
  </r>
  <r>
    <s v="ORD50533"/>
    <d v="2024-01-29T00:00:00"/>
    <s v="CUST1118"/>
    <s v="P001"/>
    <x v="13"/>
    <s v="Electronics"/>
    <x v="3"/>
    <x v="9"/>
    <n v="4"/>
    <n v="68011.41"/>
    <n v="0.03"/>
    <x v="531"/>
    <x v="0"/>
    <s v="Credit Card"/>
    <s v="Completed"/>
    <x v="0"/>
    <s v="Completed"/>
    <s v="Online"/>
    <s v="Credit Card"/>
    <x v="1"/>
    <s v="VALID"/>
    <s v="NORMAL"/>
    <s v="Valid"/>
    <n v="272045.64"/>
    <n v="263884.2708"/>
  </r>
  <r>
    <s v="ORD50534"/>
    <d v="2025-11-16T00:00:00"/>
    <s v="CUST1126"/>
    <s v="P002"/>
    <x v="9"/>
    <s v="Electronics"/>
    <x v="1"/>
    <x v="1"/>
    <n v="1"/>
    <n v="1161.8399999999999"/>
    <n v="0.1"/>
    <x v="532"/>
    <x v="1"/>
    <s v="Cash on Delivery"/>
    <s v="Cancelled"/>
    <x v="3"/>
    <s v="Cancelled"/>
    <s v="Marketplace"/>
    <s v="Cash On Delivery"/>
    <x v="1"/>
    <s v="VALID"/>
    <s v="NORMAL"/>
    <s v="Valid"/>
    <n v="1161.8399999999999"/>
    <n v="1045.6559999999999"/>
  </r>
  <r>
    <s v="ORD50535"/>
    <d v="2025-04-03T00:00:00"/>
    <s v="CUST1107"/>
    <s v="P007"/>
    <x v="11"/>
    <s v="Stationery"/>
    <x v="1"/>
    <x v="7"/>
    <n v="3"/>
    <n v="453.79"/>
    <n v="0.08"/>
    <x v="533"/>
    <x v="2"/>
    <s v="Cash on Delivery"/>
    <s v="Cancelled"/>
    <x v="3"/>
    <s v="Cancelled"/>
    <s v="Store"/>
    <s v="Cash On Delivery"/>
    <x v="3"/>
    <s v="VALID"/>
    <s v="NORMAL"/>
    <s v="Valid"/>
    <n v="1361.3700000000001"/>
    <n v="1252.4604000000002"/>
  </r>
  <r>
    <s v="ORD50536"/>
    <d v="2026-04-09T00:00:00"/>
    <s v="CUST1089"/>
    <s v="P003"/>
    <x v="3"/>
    <s v="Electronics"/>
    <x v="1"/>
    <x v="7"/>
    <n v="2"/>
    <n v="1783.34"/>
    <n v="0.08"/>
    <x v="534"/>
    <x v="0"/>
    <s v="Cash on Delivery"/>
    <s v="Returned"/>
    <x v="7"/>
    <s v="Returned"/>
    <s v="Online"/>
    <s v="Cash On Delivery"/>
    <x v="1"/>
    <s v="VALID"/>
    <s v="NORMAL"/>
    <s v="Valid"/>
    <n v="3566.68"/>
    <n v="3281.3455999999996"/>
  </r>
  <r>
    <s v="ORD50537"/>
    <d v="2025-05-14T00:00:00"/>
    <s v="CUST1176"/>
    <s v="P011"/>
    <x v="1"/>
    <s v="Electronics"/>
    <x v="3"/>
    <x v="15"/>
    <n v="4"/>
    <n v="3326.02"/>
    <n v="0.03"/>
    <x v="535"/>
    <x v="0"/>
    <s v="Net Banking"/>
    <s v="Completed"/>
    <x v="1"/>
    <s v="Completed"/>
    <s v="Online"/>
    <s v="Net Banking"/>
    <x v="1"/>
    <s v="VALID"/>
    <s v="NORMAL"/>
    <s v="Valid"/>
    <n v="13304.08"/>
    <n v="12904.9576"/>
  </r>
  <r>
    <s v="ORD50538"/>
    <d v="2025-06-20T00:00:00"/>
    <s v="CUST1096"/>
    <s v="P015"/>
    <x v="8"/>
    <s v="Accessories"/>
    <x v="3"/>
    <x v="11"/>
    <n v="5"/>
    <n v="712.32"/>
    <n v="0.15"/>
    <x v="536"/>
    <x v="2"/>
    <s v="Cash on Delivery"/>
    <s v="Completed"/>
    <x v="0"/>
    <s v="Completed"/>
    <s v="Store"/>
    <s v="Cash On Delivery"/>
    <x v="0"/>
    <s v="VALID"/>
    <s v="NORMAL"/>
    <s v="Valid"/>
    <n v="3561.6000000000004"/>
    <n v="3027.3600000000006"/>
  </r>
  <r>
    <s v="ORD50539"/>
    <d v="2025-11-13T00:00:00"/>
    <s v="CUST1223"/>
    <s v="P012"/>
    <x v="0"/>
    <s v="Accessories"/>
    <x v="2"/>
    <x v="4"/>
    <n v="2"/>
    <n v="838.31"/>
    <n v="0.05"/>
    <x v="537"/>
    <x v="2"/>
    <s v="Credit Card"/>
    <s v="Completed"/>
    <x v="7"/>
    <s v="Completed"/>
    <s v="Store"/>
    <s v="Credit Card"/>
    <x v="0"/>
    <s v="VALID"/>
    <s v="NORMAL"/>
    <s v="Valid"/>
    <n v="1676.62"/>
    <n v="1592.789"/>
  </r>
  <r>
    <s v="ORD50540"/>
    <d v="2025-08-11T00:00:00"/>
    <s v="CUST1112"/>
    <s v="P015"/>
    <x v="8"/>
    <s v="Accessories"/>
    <x v="0"/>
    <x v="2"/>
    <n v="1"/>
    <n v="699.61"/>
    <n v="0.08"/>
    <x v="538"/>
    <x v="2"/>
    <s v="Net Banking"/>
    <s v="Completed"/>
    <x v="1"/>
    <s v="Completed"/>
    <s v="Store"/>
    <s v="Net Banking"/>
    <x v="0"/>
    <s v="VALID"/>
    <s v="NORMAL"/>
    <s v="Valid"/>
    <n v="699.61"/>
    <n v="643.64120000000003"/>
  </r>
  <r>
    <s v="ORD50541"/>
    <d v="2025-04-18T00:00:00"/>
    <s v="CUST1257"/>
    <s v="P015"/>
    <x v="8"/>
    <s v="Accessories"/>
    <x v="0"/>
    <x v="10"/>
    <n v="4"/>
    <n v="752.78"/>
    <n v="0"/>
    <x v="539"/>
    <x v="1"/>
    <s v="Cash on Delivery"/>
    <s v="Cancelled"/>
    <x v="5"/>
    <s v="Cancelled"/>
    <s v="Marketplace"/>
    <s v="Cash On Delivery"/>
    <x v="0"/>
    <s v="VALID"/>
    <s v="NORMAL"/>
    <s v="Valid"/>
    <n v="3011.12"/>
    <n v="3011.12"/>
  </r>
  <r>
    <s v="ORD50542"/>
    <d v="2025-07-09T00:00:00"/>
    <s v="CUST1138"/>
    <s v="P013"/>
    <x v="2"/>
    <s v="Furniture"/>
    <x v="3"/>
    <x v="8"/>
    <n v="1"/>
    <n v="1667.94"/>
    <n v="0.08"/>
    <x v="540"/>
    <x v="2"/>
    <s v="Cash on Delivery"/>
    <s v="Returned"/>
    <x v="4"/>
    <s v="Returned"/>
    <s v="Store"/>
    <s v="Cash On Delivery"/>
    <x v="2"/>
    <s v="VALID"/>
    <s v="NORMAL"/>
    <s v="Valid"/>
    <n v="1667.94"/>
    <n v="1534.5048000000002"/>
  </r>
  <r>
    <s v="ORD50543"/>
    <d v="2025-06-27T00:00:00"/>
    <s v="CUST1113"/>
    <s v="P006"/>
    <x v="10"/>
    <s v="Furniture"/>
    <x v="1"/>
    <x v="3"/>
    <n v="3"/>
    <n v="6749.09"/>
    <n v="0.2"/>
    <x v="541"/>
    <x v="0"/>
    <s v="Credit Card"/>
    <s v="Returned"/>
    <x v="5"/>
    <s v="Returned"/>
    <s v="Online"/>
    <s v="Credit Card"/>
    <x v="2"/>
    <s v="VALID"/>
    <s v="NORMAL"/>
    <s v="Valid"/>
    <n v="20247.27"/>
    <n v="16197.816000000001"/>
  </r>
  <r>
    <s v="ORD50544"/>
    <d v="2025-03-17T00:00:00"/>
    <s v="CUST1001"/>
    <s v="P008"/>
    <x v="4"/>
    <s v="Stationery"/>
    <x v="3"/>
    <x v="11"/>
    <n v="5"/>
    <n v="219.07"/>
    <n v="0"/>
    <x v="542"/>
    <x v="2"/>
    <s v="Net Banking"/>
    <s v="Completed"/>
    <x v="6"/>
    <s v="Completed"/>
    <s v="Store"/>
    <s v="Net Banking"/>
    <x v="3"/>
    <s v="VALID"/>
    <s v="NORMAL"/>
    <s v="Valid"/>
    <n v="1095.3499999999999"/>
    <n v="1095.3499999999999"/>
  </r>
  <r>
    <s v="ORD50545"/>
    <d v="2025-07-08T00:00:00"/>
    <s v="CUST1041"/>
    <s v="P004"/>
    <x v="6"/>
    <s v="Electronics"/>
    <x v="0"/>
    <x v="10"/>
    <n v="3"/>
    <n v="12107.17"/>
    <n v="0.15"/>
    <x v="543"/>
    <x v="1"/>
    <s v="Net Banking"/>
    <s v="Completed"/>
    <x v="7"/>
    <s v="Completed"/>
    <s v="Marketplace"/>
    <s v="Net Banking"/>
    <x v="1"/>
    <s v="VALID"/>
    <s v="NORMAL"/>
    <s v="Valid"/>
    <n v="36321.51"/>
    <n v="30873.283500000001"/>
  </r>
  <r>
    <s v="ORD50546"/>
    <d v="2026-03-18T00:00:00"/>
    <s v="CUST1110"/>
    <s v="P007"/>
    <x v="11"/>
    <s v="Stationery"/>
    <x v="3"/>
    <x v="9"/>
    <n v="1"/>
    <n v="447.91"/>
    <n v="0.05"/>
    <x v="544"/>
    <x v="1"/>
    <s v="Cash on Delivery"/>
    <s v="Completed"/>
    <x v="4"/>
    <s v="Completed"/>
    <s v="Marketplace"/>
    <s v="Cash On Delivery"/>
    <x v="3"/>
    <s v="VALID"/>
    <s v="NORMAL"/>
    <s v="Valid"/>
    <n v="447.91"/>
    <n v="425.5145"/>
  </r>
  <r>
    <s v="ORD50547"/>
    <d v="2024-08-10T00:00:00"/>
    <s v="CUST1144"/>
    <s v="P013"/>
    <x v="2"/>
    <s v="Furniture"/>
    <x v="2"/>
    <x v="5"/>
    <n v="5"/>
    <n v="1560.07"/>
    <n v="0.1"/>
    <x v="545"/>
    <x v="2"/>
    <s v="Credit Card"/>
    <s v="Completed"/>
    <x v="4"/>
    <s v="Completed"/>
    <s v="Store"/>
    <s v="Credit Card"/>
    <x v="2"/>
    <s v="VALID"/>
    <s v="NORMAL"/>
    <s v="Valid"/>
    <n v="7800.3499999999995"/>
    <n v="7020.3149999999996"/>
  </r>
  <r>
    <s v="ORD50548"/>
    <d v="2025-12-29T00:00:00"/>
    <s v="CUST1112"/>
    <s v="P015"/>
    <x v="8"/>
    <s v="Accessories"/>
    <x v="2"/>
    <x v="12"/>
    <n v="3"/>
    <n v="713.74"/>
    <n v="0.2"/>
    <x v="546"/>
    <x v="2"/>
    <s v="Net Banking"/>
    <s v="Completed"/>
    <x v="7"/>
    <s v="Completed"/>
    <s v="Store"/>
    <s v="Net Banking"/>
    <x v="0"/>
    <s v="VALID"/>
    <s v="NORMAL"/>
    <s v="Valid"/>
    <n v="2141.2200000000003"/>
    <n v="1712.9760000000001"/>
  </r>
  <r>
    <s v="ORD50549"/>
    <d v="2024-03-10T00:00:00"/>
    <s v="CUST1254"/>
    <s v="P014"/>
    <x v="5"/>
    <s v="Electronics"/>
    <x v="1"/>
    <x v="3"/>
    <n v="1"/>
    <n v="2939.86"/>
    <n v="0.05"/>
    <x v="547"/>
    <x v="1"/>
    <s v="UPI"/>
    <s v="Completed"/>
    <x v="7"/>
    <s v="Completed"/>
    <s v="Marketplace"/>
    <s v="Upi"/>
    <x v="1"/>
    <s v="VALID"/>
    <s v="NORMAL"/>
    <s v="Valid"/>
    <n v="2939.86"/>
    <n v="2792.8670000000002"/>
  </r>
  <r>
    <s v="ORD50550"/>
    <d v="2026-02-02T00:00:00"/>
    <s v="CUST1061"/>
    <s v="P004"/>
    <x v="6"/>
    <s v="Electronics"/>
    <x v="2"/>
    <x v="13"/>
    <n v="1"/>
    <n v="11780.9"/>
    <m/>
    <x v="548"/>
    <x v="1"/>
    <s v="Debit Card"/>
    <s v="Completed"/>
    <x v="1"/>
    <s v="Completed"/>
    <s v="Marketplace"/>
    <s v="Debit Card"/>
    <x v="1"/>
    <s v="VALID"/>
    <s v="NORMAL"/>
    <s v="Valid"/>
    <n v="11780.9"/>
    <n v="11780.9"/>
  </r>
  <r>
    <s v="ORD50551"/>
    <d v="2025-06-29T00:00:00"/>
    <s v="CUST1067"/>
    <s v="P006"/>
    <x v="10"/>
    <s v="Furniture"/>
    <x v="3"/>
    <x v="11"/>
    <n v="5"/>
    <n v="7482.56"/>
    <n v="0.05"/>
    <x v="549"/>
    <x v="0"/>
    <s v="UPI"/>
    <s v="Cancelled"/>
    <x v="0"/>
    <s v="Cancelled"/>
    <s v="Online"/>
    <s v="Upi"/>
    <x v="2"/>
    <s v="VALID"/>
    <s v="NORMAL"/>
    <s v="Valid"/>
    <n v="37412.800000000003"/>
    <n v="35542.160000000003"/>
  </r>
  <r>
    <s v="ORD50552"/>
    <d v="2025-12-23T00:00:00"/>
    <s v="CUST1234"/>
    <s v="P010"/>
    <x v="14"/>
    <s v="Electronics"/>
    <x v="2"/>
    <x v="4"/>
    <n v="3"/>
    <n v="2346.13"/>
    <n v="0.15"/>
    <x v="550"/>
    <x v="1"/>
    <s v="Credit Card"/>
    <s v="Completed"/>
    <x v="3"/>
    <s v="Completed"/>
    <s v="Marketplace"/>
    <s v="Credit Card"/>
    <x v="1"/>
    <s v="VALID"/>
    <s v="NORMAL"/>
    <s v="Valid"/>
    <n v="7038.39"/>
    <n v="5982.6315000000004"/>
  </r>
  <r>
    <s v="ORD50553"/>
    <d v="2025-11-11T00:00:00"/>
    <s v="CUST1210"/>
    <s v="P012"/>
    <x v="0"/>
    <s v="Accessories"/>
    <x v="2"/>
    <x v="5"/>
    <n v="2"/>
    <n v="826.62"/>
    <n v="0.08"/>
    <x v="551"/>
    <x v="1"/>
    <s v="Debit Card"/>
    <s v="Completed"/>
    <x v="1"/>
    <s v="Completed"/>
    <s v="Marketplace"/>
    <s v="Debit Card"/>
    <x v="0"/>
    <s v="VALID"/>
    <s v="NORMAL"/>
    <s v="Valid"/>
    <n v="1653.24"/>
    <n v="1520.9808"/>
  </r>
  <r>
    <s v="ORD50554"/>
    <d v="2024-02-10T00:00:00"/>
    <s v="CUST1081"/>
    <s v="P008"/>
    <x v="4"/>
    <s v="Stationery"/>
    <x v="1"/>
    <x v="3"/>
    <n v="3"/>
    <n v="233.48"/>
    <n v="0.2"/>
    <x v="552"/>
    <x v="0"/>
    <s v="Debit Card"/>
    <s v="Cancelled"/>
    <x v="1"/>
    <s v="Cancelled"/>
    <s v="Online"/>
    <s v="Debit Card"/>
    <x v="3"/>
    <s v="VALID"/>
    <s v="NORMAL"/>
    <s v="Valid"/>
    <n v="700.43999999999994"/>
    <n v="560.35199999999998"/>
  </r>
  <r>
    <s v="ORD50555"/>
    <d v="2024-08-29T00:00:00"/>
    <s v="CUST1058"/>
    <s v="P002"/>
    <x v="9"/>
    <s v="Electronics"/>
    <x v="3"/>
    <x v="15"/>
    <n v="3"/>
    <n v="1283.6300000000001"/>
    <n v="0.2"/>
    <x v="553"/>
    <x v="0"/>
    <s v="Debit Card"/>
    <s v="Completed"/>
    <x v="2"/>
    <s v="Completed"/>
    <s v="Online"/>
    <s v="Debit Card"/>
    <x v="1"/>
    <s v="VALID"/>
    <s v="NORMAL"/>
    <s v="Valid"/>
    <n v="3850.8900000000003"/>
    <n v="3080.7120000000004"/>
  </r>
  <r>
    <s v="ORD50556"/>
    <d v="2024-08-12T00:00:00"/>
    <s v="CUST1104"/>
    <s v="P010"/>
    <x v="14"/>
    <s v="Electronics"/>
    <x v="3"/>
    <x v="9"/>
    <n v="2"/>
    <n v="2254.9299999999998"/>
    <n v="0.03"/>
    <x v="554"/>
    <x v="2"/>
    <s v="Net Banking"/>
    <s v="Completed"/>
    <x v="5"/>
    <s v="Completed"/>
    <s v="Store"/>
    <s v="Net Banking"/>
    <x v="1"/>
    <s v="VALID"/>
    <s v="NORMAL"/>
    <s v="Valid"/>
    <n v="4509.8599999999997"/>
    <n v="4374.5641999999998"/>
  </r>
  <r>
    <s v="ORD50557"/>
    <d v="2026-04-15T00:00:00"/>
    <s v="CUST1096"/>
    <s v="P010"/>
    <x v="14"/>
    <s v="Electronics"/>
    <x v="0"/>
    <x v="2"/>
    <n v="4"/>
    <n v="2080.23"/>
    <n v="0.08"/>
    <x v="555"/>
    <x v="0"/>
    <s v="Credit Card"/>
    <s v="Returned"/>
    <x v="7"/>
    <s v="Returned"/>
    <s v="Online"/>
    <s v="Credit Card"/>
    <x v="1"/>
    <s v="VALID"/>
    <s v="NORMAL"/>
    <s v="Valid"/>
    <n v="8320.92"/>
    <n v="7655.2464"/>
  </r>
  <r>
    <s v="ORD50558"/>
    <d v="2025-07-21T00:00:00"/>
    <s v="CUST1105"/>
    <s v="P004"/>
    <x v="6"/>
    <s v="Electronics"/>
    <x v="2"/>
    <x v="12"/>
    <n v="4"/>
    <n v="13171.03"/>
    <n v="0.08"/>
    <x v="556"/>
    <x v="2"/>
    <s v="Debit Card"/>
    <s v="Cancelled"/>
    <x v="5"/>
    <s v="Cancelled"/>
    <s v="Store"/>
    <s v="Debit Card"/>
    <x v="1"/>
    <s v="VALID"/>
    <s v="NORMAL"/>
    <s v="Valid"/>
    <n v="52684.12"/>
    <n v="48469.390400000004"/>
  </r>
  <r>
    <s v="ORD50559"/>
    <d v="2024-07-08T00:00:00"/>
    <s v="CUST1050"/>
    <s v="P011"/>
    <x v="1"/>
    <s v="Electronics"/>
    <x v="1"/>
    <x v="3"/>
    <n v="4"/>
    <n v="2998.47"/>
    <n v="0.03"/>
    <x v="557"/>
    <x v="1"/>
    <s v="Debit Card"/>
    <s v="Completed"/>
    <x v="6"/>
    <s v="Completed"/>
    <s v="Marketplace"/>
    <s v="Debit Card"/>
    <x v="1"/>
    <s v="VALID"/>
    <s v="NORMAL"/>
    <s v="Valid"/>
    <n v="11993.88"/>
    <n v="11634.063599999999"/>
  </r>
  <r>
    <s v="ORD50560"/>
    <d v="2025-01-14T00:00:00"/>
    <s v="CUST1020"/>
    <s v="P008"/>
    <x v="4"/>
    <s v="Stationery"/>
    <x v="0"/>
    <x v="0"/>
    <n v="2"/>
    <n v="231.34"/>
    <n v="0"/>
    <x v="558"/>
    <x v="0"/>
    <s v="Cash on Delivery"/>
    <s v="Completed"/>
    <x v="7"/>
    <s v="Completed"/>
    <s v="Online"/>
    <s v="Cash On Delivery"/>
    <x v="3"/>
    <s v="VALID"/>
    <s v="NORMAL"/>
    <s v="Valid"/>
    <n v="462.68"/>
    <n v="462.68"/>
  </r>
  <r>
    <s v="ORD50561"/>
    <d v="2025-08-11T00:00:00"/>
    <s v="CUST1213"/>
    <s v="P005"/>
    <x v="12"/>
    <s v="Furniture"/>
    <x v="0"/>
    <x v="10"/>
    <n v="1"/>
    <n v="9008.2199999999993"/>
    <n v="0"/>
    <x v="559"/>
    <x v="0"/>
    <s v="Net Banking"/>
    <s v="Cancelled"/>
    <x v="1"/>
    <s v="Cancelled"/>
    <s v="Online"/>
    <s v="Net Banking"/>
    <x v="2"/>
    <s v="VALID"/>
    <s v="NORMAL"/>
    <s v="Valid"/>
    <n v="9008.2199999999993"/>
    <n v="9008.2199999999993"/>
  </r>
  <r>
    <s v="ORD50562"/>
    <d v="2024-11-15T00:00:00"/>
    <s v="CUST1199"/>
    <s v="P004"/>
    <x v="6"/>
    <s v="Electronics"/>
    <x v="2"/>
    <x v="13"/>
    <n v="2"/>
    <n v="13218.36"/>
    <n v="0.03"/>
    <x v="560"/>
    <x v="1"/>
    <s v="Credit Card"/>
    <s v="Returned"/>
    <x v="1"/>
    <s v="Returned"/>
    <s v="Marketplace"/>
    <s v="Credit Card"/>
    <x v="1"/>
    <s v="VALID"/>
    <s v="NORMAL"/>
    <s v="Valid"/>
    <n v="26436.720000000001"/>
    <n v="25643.618399999999"/>
  </r>
  <r>
    <s v="ORD50563"/>
    <d v="2025-05-07T00:00:00"/>
    <s v="CUST1022"/>
    <s v="P004"/>
    <x v="6"/>
    <s v="Electronics"/>
    <x v="1"/>
    <x v="3"/>
    <n v="2"/>
    <n v="11817.06"/>
    <n v="0.2"/>
    <x v="561"/>
    <x v="2"/>
    <s v="Net Banking"/>
    <s v="Returned"/>
    <x v="7"/>
    <s v="Returned"/>
    <s v="Store"/>
    <s v="Net Banking"/>
    <x v="1"/>
    <s v="VALID"/>
    <s v="NORMAL"/>
    <s v="Valid"/>
    <n v="23634.12"/>
    <n v="18907.295999999998"/>
  </r>
  <r>
    <s v="ORD50564"/>
    <d v="2024-02-22T00:00:00"/>
    <s v="CUST1064"/>
    <s v="P004"/>
    <x v="6"/>
    <s v="Electronics"/>
    <x v="3"/>
    <x v="8"/>
    <n v="5"/>
    <n v="13280.03"/>
    <n v="0.2"/>
    <x v="562"/>
    <x v="2"/>
    <s v="Credit Card"/>
    <s v="Completed"/>
    <x v="3"/>
    <s v="Completed"/>
    <s v="Store"/>
    <s v="Credit Card"/>
    <x v="1"/>
    <s v="VALID"/>
    <s v="NORMAL"/>
    <s v="Valid"/>
    <n v="66400.150000000009"/>
    <n v="53120.12000000001"/>
  </r>
  <r>
    <s v="ORD50565"/>
    <d v="2024-11-05T00:00:00"/>
    <s v="CUST1099"/>
    <s v="P004"/>
    <x v="6"/>
    <s v="Electronics"/>
    <x v="2"/>
    <x v="4"/>
    <n v="1"/>
    <n v="12651.64"/>
    <n v="0.2"/>
    <x v="563"/>
    <x v="2"/>
    <s v="Cash on Delivery"/>
    <s v="Completed"/>
    <x v="0"/>
    <s v="Completed"/>
    <s v="Store"/>
    <s v="Cash On Delivery"/>
    <x v="1"/>
    <s v="VALID"/>
    <s v="NORMAL"/>
    <s v="Valid"/>
    <n v="12651.64"/>
    <n v="10121.312"/>
  </r>
  <r>
    <s v="ORD50566"/>
    <d v="2024-09-27T00:00:00"/>
    <s v="CUST1098"/>
    <s v="P001"/>
    <x v="13"/>
    <s v="Electronics"/>
    <x v="2"/>
    <x v="13"/>
    <n v="5"/>
    <n v="68934.47"/>
    <n v="0.15"/>
    <x v="564"/>
    <x v="1"/>
    <s v="Debit Card"/>
    <s v="Completed"/>
    <x v="1"/>
    <s v="Completed"/>
    <s v="Marketplace"/>
    <s v="Debit Card"/>
    <x v="1"/>
    <s v="VALID"/>
    <s v="NORMAL"/>
    <s v="Valid"/>
    <n v="344672.35"/>
    <n v="292971.4975"/>
  </r>
  <r>
    <s v="ORD50567"/>
    <d v="2026-03-11T00:00:00"/>
    <s v="CUST1045"/>
    <s v="P001"/>
    <x v="13"/>
    <s v="Electronics"/>
    <x v="3"/>
    <x v="8"/>
    <n v="4"/>
    <n v="64227.41"/>
    <n v="0"/>
    <x v="565"/>
    <x v="2"/>
    <s v="UPI"/>
    <s v="Completed"/>
    <x v="6"/>
    <s v="Completed"/>
    <s v="Store"/>
    <s v="Upi"/>
    <x v="1"/>
    <s v="VALID"/>
    <s v="NORMAL"/>
    <s v="Valid"/>
    <n v="256909.64"/>
    <n v="256909.64"/>
  </r>
  <r>
    <s v="ORD50568"/>
    <d v="2024-03-27T00:00:00"/>
    <s v="CUST1092"/>
    <s v="P009"/>
    <x v="7"/>
    <s v="Accessories"/>
    <x v="2"/>
    <x v="13"/>
    <n v="2"/>
    <n v="1833.16"/>
    <n v="0.2"/>
    <x v="566"/>
    <x v="1"/>
    <s v="UPI"/>
    <s v="Completed"/>
    <x v="7"/>
    <s v="Completed"/>
    <s v="Marketplace"/>
    <s v="Upi"/>
    <x v="0"/>
    <s v="VALID"/>
    <s v="NORMAL"/>
    <s v="Valid"/>
    <n v="3666.32"/>
    <n v="2933.056"/>
  </r>
  <r>
    <s v="ORD50569"/>
    <d v="2025-07-22T00:00:00"/>
    <s v="CUST1196"/>
    <s v="P002"/>
    <x v="9"/>
    <s v="Electronics"/>
    <x v="1"/>
    <x v="16"/>
    <n v="3"/>
    <n v="1185.33"/>
    <n v="0.03"/>
    <x v="567"/>
    <x v="0"/>
    <s v="Debit Card"/>
    <s v="Completed"/>
    <x v="3"/>
    <s v="Completed"/>
    <s v="Online"/>
    <s v="Debit Card"/>
    <x v="1"/>
    <s v="VALID"/>
    <s v="NORMAL"/>
    <s v="Valid"/>
    <n v="3555.99"/>
    <n v="3449.3102999999996"/>
  </r>
  <r>
    <s v="ORD50570"/>
    <d v="2024-01-23T00:00:00"/>
    <s v="CUST1110"/>
    <s v="P001"/>
    <x v="13"/>
    <s v="Electronics"/>
    <x v="2"/>
    <x v="12"/>
    <n v="4"/>
    <n v="62338.25"/>
    <n v="0.2"/>
    <x v="568"/>
    <x v="1"/>
    <s v="Net Banking"/>
    <s v="Completed"/>
    <x v="4"/>
    <s v="Completed"/>
    <s v="Marketplace"/>
    <s v="Net Banking"/>
    <x v="1"/>
    <s v="VALID"/>
    <s v="NORMAL"/>
    <s v="Valid"/>
    <n v="249353"/>
    <n v="199482.4"/>
  </r>
  <r>
    <s v="ORD50571"/>
    <d v="2024-03-14T00:00:00"/>
    <s v="CUST1175"/>
    <s v="P003"/>
    <x v="3"/>
    <s v="Electronics"/>
    <x v="0"/>
    <x v="2"/>
    <n v="2"/>
    <n v="1782.44"/>
    <n v="0.03"/>
    <x v="569"/>
    <x v="1"/>
    <s v="Net Banking"/>
    <s v="Returned"/>
    <x v="2"/>
    <s v="Returned"/>
    <s v="Marketplace"/>
    <s v="Net Banking"/>
    <x v="1"/>
    <s v="VALID"/>
    <s v="NORMAL"/>
    <s v="Valid"/>
    <n v="3564.88"/>
    <n v="3457.9336000000003"/>
  </r>
  <r>
    <s v="ORD50572"/>
    <d v="2025-11-22T00:00:00"/>
    <s v="CUST1234"/>
    <s v="P015"/>
    <x v="8"/>
    <s v="Accessories"/>
    <x v="1"/>
    <x v="3"/>
    <n v="3"/>
    <n v="739.44"/>
    <n v="0.15"/>
    <x v="570"/>
    <x v="2"/>
    <s v="Net Banking"/>
    <s v="Completed"/>
    <x v="6"/>
    <s v="Completed"/>
    <s v="Store"/>
    <s v="Net Banking"/>
    <x v="0"/>
    <s v="VALID"/>
    <s v="NORMAL"/>
    <s v="Valid"/>
    <n v="2218.3200000000002"/>
    <n v="1885.5720000000001"/>
  </r>
  <r>
    <s v="ORD50573"/>
    <d v="2026-01-08T00:00:00"/>
    <s v="CUST1166"/>
    <s v="P015"/>
    <x v="8"/>
    <s v="Accessories"/>
    <x v="0"/>
    <x v="14"/>
    <n v="3"/>
    <n v="701.67"/>
    <n v="0.03"/>
    <x v="571"/>
    <x v="1"/>
    <s v="UPI"/>
    <s v="Completed"/>
    <x v="0"/>
    <s v="Completed"/>
    <s v="Marketplace"/>
    <s v="Upi"/>
    <x v="0"/>
    <s v="VALID"/>
    <s v="NORMAL"/>
    <s v="Valid"/>
    <n v="2105.0099999999998"/>
    <n v="2041.8596999999997"/>
  </r>
  <r>
    <s v="ORD50574"/>
    <d v="2026-01-17T00:00:00"/>
    <s v="CUST1147"/>
    <s v="P012"/>
    <x v="0"/>
    <s v="Accessories"/>
    <x v="1"/>
    <x v="7"/>
    <n v="5"/>
    <n v="815.85"/>
    <n v="0.2"/>
    <x v="572"/>
    <x v="0"/>
    <s v="Net Banking"/>
    <s v="Completed"/>
    <x v="5"/>
    <s v="Completed"/>
    <s v="Online"/>
    <s v="Net Banking"/>
    <x v="0"/>
    <s v="VALID"/>
    <s v="NORMAL"/>
    <s v="Valid"/>
    <n v="4079.25"/>
    <n v="3263.4"/>
  </r>
  <r>
    <s v="ORD50575"/>
    <d v="2024-07-12T00:00:00"/>
    <s v="CUST1151"/>
    <s v="P014"/>
    <x v="5"/>
    <s v="Electronics"/>
    <x v="2"/>
    <x v="12"/>
    <n v="3"/>
    <n v="2650.95"/>
    <n v="0.1"/>
    <x v="573"/>
    <x v="1"/>
    <s v="Credit Card"/>
    <s v="Completed"/>
    <x v="3"/>
    <s v="Completed"/>
    <s v="Marketplace"/>
    <s v="Credit Card"/>
    <x v="1"/>
    <s v="VALID"/>
    <s v="NORMAL"/>
    <s v="Valid"/>
    <n v="7952.8499999999995"/>
    <n v="7157.5649999999996"/>
  </r>
  <r>
    <s v="ORD50576"/>
    <d v="2025-10-22T00:00:00"/>
    <m/>
    <s v="P015"/>
    <x v="8"/>
    <s v="Accessories"/>
    <x v="1"/>
    <x v="6"/>
    <n v="4"/>
    <n v="667.65"/>
    <n v="0.08"/>
    <x v="574"/>
    <x v="0"/>
    <s v="Cash on Delivery"/>
    <s v="Cancelled"/>
    <x v="7"/>
    <s v="Cancelled"/>
    <s v="Online"/>
    <s v="Cash On Delivery"/>
    <x v="0"/>
    <s v="VALID"/>
    <s v="NORMAL"/>
    <s v="Valid"/>
    <n v="2670.6"/>
    <n v="2456.9519999999998"/>
  </r>
  <r>
    <s v="ORD50577"/>
    <d v="2024-01-14T00:00:00"/>
    <s v="CUST1066"/>
    <s v="P002"/>
    <x v="9"/>
    <s v="Electronics"/>
    <x v="3"/>
    <x v="15"/>
    <n v="4"/>
    <n v="1272.27"/>
    <n v="0.03"/>
    <x v="575"/>
    <x v="0"/>
    <s v="Debit Card"/>
    <s v="Completed"/>
    <x v="6"/>
    <s v="Completed"/>
    <s v="Online"/>
    <s v="Debit Card"/>
    <x v="1"/>
    <s v="VALID"/>
    <s v="NORMAL"/>
    <s v="Valid"/>
    <n v="5089.08"/>
    <n v="4936.4075999999995"/>
  </r>
  <r>
    <s v="ORD50578"/>
    <d v="2024-03-18T00:00:00"/>
    <s v="CUST1165"/>
    <s v="P012"/>
    <x v="0"/>
    <s v="Accessories"/>
    <x v="0"/>
    <x v="10"/>
    <n v="4"/>
    <n v="884.18"/>
    <n v="0.08"/>
    <x v="576"/>
    <x v="2"/>
    <s v="Credit Card"/>
    <s v="Completed"/>
    <x v="1"/>
    <s v="Completed"/>
    <s v="Store"/>
    <s v="Credit Card"/>
    <x v="0"/>
    <s v="VALID"/>
    <s v="NORMAL"/>
    <s v="Valid"/>
    <n v="3536.72"/>
    <n v="3253.7824000000001"/>
  </r>
  <r>
    <s v="ORD50579"/>
    <d v="2024-09-14T00:00:00"/>
    <s v="CUST1043"/>
    <s v="P005"/>
    <x v="12"/>
    <s v="Furniture"/>
    <x v="3"/>
    <x v="9"/>
    <n v="5"/>
    <n v="10242.030000000001"/>
    <n v="0.03"/>
    <x v="577"/>
    <x v="0"/>
    <s v="Debit Card"/>
    <s v="Completed"/>
    <x v="1"/>
    <s v="Completed"/>
    <s v="Online"/>
    <s v="Debit Card"/>
    <x v="2"/>
    <s v="VALID"/>
    <s v="NORMAL"/>
    <s v="Valid"/>
    <n v="51210.15"/>
    <n v="49673.845500000003"/>
  </r>
  <r>
    <s v="ORD50580"/>
    <d v="2024-08-14T00:00:00"/>
    <s v="CUST1058"/>
    <s v="P013"/>
    <x v="2"/>
    <s v="Furniture"/>
    <x v="3"/>
    <x v="9"/>
    <n v="3"/>
    <n v="1603.21"/>
    <n v="0.15"/>
    <x v="578"/>
    <x v="0"/>
    <s v="Net Banking"/>
    <s v="Completed"/>
    <x v="0"/>
    <s v="Completed"/>
    <s v="Online"/>
    <s v="Net Banking"/>
    <x v="2"/>
    <s v="VALID"/>
    <s v="NORMAL"/>
    <s v="Valid"/>
    <n v="4809.63"/>
    <n v="4088.1855"/>
  </r>
  <r>
    <s v="ORD50581"/>
    <d v="2025-08-20T00:00:00"/>
    <s v="CUST1177"/>
    <s v="P015"/>
    <x v="8"/>
    <s v="Accessories"/>
    <x v="2"/>
    <x v="13"/>
    <n v="5"/>
    <n v="735.6"/>
    <n v="0.05"/>
    <x v="579"/>
    <x v="1"/>
    <m/>
    <s v="Completed"/>
    <x v="3"/>
    <s v="Completed"/>
    <s v="Marketplace"/>
    <s v=""/>
    <x v="0"/>
    <s v="VALID"/>
    <s v="NORMAL"/>
    <s v="Valid"/>
    <n v="3678"/>
    <n v="3494.1"/>
  </r>
  <r>
    <s v="ORD50582"/>
    <d v="2025-10-04T00:00:00"/>
    <s v="CUST1172"/>
    <s v="P010"/>
    <x v="14"/>
    <s v="Electronics"/>
    <x v="3"/>
    <x v="11"/>
    <n v="5"/>
    <n v="2362.5700000000002"/>
    <n v="0.15"/>
    <x v="580"/>
    <x v="2"/>
    <s v="Cash on Delivery"/>
    <s v="Completed"/>
    <x v="5"/>
    <s v="Completed"/>
    <s v="Store"/>
    <s v="Cash On Delivery"/>
    <x v="1"/>
    <s v="VALID"/>
    <s v="NORMAL"/>
    <s v="Valid"/>
    <n v="11812.85"/>
    <n v="10040.922500000001"/>
  </r>
  <r>
    <s v="ORD50583"/>
    <d v="2025-01-16T00:00:00"/>
    <s v="CUST1242"/>
    <s v="P004"/>
    <x v="6"/>
    <s v="Electronics"/>
    <x v="2"/>
    <x v="12"/>
    <n v="3"/>
    <n v="13420.45"/>
    <n v="0.1"/>
    <x v="581"/>
    <x v="0"/>
    <s v="Cash on Delivery"/>
    <s v="Completed"/>
    <x v="7"/>
    <s v="Completed"/>
    <s v="Online"/>
    <s v="Cash On Delivery"/>
    <x v="1"/>
    <s v="VALID"/>
    <s v="NORMAL"/>
    <s v="Valid"/>
    <n v="40261.350000000006"/>
    <n v="36235.215000000004"/>
  </r>
  <r>
    <s v="ORD50584"/>
    <d v="2025-09-28T00:00:00"/>
    <s v="CUST1215"/>
    <s v="P001"/>
    <x v="13"/>
    <s v="Electronics"/>
    <x v="3"/>
    <x v="11"/>
    <n v="4"/>
    <n v="60042.23"/>
    <n v="0.05"/>
    <x v="582"/>
    <x v="0"/>
    <s v="Debit Card"/>
    <s v="Completed"/>
    <x v="0"/>
    <s v="Completed"/>
    <s v="Online"/>
    <s v="Debit Card"/>
    <x v="1"/>
    <s v="VALID"/>
    <s v="NORMAL"/>
    <s v="Valid"/>
    <n v="240168.92"/>
    <n v="228160.47400000002"/>
  </r>
  <r>
    <s v="ORD50585"/>
    <d v="2025-05-11T00:00:00"/>
    <s v="CUST1108"/>
    <s v="P010"/>
    <x v="14"/>
    <s v="Electronics"/>
    <x v="2"/>
    <x v="5"/>
    <n v="4"/>
    <n v="2120.27"/>
    <n v="0.1"/>
    <x v="583"/>
    <x v="0"/>
    <s v="Credit Card"/>
    <s v="Completed"/>
    <x v="8"/>
    <s v="Completed"/>
    <s v="Online"/>
    <s v="Credit Card"/>
    <x v="1"/>
    <s v="VALID"/>
    <s v="NORMAL"/>
    <s v="Valid"/>
    <n v="8481.08"/>
    <n v="7632.9719999999998"/>
  </r>
  <r>
    <s v="ORD50586"/>
    <d v="2024-10-11T00:00:00"/>
    <s v="CUST1118"/>
    <s v="P008"/>
    <x v="4"/>
    <s v="Stationery"/>
    <x v="3"/>
    <x v="8"/>
    <n v="2"/>
    <n v="207.94"/>
    <n v="0"/>
    <x v="584"/>
    <x v="1"/>
    <s v="Net Banking"/>
    <s v="Completed"/>
    <x v="5"/>
    <s v="Completed"/>
    <s v="Marketplace"/>
    <s v="Net Banking"/>
    <x v="3"/>
    <s v="VALID"/>
    <s v="NORMAL"/>
    <s v="Valid"/>
    <n v="415.88"/>
    <n v="415.88"/>
  </r>
  <r>
    <s v="ORD50587"/>
    <d v="2024-08-21T00:00:00"/>
    <s v="CUST1036"/>
    <s v="P012"/>
    <x v="0"/>
    <s v="Accessories"/>
    <x v="1"/>
    <x v="6"/>
    <n v="3"/>
    <n v="858.71"/>
    <n v="0.15"/>
    <x v="585"/>
    <x v="0"/>
    <s v="Net Banking"/>
    <s v="Completed"/>
    <x v="1"/>
    <s v="Completed"/>
    <s v="Online"/>
    <s v="Net Banking"/>
    <x v="0"/>
    <s v="VALID"/>
    <s v="NORMAL"/>
    <s v="Valid"/>
    <n v="2576.13"/>
    <n v="2189.7105000000001"/>
  </r>
  <r>
    <s v="ORD50588"/>
    <d v="2024-12-21T00:00:00"/>
    <s v="CUST1209"/>
    <s v="P015"/>
    <x v="8"/>
    <s v="Accessories"/>
    <x v="2"/>
    <x v="4"/>
    <n v="1"/>
    <n v="720.81"/>
    <n v="0.03"/>
    <x v="586"/>
    <x v="2"/>
    <s v="Net Banking"/>
    <s v="Completed"/>
    <x v="0"/>
    <s v="Completed"/>
    <s v="Store"/>
    <s v="Net Banking"/>
    <x v="0"/>
    <s v="VALID"/>
    <s v="NORMAL"/>
    <s v="Valid"/>
    <n v="720.81"/>
    <n v="699.1857"/>
  </r>
  <r>
    <s v="ORD50589"/>
    <d v="2024-04-07T00:00:00"/>
    <s v="CUST1188"/>
    <s v="P009"/>
    <x v="7"/>
    <s v="Accessories"/>
    <x v="0"/>
    <x v="16"/>
    <n v="1"/>
    <n v="1812.96"/>
    <n v="0.08"/>
    <x v="587"/>
    <x v="0"/>
    <s v="UPI"/>
    <s v="Completed"/>
    <x v="6"/>
    <s v="Completed"/>
    <s v="Online"/>
    <s v="Upi"/>
    <x v="0"/>
    <s v="VALID"/>
    <s v="NORMAL"/>
    <s v="Valid"/>
    <n v="1812.96"/>
    <n v="1667.9232"/>
  </r>
  <r>
    <s v="ORD50590"/>
    <d v="2026-05-03T00:00:00"/>
    <s v="CUST1204"/>
    <s v="P010"/>
    <x v="14"/>
    <s v="Electronics"/>
    <x v="0"/>
    <x v="10"/>
    <n v="4"/>
    <n v="2242.56"/>
    <n v="0.08"/>
    <x v="588"/>
    <x v="2"/>
    <s v="Debit Card"/>
    <s v="Completed"/>
    <x v="1"/>
    <s v="Completed"/>
    <s v="Store"/>
    <s v="Debit Card"/>
    <x v="1"/>
    <s v="VALID"/>
    <s v="NORMAL"/>
    <s v="Valid"/>
    <n v="8970.24"/>
    <n v="8252.6208000000006"/>
  </r>
  <r>
    <s v="ORD50591"/>
    <d v="2024-03-12T00:00:00"/>
    <s v="CUST1011"/>
    <s v="P007"/>
    <x v="11"/>
    <s v="Stationery"/>
    <x v="0"/>
    <x v="10"/>
    <n v="4"/>
    <n v="471.24"/>
    <n v="0.2"/>
    <x v="589"/>
    <x v="0"/>
    <s v="Credit Card"/>
    <s v="Cancelled"/>
    <x v="6"/>
    <s v="Cancelled"/>
    <s v="Online"/>
    <s v="Credit Card"/>
    <x v="3"/>
    <s v="VALID"/>
    <s v="NORMAL"/>
    <s v="Valid"/>
    <n v="1884.96"/>
    <n v="1507.9680000000001"/>
  </r>
  <r>
    <s v="ORD50592"/>
    <d v="2025-08-09T00:00:00"/>
    <s v="CUST1232"/>
    <s v="P008"/>
    <x v="4"/>
    <s v="Stationery"/>
    <x v="0"/>
    <x v="14"/>
    <n v="1"/>
    <n v="236.16"/>
    <n v="0.1"/>
    <x v="590"/>
    <x v="2"/>
    <s v="Net Banking"/>
    <s v="Completed"/>
    <x v="0"/>
    <s v="Completed"/>
    <s v="Store"/>
    <s v="Net Banking"/>
    <x v="3"/>
    <s v="VALID"/>
    <s v="NORMAL"/>
    <s v="Valid"/>
    <n v="236.16"/>
    <n v="212.54399999999998"/>
  </r>
  <r>
    <s v="ORD50593"/>
    <d v="2025-04-15T00:00:00"/>
    <s v="CUST1111"/>
    <s v="P004"/>
    <x v="6"/>
    <s v="Electronics"/>
    <x v="3"/>
    <x v="15"/>
    <n v="2"/>
    <n v="12055.4"/>
    <n v="0.08"/>
    <x v="591"/>
    <x v="2"/>
    <s v="Cash on Delivery"/>
    <s v="Completed"/>
    <x v="3"/>
    <s v="Completed"/>
    <s v="Store"/>
    <s v="Cash On Delivery"/>
    <x v="1"/>
    <s v="VALID"/>
    <s v="NORMAL"/>
    <s v="Valid"/>
    <n v="24110.799999999999"/>
    <n v="22181.935999999998"/>
  </r>
  <r>
    <s v="ORD50594"/>
    <d v="2025-07-04T00:00:00"/>
    <s v="CUST1175"/>
    <s v="P004"/>
    <x v="6"/>
    <s v="Electronics"/>
    <x v="3"/>
    <x v="8"/>
    <n v="2"/>
    <n v="12375.07"/>
    <n v="0.15"/>
    <x v="592"/>
    <x v="2"/>
    <s v="UPI"/>
    <s v="Completed"/>
    <x v="3"/>
    <s v="Completed"/>
    <s v="Store"/>
    <s v="Upi"/>
    <x v="1"/>
    <s v="VALID"/>
    <s v="NORMAL"/>
    <s v="Valid"/>
    <n v="24750.14"/>
    <n v="21037.618999999999"/>
  </r>
  <r>
    <s v="ORD50595"/>
    <d v="2026-01-08T00:00:00"/>
    <s v="CUST1090"/>
    <s v="P001"/>
    <x v="13"/>
    <s v="Electronics"/>
    <x v="1"/>
    <x v="7"/>
    <n v="4"/>
    <n v="69672.23"/>
    <n v="0"/>
    <x v="593"/>
    <x v="0"/>
    <s v="Credit Card"/>
    <s v="Completed"/>
    <x v="4"/>
    <s v="Completed"/>
    <s v="Online"/>
    <s v="Credit Card"/>
    <x v="1"/>
    <s v="VALID"/>
    <s v="NORMAL"/>
    <s v="Valid"/>
    <n v="278688.92"/>
    <n v="278688.92"/>
  </r>
  <r>
    <s v="ORD50596"/>
    <d v="2024-08-22T00:00:00"/>
    <s v="CUST1220"/>
    <s v="P003"/>
    <x v="3"/>
    <s v="Electronics"/>
    <x v="0"/>
    <x v="0"/>
    <n v="4"/>
    <n v="1762.74"/>
    <n v="0.08"/>
    <x v="594"/>
    <x v="0"/>
    <s v="UPI"/>
    <s v="Cancelled"/>
    <x v="4"/>
    <s v="Cancelled"/>
    <s v="Online"/>
    <s v="Upi"/>
    <x v="1"/>
    <s v="VALID"/>
    <s v="NORMAL"/>
    <s v="Valid"/>
    <n v="7050.96"/>
    <n v="6486.8832000000002"/>
  </r>
  <r>
    <s v="ORD50597"/>
    <d v="2025-06-14T00:00:00"/>
    <s v="CUST1001"/>
    <s v="P015"/>
    <x v="8"/>
    <s v="Accessories"/>
    <x v="0"/>
    <x v="0"/>
    <n v="3"/>
    <n v="750.73"/>
    <n v="0.03"/>
    <x v="595"/>
    <x v="0"/>
    <s v="Cash on Delivery"/>
    <s v="Completed"/>
    <x v="1"/>
    <s v="Completed"/>
    <s v="Online"/>
    <s v="Cash On Delivery"/>
    <x v="0"/>
    <s v="VALID"/>
    <s v="NORMAL"/>
    <s v="Valid"/>
    <n v="2252.19"/>
    <n v="2184.6242999999999"/>
  </r>
  <r>
    <s v="ORD50598"/>
    <d v="2025-10-16T00:00:00"/>
    <s v="CUST1074"/>
    <s v="P008"/>
    <x v="4"/>
    <s v="Stationery"/>
    <x v="1"/>
    <x v="3"/>
    <n v="3"/>
    <n v="218.72"/>
    <n v="0.1"/>
    <x v="596"/>
    <x v="0"/>
    <s v="UPI"/>
    <s v="Completed"/>
    <x v="5"/>
    <s v="Completed"/>
    <s v="Online"/>
    <s v="Upi"/>
    <x v="3"/>
    <s v="VALID"/>
    <s v="NORMAL"/>
    <s v="Valid"/>
    <n v="656.16"/>
    <n v="590.54399999999998"/>
  </r>
  <r>
    <s v="ORD50599"/>
    <d v="2024-03-19T00:00:00"/>
    <s v="CUST1067"/>
    <s v="P013"/>
    <x v="2"/>
    <s v="Furniture"/>
    <x v="1"/>
    <x v="3"/>
    <n v="5"/>
    <n v="1508.47"/>
    <n v="0.05"/>
    <x v="597"/>
    <x v="2"/>
    <s v="Debit Card"/>
    <s v="Completed"/>
    <x v="0"/>
    <s v="Completed"/>
    <s v="Store"/>
    <s v="Debit Card"/>
    <x v="2"/>
    <s v="VALID"/>
    <s v="NORMAL"/>
    <s v="Valid"/>
    <n v="7542.35"/>
    <n v="7165.2325000000001"/>
  </r>
  <r>
    <s v="ORD50600"/>
    <d v="2025-04-22T00:00:00"/>
    <s v="CUST1010"/>
    <s v="P013"/>
    <x v="2"/>
    <s v="Furniture"/>
    <x v="1"/>
    <x v="1"/>
    <n v="5"/>
    <n v="1551.63"/>
    <n v="0.1"/>
    <x v="598"/>
    <x v="1"/>
    <s v="UPI"/>
    <s v="Completed"/>
    <x v="2"/>
    <s v="Completed"/>
    <s v="Marketplace"/>
    <s v="Upi"/>
    <x v="2"/>
    <s v="VALID"/>
    <s v="NORMAL"/>
    <s v="Valid"/>
    <n v="7758.1500000000005"/>
    <n v="6982.3350000000009"/>
  </r>
  <r>
    <s v="ORD50601"/>
    <d v="2025-01-26T00:00:00"/>
    <s v="CUST1184"/>
    <s v="P003"/>
    <x v="3"/>
    <s v="Electronics"/>
    <x v="0"/>
    <x v="0"/>
    <n v="5"/>
    <n v="1808.74"/>
    <n v="0.15"/>
    <x v="599"/>
    <x v="2"/>
    <s v="Debit Card"/>
    <s v="Cancelled"/>
    <x v="4"/>
    <s v="Cancelled"/>
    <s v="Store"/>
    <s v="Debit Card"/>
    <x v="1"/>
    <s v="VALID"/>
    <s v="NORMAL"/>
    <s v="Valid"/>
    <n v="9043.7000000000007"/>
    <n v="7687.1450000000004"/>
  </r>
  <r>
    <s v="ORD50602"/>
    <d v="2026-01-11T00:00:00"/>
    <s v="CUST1041"/>
    <s v="P007"/>
    <x v="11"/>
    <s v="Stationery"/>
    <x v="1"/>
    <x v="7"/>
    <n v="3"/>
    <n v="473.03"/>
    <n v="0.08"/>
    <x v="600"/>
    <x v="0"/>
    <s v="Debit Card"/>
    <s v="Cancelled"/>
    <x v="6"/>
    <s v="Cancelled"/>
    <s v="Online"/>
    <s v="Debit Card"/>
    <x v="3"/>
    <s v="VALID"/>
    <s v="NORMAL"/>
    <s v="Valid"/>
    <n v="1419.09"/>
    <n v="1305.5627999999999"/>
  </r>
  <r>
    <s v="ORD50603"/>
    <d v="2024-09-15T00:00:00"/>
    <s v="CUST1080"/>
    <s v="P006"/>
    <x v="10"/>
    <s v="Furniture"/>
    <x v="0"/>
    <x v="2"/>
    <n v="2"/>
    <n v="7221.54"/>
    <n v="0.03"/>
    <x v="601"/>
    <x v="2"/>
    <s v="Credit Card"/>
    <s v="Completed"/>
    <x v="6"/>
    <s v="Completed"/>
    <s v="Store"/>
    <s v="Credit Card"/>
    <x v="2"/>
    <s v="VALID"/>
    <s v="NORMAL"/>
    <s v="Valid"/>
    <n v="14443.08"/>
    <n v="14009.7876"/>
  </r>
  <r>
    <s v="ORD50604"/>
    <d v="2025-01-27T00:00:00"/>
    <s v="CUST1071"/>
    <s v="P008"/>
    <x v="4"/>
    <s v="Stationery"/>
    <x v="3"/>
    <x v="15"/>
    <n v="5"/>
    <n v="214.58"/>
    <n v="0.2"/>
    <x v="602"/>
    <x v="0"/>
    <s v="Credit Card"/>
    <s v="Completed"/>
    <x v="7"/>
    <s v="Completed"/>
    <s v="Online"/>
    <s v="Credit Card"/>
    <x v="3"/>
    <s v="VALID"/>
    <s v="NORMAL"/>
    <s v="Valid"/>
    <n v="1072.9000000000001"/>
    <n v="858.32"/>
  </r>
  <r>
    <s v="ORD50605"/>
    <d v="2024-08-15T00:00:00"/>
    <s v="CUST1037"/>
    <s v="P009"/>
    <x v="7"/>
    <s v="Accessories"/>
    <x v="0"/>
    <x v="14"/>
    <n v="5"/>
    <n v="1918.06"/>
    <n v="0"/>
    <x v="603"/>
    <x v="2"/>
    <s v="Net Banking"/>
    <s v="Completed"/>
    <x v="2"/>
    <s v="Completed"/>
    <s v="Store"/>
    <s v="Net Banking"/>
    <x v="0"/>
    <s v="VALID"/>
    <s v="NORMAL"/>
    <s v="Valid"/>
    <n v="9590.2999999999993"/>
    <n v="9590.2999999999993"/>
  </r>
  <r>
    <s v="ORD50606"/>
    <d v="2025-04-10T00:00:00"/>
    <s v="CUST1117"/>
    <s v="P011"/>
    <x v="1"/>
    <s v="Electronics"/>
    <x v="3"/>
    <x v="9"/>
    <n v="4"/>
    <n v="3078.94"/>
    <n v="0.08"/>
    <x v="604"/>
    <x v="0"/>
    <s v="Net Banking"/>
    <s v="Completed"/>
    <x v="3"/>
    <s v="Completed"/>
    <s v="Online"/>
    <s v="Net Banking"/>
    <x v="1"/>
    <s v="VALID"/>
    <s v="NORMAL"/>
    <s v="Valid"/>
    <n v="12315.76"/>
    <n v="11330.4992"/>
  </r>
  <r>
    <s v="ORD50607"/>
    <d v="2025-12-29T00:00:00"/>
    <s v="CUST1049"/>
    <s v="P002"/>
    <x v="9"/>
    <s v="Electronics"/>
    <x v="2"/>
    <x v="13"/>
    <n v="1"/>
    <n v="1140.6500000000001"/>
    <n v="0.2"/>
    <x v="605"/>
    <x v="2"/>
    <s v="Cash on Delivery"/>
    <s v="Completed"/>
    <x v="2"/>
    <s v="Completed"/>
    <s v="Store"/>
    <s v="Cash On Delivery"/>
    <x v="1"/>
    <s v="VALID"/>
    <s v="NORMAL"/>
    <s v="Valid"/>
    <n v="1140.6500000000001"/>
    <n v="912.5200000000001"/>
  </r>
  <r>
    <s v="ORD50608"/>
    <d v="2026-03-15T00:00:00"/>
    <s v="CUST1223"/>
    <s v="P005"/>
    <x v="12"/>
    <s v="Furniture"/>
    <x v="3"/>
    <x v="9"/>
    <n v="4"/>
    <n v="10071.129999999999"/>
    <n v="0"/>
    <x v="606"/>
    <x v="0"/>
    <s v="Debit Card"/>
    <s v="Completed"/>
    <x v="5"/>
    <s v="Completed"/>
    <s v="Online"/>
    <s v="Debit Card"/>
    <x v="2"/>
    <s v="VALID"/>
    <s v="NORMAL"/>
    <s v="Valid"/>
    <n v="40284.519999999997"/>
    <n v="40284.519999999997"/>
  </r>
  <r>
    <s v="ORD50609"/>
    <d v="2025-07-30T00:00:00"/>
    <s v="CUST1018"/>
    <s v="P015"/>
    <x v="8"/>
    <s v="Accessories"/>
    <x v="1"/>
    <x v="6"/>
    <n v="4"/>
    <n v="710.45"/>
    <n v="0"/>
    <x v="607"/>
    <x v="1"/>
    <s v="UPI"/>
    <s v="Returned"/>
    <x v="0"/>
    <s v="Returned"/>
    <s v="Marketplace"/>
    <s v="Upi"/>
    <x v="0"/>
    <s v="VALID"/>
    <s v="NORMAL"/>
    <s v="Valid"/>
    <n v="2841.8"/>
    <n v="2841.8"/>
  </r>
  <r>
    <s v="ORD50610"/>
    <d v="2024-04-06T00:00:00"/>
    <s v="CUST1034"/>
    <s v="P001"/>
    <x v="13"/>
    <s v="Electronics"/>
    <x v="2"/>
    <x v="12"/>
    <n v="2"/>
    <n v="61149.17"/>
    <n v="0.05"/>
    <x v="608"/>
    <x v="1"/>
    <s v="Credit Card"/>
    <s v="Returned"/>
    <x v="1"/>
    <s v="Returned"/>
    <s v="Marketplace"/>
    <s v="Credit Card"/>
    <x v="1"/>
    <s v="VALID"/>
    <s v="NORMAL"/>
    <s v="Valid"/>
    <n v="122298.34"/>
    <n v="116183.423"/>
  </r>
  <r>
    <s v="ORD50611"/>
    <d v="2024-11-02T00:00:00"/>
    <s v="CUST1042"/>
    <s v="P002"/>
    <x v="9"/>
    <s v="Electronics"/>
    <x v="2"/>
    <x v="5"/>
    <n v="3"/>
    <n v="1186.96"/>
    <n v="0.1"/>
    <x v="609"/>
    <x v="0"/>
    <s v="Net Banking"/>
    <s v="Returned"/>
    <x v="7"/>
    <s v="Returned"/>
    <s v="Online"/>
    <s v="Net Banking"/>
    <x v="1"/>
    <s v="VALID"/>
    <s v="NORMAL"/>
    <s v="Valid"/>
    <n v="3560.88"/>
    <n v="3204.7919999999999"/>
  </r>
  <r>
    <s v="ORD50612"/>
    <d v="2024-05-12T00:00:00"/>
    <s v="CUST1163"/>
    <s v="P015"/>
    <x v="8"/>
    <s v="Accessories"/>
    <x v="0"/>
    <x v="0"/>
    <n v="4"/>
    <n v="652.54999999999995"/>
    <n v="0.03"/>
    <x v="610"/>
    <x v="1"/>
    <s v="UPI"/>
    <s v="Completed"/>
    <x v="2"/>
    <s v="Completed"/>
    <s v="Marketplace"/>
    <s v="Upi"/>
    <x v="0"/>
    <s v="VALID"/>
    <s v="NORMAL"/>
    <s v="Valid"/>
    <n v="2610.1999999999998"/>
    <n v="2531.8939999999998"/>
  </r>
  <r>
    <s v="ORD50613"/>
    <d v="2025-09-18T00:00:00"/>
    <s v="CUST1023"/>
    <s v="P008"/>
    <x v="4"/>
    <s v="Stationery"/>
    <x v="1"/>
    <x v="6"/>
    <n v="4"/>
    <n v="217.92"/>
    <n v="0.05"/>
    <x v="611"/>
    <x v="2"/>
    <s v="Credit Card"/>
    <s v="Completed"/>
    <x v="4"/>
    <s v="Completed"/>
    <s v="Store"/>
    <s v="Credit Card"/>
    <x v="3"/>
    <s v="VALID"/>
    <s v="NORMAL"/>
    <s v="Valid"/>
    <n v="871.68"/>
    <n v="828.096"/>
  </r>
  <r>
    <s v="ORD50614"/>
    <d v="2024-12-05T00:00:00"/>
    <s v="CUST1017"/>
    <s v="P004"/>
    <x v="6"/>
    <s v="Electronics"/>
    <x v="3"/>
    <x v="15"/>
    <n v="3"/>
    <n v="12433.51"/>
    <n v="0.03"/>
    <x v="612"/>
    <x v="2"/>
    <s v="Cash on Delivery"/>
    <s v="Returned"/>
    <x v="5"/>
    <s v="Returned"/>
    <s v="Store"/>
    <s v="Cash On Delivery"/>
    <x v="1"/>
    <s v="VALID"/>
    <s v="NORMAL"/>
    <s v="Valid"/>
    <n v="37300.53"/>
    <n v="36181.5141"/>
  </r>
  <r>
    <s v="ORD50615"/>
    <d v="2025-05-09T00:00:00"/>
    <s v="CUST1085"/>
    <s v="P007"/>
    <x v="11"/>
    <s v="Stationery"/>
    <x v="0"/>
    <x v="0"/>
    <n v="1"/>
    <n v="431.12"/>
    <n v="0.15"/>
    <x v="613"/>
    <x v="0"/>
    <s v="Net Banking"/>
    <s v="Completed"/>
    <x v="6"/>
    <s v="Completed"/>
    <s v="Online"/>
    <s v="Net Banking"/>
    <x v="3"/>
    <s v="VALID"/>
    <s v="NORMAL"/>
    <s v="Valid"/>
    <n v="431.12"/>
    <n v="366.452"/>
  </r>
  <r>
    <s v="ORD50616"/>
    <d v="2025-02-17T00:00:00"/>
    <s v="CUST1070"/>
    <s v="P011"/>
    <x v="1"/>
    <s v="Electronics"/>
    <x v="2"/>
    <x v="13"/>
    <n v="1"/>
    <n v="3310.64"/>
    <n v="0.03"/>
    <x v="614"/>
    <x v="1"/>
    <s v="Cash on Delivery"/>
    <s v="Completed"/>
    <x v="2"/>
    <s v="Completed"/>
    <s v="Marketplace"/>
    <s v="Cash On Delivery"/>
    <x v="1"/>
    <s v="VALID"/>
    <s v="NORMAL"/>
    <s v="Valid"/>
    <n v="3310.64"/>
    <n v="3211.3208"/>
  </r>
  <r>
    <s v="ORD50617"/>
    <d v="2024-10-01T00:00:00"/>
    <s v="CUST1129"/>
    <s v="P009"/>
    <x v="7"/>
    <s v="Accessories"/>
    <x v="0"/>
    <x v="10"/>
    <n v="1"/>
    <n v="1699.91"/>
    <n v="0"/>
    <x v="615"/>
    <x v="0"/>
    <s v="Credit Card"/>
    <s v="Completed"/>
    <x v="1"/>
    <s v="Completed"/>
    <s v="Online"/>
    <s v="Credit Card"/>
    <x v="0"/>
    <s v="VALID"/>
    <s v="NORMAL"/>
    <s v="Valid"/>
    <n v="1699.91"/>
    <n v="1699.91"/>
  </r>
  <r>
    <s v="ORD50618"/>
    <d v="2024-08-28T00:00:00"/>
    <s v="CUST1111"/>
    <s v="P015"/>
    <x v="8"/>
    <s v="Accessories"/>
    <x v="3"/>
    <x v="8"/>
    <n v="1"/>
    <n v="648.82000000000005"/>
    <n v="0.2"/>
    <x v="616"/>
    <x v="0"/>
    <s v="Debit Card"/>
    <s v="Completed"/>
    <x v="1"/>
    <s v="Completed"/>
    <s v="Online"/>
    <s v="Debit Card"/>
    <x v="0"/>
    <s v="VALID"/>
    <s v="NORMAL"/>
    <s v="Valid"/>
    <n v="648.82000000000005"/>
    <n v="519.05600000000004"/>
  </r>
  <r>
    <s v="ORD50619"/>
    <d v="2026-01-10T00:00:00"/>
    <s v="CUST1188"/>
    <s v="P007"/>
    <x v="11"/>
    <s v="Stationery"/>
    <x v="1"/>
    <x v="3"/>
    <n v="1"/>
    <n v="429.96"/>
    <n v="0.05"/>
    <x v="617"/>
    <x v="0"/>
    <s v="Debit Card"/>
    <s v="Completed"/>
    <x v="3"/>
    <s v="Completed"/>
    <s v="Online"/>
    <s v="Debit Card"/>
    <x v="3"/>
    <s v="VALID"/>
    <s v="NORMAL"/>
    <s v="Valid"/>
    <n v="429.96"/>
    <n v="408.46199999999999"/>
  </r>
  <r>
    <s v="ORD50620"/>
    <d v="2026-04-02T00:00:00"/>
    <s v="CUST1182"/>
    <s v="P011"/>
    <x v="1"/>
    <s v="Electronics"/>
    <x v="1"/>
    <x v="7"/>
    <n v="2"/>
    <n v="3277.8"/>
    <n v="0.2"/>
    <x v="618"/>
    <x v="2"/>
    <s v="Debit Card"/>
    <s v="Completed"/>
    <x v="5"/>
    <s v="Completed"/>
    <s v="Store"/>
    <s v="Debit Card"/>
    <x v="1"/>
    <s v="VALID"/>
    <s v="NORMAL"/>
    <s v="Valid"/>
    <n v="6555.6"/>
    <n v="5244.4800000000005"/>
  </r>
  <r>
    <s v="ORD50621"/>
    <d v="2024-12-21T00:00:00"/>
    <s v="CUST1167"/>
    <s v="P008"/>
    <x v="4"/>
    <s v="Stationery"/>
    <x v="3"/>
    <x v="15"/>
    <n v="2"/>
    <n v="221.62"/>
    <n v="0.15"/>
    <x v="619"/>
    <x v="0"/>
    <s v="UPI"/>
    <s v="Completed"/>
    <x v="0"/>
    <s v="Completed"/>
    <s v="Online"/>
    <s v="Upi"/>
    <x v="3"/>
    <s v="VALID"/>
    <s v="NORMAL"/>
    <s v="Valid"/>
    <n v="443.24"/>
    <n v="376.75400000000002"/>
  </r>
  <r>
    <s v="ORD50622"/>
    <d v="2024-10-12T00:00:00"/>
    <s v="CUST1233"/>
    <s v="P013"/>
    <x v="2"/>
    <s v="Furniture"/>
    <x v="1"/>
    <x v="1"/>
    <n v="3"/>
    <n v="1682.32"/>
    <n v="0.05"/>
    <x v="620"/>
    <x v="2"/>
    <s v="Net Banking"/>
    <s v="Cancelled"/>
    <x v="2"/>
    <s v="Cancelled"/>
    <s v="Store"/>
    <s v="Net Banking"/>
    <x v="2"/>
    <s v="VALID"/>
    <s v="NORMAL"/>
    <s v="Valid"/>
    <n v="5046.96"/>
    <n v="4794.6120000000001"/>
  </r>
  <r>
    <s v="ORD50623"/>
    <d v="2025-09-05T00:00:00"/>
    <s v="CUST1068"/>
    <s v="P014"/>
    <x v="5"/>
    <s v="Electronics"/>
    <x v="1"/>
    <x v="1"/>
    <n v="3"/>
    <n v="2684.19"/>
    <n v="0.08"/>
    <x v="621"/>
    <x v="0"/>
    <s v="Credit Card"/>
    <s v="Completed"/>
    <x v="4"/>
    <s v="Completed"/>
    <s v="Online"/>
    <s v="Credit Card"/>
    <x v="1"/>
    <s v="VALID"/>
    <s v="NORMAL"/>
    <s v="Valid"/>
    <n v="8052.57"/>
    <n v="7408.3643999999995"/>
  </r>
  <r>
    <s v="ORD50624"/>
    <d v="2025-10-16T00:00:00"/>
    <s v="CUST1128"/>
    <s v="P007"/>
    <x v="11"/>
    <s v="Stationery"/>
    <x v="1"/>
    <x v="1"/>
    <n v="1"/>
    <n v="453.4"/>
    <n v="0.1"/>
    <x v="622"/>
    <x v="2"/>
    <s v="Cash on Delivery"/>
    <s v="Completed"/>
    <x v="6"/>
    <s v="Completed"/>
    <s v="Store"/>
    <s v="Cash On Delivery"/>
    <x v="3"/>
    <s v="VALID"/>
    <s v="NORMAL"/>
    <s v="Valid"/>
    <n v="453.4"/>
    <n v="408.05999999999995"/>
  </r>
  <r>
    <s v="ORD50625"/>
    <d v="2024-06-17T00:00:00"/>
    <s v="CUST1103"/>
    <s v="P005"/>
    <x v="12"/>
    <s v="Furniture"/>
    <x v="2"/>
    <x v="13"/>
    <n v="5"/>
    <n v="9956.1200000000008"/>
    <n v="0"/>
    <x v="623"/>
    <x v="1"/>
    <s v="Net Banking"/>
    <s v="Cancelled"/>
    <x v="6"/>
    <s v="Cancelled"/>
    <s v="Marketplace"/>
    <s v="Net Banking"/>
    <x v="2"/>
    <s v="VALID"/>
    <s v="NORMAL"/>
    <s v="Valid"/>
    <n v="49780.600000000006"/>
    <n v="49780.600000000006"/>
  </r>
  <r>
    <s v="ORD50626"/>
    <d v="2024-05-27T00:00:00"/>
    <s v="CUST1171"/>
    <s v="P007"/>
    <x v="11"/>
    <s v="Stationery"/>
    <x v="0"/>
    <x v="10"/>
    <n v="2"/>
    <n v="470.82"/>
    <m/>
    <x v="624"/>
    <x v="1"/>
    <s v="Net Banking"/>
    <s v="Cancelled"/>
    <x v="5"/>
    <s v="Cancelled"/>
    <s v="Marketplace"/>
    <s v="Net Banking"/>
    <x v="3"/>
    <s v="VALID"/>
    <s v="NORMAL"/>
    <s v="Valid"/>
    <n v="941.64"/>
    <n v="941.64"/>
  </r>
  <r>
    <s v="ORD50627"/>
    <d v="2026-03-15T00:00:00"/>
    <s v="CUST1169"/>
    <s v="P003"/>
    <x v="3"/>
    <s v="Electronics"/>
    <x v="1"/>
    <x v="3"/>
    <n v="2"/>
    <n v="1776.86"/>
    <n v="0.05"/>
    <x v="625"/>
    <x v="0"/>
    <s v="UPI"/>
    <s v="Completed"/>
    <x v="6"/>
    <s v="Completed"/>
    <s v="Online"/>
    <s v="Upi"/>
    <x v="1"/>
    <s v="VALID"/>
    <s v="NORMAL"/>
    <s v="Valid"/>
    <n v="3553.72"/>
    <n v="3376.0339999999997"/>
  </r>
  <r>
    <s v="ORD50628"/>
    <d v="2025-01-05T00:00:00"/>
    <s v="CUST1243"/>
    <s v="P007"/>
    <x v="11"/>
    <s v="Stationery"/>
    <x v="0"/>
    <x v="10"/>
    <n v="3"/>
    <n v="425.25"/>
    <n v="0.1"/>
    <x v="626"/>
    <x v="0"/>
    <s v="Credit Card"/>
    <s v="Completed"/>
    <x v="1"/>
    <s v="Completed"/>
    <s v="Online"/>
    <s v="Credit Card"/>
    <x v="3"/>
    <s v="VALID"/>
    <s v="NORMAL"/>
    <s v="Valid"/>
    <n v="1275.75"/>
    <n v="1148.175"/>
  </r>
  <r>
    <s v="ORD50629"/>
    <d v="2024-09-24T00:00:00"/>
    <s v="CUST1141"/>
    <s v="P011"/>
    <x v="1"/>
    <s v="Electronics"/>
    <x v="3"/>
    <x v="9"/>
    <n v="2"/>
    <n v="3416.69"/>
    <n v="0.08"/>
    <x v="627"/>
    <x v="2"/>
    <s v="UPI"/>
    <s v="Completed"/>
    <x v="2"/>
    <s v="Completed"/>
    <s v="Store"/>
    <s v="Upi"/>
    <x v="1"/>
    <s v="VALID"/>
    <s v="NORMAL"/>
    <s v="Valid"/>
    <n v="6833.38"/>
    <n v="6286.7096000000001"/>
  </r>
  <r>
    <s v="ORD50630"/>
    <d v="2024-03-07T00:00:00"/>
    <s v="CUST1150"/>
    <s v="P011"/>
    <x v="1"/>
    <s v="Electronics"/>
    <x v="3"/>
    <x v="15"/>
    <n v="3"/>
    <n v="3335.58"/>
    <n v="0"/>
    <x v="628"/>
    <x v="2"/>
    <s v="UPI"/>
    <s v="Completed"/>
    <x v="2"/>
    <s v="Completed"/>
    <s v="Store"/>
    <s v="Upi"/>
    <x v="1"/>
    <s v="VALID"/>
    <s v="NORMAL"/>
    <s v="Valid"/>
    <n v="10006.74"/>
    <n v="10006.74"/>
  </r>
  <r>
    <s v="ORD50631"/>
    <d v="2024-07-01T00:00:00"/>
    <s v="CUST1162"/>
    <s v="P005"/>
    <x v="12"/>
    <s v="Furniture"/>
    <x v="3"/>
    <x v="8"/>
    <n v="3"/>
    <n v="9783.8700000000008"/>
    <n v="0.03"/>
    <x v="629"/>
    <x v="1"/>
    <s v="Debit Card"/>
    <s v="Completed"/>
    <x v="7"/>
    <s v="Completed"/>
    <s v="Marketplace"/>
    <s v="Debit Card"/>
    <x v="2"/>
    <s v="VALID"/>
    <s v="NORMAL"/>
    <s v="Valid"/>
    <n v="29351.61"/>
    <n v="28471.061700000002"/>
  </r>
  <r>
    <s v="ORD50632"/>
    <d v="2025-08-23T00:00:00"/>
    <s v="CUST1176"/>
    <s v="P007"/>
    <x v="11"/>
    <s v="Stationery"/>
    <x v="0"/>
    <x v="0"/>
    <n v="3"/>
    <n v="479.33"/>
    <n v="0.05"/>
    <x v="630"/>
    <x v="1"/>
    <s v="Net Banking"/>
    <s v="Completed"/>
    <x v="0"/>
    <s v="Completed"/>
    <s v="Marketplace"/>
    <s v="Net Banking"/>
    <x v="3"/>
    <s v="VALID"/>
    <s v="NORMAL"/>
    <s v="Valid"/>
    <n v="1437.99"/>
    <n v="1366.0905"/>
  </r>
  <r>
    <s v="ORD50633"/>
    <d v="2025-06-21T00:00:00"/>
    <s v="CUST1084"/>
    <s v="P014"/>
    <x v="5"/>
    <s v="Electronics"/>
    <x v="2"/>
    <x v="4"/>
    <n v="3"/>
    <n v="2946.83"/>
    <n v="0.05"/>
    <x v="631"/>
    <x v="1"/>
    <s v="Net Banking"/>
    <s v="Completed"/>
    <x v="1"/>
    <s v="Completed"/>
    <s v="Marketplace"/>
    <s v="Net Banking"/>
    <x v="1"/>
    <s v="VALID"/>
    <s v="NORMAL"/>
    <s v="Valid"/>
    <n v="8840.49"/>
    <n v="8398.4655000000002"/>
  </r>
  <r>
    <s v="ORD50634"/>
    <d v="2025-12-01T00:00:00"/>
    <s v="CUST1251"/>
    <s v="P005"/>
    <x v="12"/>
    <s v="Furniture"/>
    <x v="2"/>
    <x v="13"/>
    <n v="5"/>
    <n v="10055.08"/>
    <n v="0.1"/>
    <x v="632"/>
    <x v="2"/>
    <s v="Debit Card"/>
    <s v="Cancelled"/>
    <x v="5"/>
    <s v="Cancelled"/>
    <s v="Store"/>
    <s v="Debit Card"/>
    <x v="2"/>
    <s v="VALID"/>
    <s v="NORMAL"/>
    <s v="Valid"/>
    <n v="50275.4"/>
    <n v="45247.86"/>
  </r>
  <r>
    <s v="ORD50635"/>
    <d v="2025-05-15T00:00:00"/>
    <s v="CUST1101"/>
    <s v="P012"/>
    <x v="0"/>
    <s v="Accessories"/>
    <x v="0"/>
    <x v="14"/>
    <n v="5"/>
    <n v="917.52"/>
    <n v="0.05"/>
    <x v="633"/>
    <x v="0"/>
    <s v="UPI"/>
    <s v="Completed"/>
    <x v="6"/>
    <s v="Completed"/>
    <s v="Online"/>
    <s v="Upi"/>
    <x v="0"/>
    <s v="VALID"/>
    <s v="NORMAL"/>
    <s v="Valid"/>
    <n v="4587.6000000000004"/>
    <n v="4358.22"/>
  </r>
  <r>
    <s v="ORD50636"/>
    <d v="2025-03-13T00:00:00"/>
    <s v="CUST1204"/>
    <s v="P009"/>
    <x v="7"/>
    <s v="Accessories"/>
    <x v="1"/>
    <x v="7"/>
    <n v="3"/>
    <n v="1866.57"/>
    <n v="0.2"/>
    <x v="634"/>
    <x v="0"/>
    <s v="Debit Card"/>
    <s v="Completed"/>
    <x v="7"/>
    <s v="Completed"/>
    <s v="Online"/>
    <s v="Debit Card"/>
    <x v="0"/>
    <s v="VALID"/>
    <s v="NORMAL"/>
    <s v="Valid"/>
    <n v="5599.71"/>
    <n v="4479.768"/>
  </r>
  <r>
    <s v="ORD50637"/>
    <d v="2024-05-10T00:00:00"/>
    <s v="CUST1131"/>
    <s v="P008"/>
    <x v="4"/>
    <s v="Stationery"/>
    <x v="2"/>
    <x v="4"/>
    <n v="1"/>
    <n v="232.53"/>
    <n v="0"/>
    <x v="635"/>
    <x v="1"/>
    <s v="UPI"/>
    <s v="Cancelled"/>
    <x v="0"/>
    <s v="Cancelled"/>
    <s v="Marketplace"/>
    <s v="Upi"/>
    <x v="3"/>
    <s v="VALID"/>
    <s v="NORMAL"/>
    <s v="Valid"/>
    <n v="232.53"/>
    <n v="232.53"/>
  </r>
  <r>
    <s v="ORD50638"/>
    <d v="2024-12-22T00:00:00"/>
    <s v="CUST1134"/>
    <s v="P001"/>
    <x v="13"/>
    <s v="Electronics"/>
    <x v="0"/>
    <x v="10"/>
    <n v="4"/>
    <n v="63783.18"/>
    <n v="0"/>
    <x v="636"/>
    <x v="2"/>
    <s v="Credit Card"/>
    <s v="Completed"/>
    <x v="4"/>
    <s v="Completed"/>
    <s v="Store"/>
    <s v="Credit Card"/>
    <x v="1"/>
    <s v="VALID"/>
    <s v="NORMAL"/>
    <s v="Valid"/>
    <n v="255132.72"/>
    <n v="255132.72"/>
  </r>
  <r>
    <s v="ORD50639"/>
    <d v="2024-03-31T00:00:00"/>
    <s v="CUST1109"/>
    <s v="P011"/>
    <x v="1"/>
    <s v="Electronics"/>
    <x v="1"/>
    <x v="1"/>
    <n v="3"/>
    <n v="3071.99"/>
    <n v="0"/>
    <x v="637"/>
    <x v="2"/>
    <s v="Credit Card"/>
    <s v="Completed"/>
    <x v="8"/>
    <s v="Completed"/>
    <s v="Store"/>
    <s v="Credit Card"/>
    <x v="1"/>
    <s v="VALID"/>
    <s v="NORMAL"/>
    <s v="Valid"/>
    <n v="9215.9699999999993"/>
    <n v="9215.9699999999993"/>
  </r>
  <r>
    <s v="ORD50640"/>
    <d v="2025-03-08T00:00:00"/>
    <s v="CUST1010"/>
    <s v="P011"/>
    <x v="1"/>
    <s v="Electronics"/>
    <x v="0"/>
    <x v="0"/>
    <n v="1"/>
    <n v="3408.74"/>
    <n v="0"/>
    <x v="638"/>
    <x v="1"/>
    <s v="Debit Card"/>
    <s v="Completed"/>
    <x v="2"/>
    <s v="Completed"/>
    <s v="Marketplace"/>
    <s v="Debit Card"/>
    <x v="1"/>
    <s v="VALID"/>
    <s v="NORMAL"/>
    <s v="Valid"/>
    <n v="3408.74"/>
    <n v="3408.74"/>
  </r>
  <r>
    <s v="ORD50641"/>
    <d v="2025-08-29T00:00:00"/>
    <s v="CUST1224"/>
    <s v="P008"/>
    <x v="4"/>
    <s v="Stationery"/>
    <x v="0"/>
    <x v="0"/>
    <n v="2"/>
    <n v="216.35"/>
    <n v="0.08"/>
    <x v="639"/>
    <x v="2"/>
    <s v="UPI"/>
    <s v="Completed"/>
    <x v="0"/>
    <s v="Completed"/>
    <s v="Store"/>
    <s v="Upi"/>
    <x v="3"/>
    <s v="VALID"/>
    <s v="NORMAL"/>
    <s v="Valid"/>
    <n v="432.7"/>
    <n v="398.084"/>
  </r>
  <r>
    <s v="ORD50642"/>
    <d v="2024-01-18T00:00:00"/>
    <s v="CUST1230"/>
    <s v="P015"/>
    <x v="8"/>
    <s v="Accessories"/>
    <x v="2"/>
    <x v="4"/>
    <n v="2"/>
    <n v="695.47"/>
    <n v="0.08"/>
    <x v="640"/>
    <x v="0"/>
    <s v="Net Banking"/>
    <s v="Completed"/>
    <x v="5"/>
    <s v="Completed"/>
    <s v="Online"/>
    <s v="Net Banking"/>
    <x v="0"/>
    <s v="VALID"/>
    <s v="NORMAL"/>
    <s v="Valid"/>
    <n v="1390.94"/>
    <n v="1279.6648"/>
  </r>
  <r>
    <s v="ORD50643"/>
    <d v="2024-08-19T00:00:00"/>
    <s v="CUST1145"/>
    <s v="P005"/>
    <x v="12"/>
    <s v="Furniture"/>
    <x v="0"/>
    <x v="14"/>
    <n v="4"/>
    <n v="9669.8799999999992"/>
    <n v="0"/>
    <x v="641"/>
    <x v="1"/>
    <s v="Cash on Delivery"/>
    <s v="Completed"/>
    <x v="0"/>
    <s v="Completed"/>
    <s v="Marketplace"/>
    <s v="Cash On Delivery"/>
    <x v="2"/>
    <s v="VALID"/>
    <s v="NORMAL"/>
    <s v="Valid"/>
    <n v="38679.519999999997"/>
    <n v="38679.519999999997"/>
  </r>
  <r>
    <s v="ORD50644"/>
    <d v="2026-03-30T00:00:00"/>
    <s v="CUST1091"/>
    <s v="P003"/>
    <x v="3"/>
    <s v="Electronics"/>
    <x v="0"/>
    <x v="10"/>
    <n v="4"/>
    <n v="1857.43"/>
    <n v="0"/>
    <x v="642"/>
    <x v="2"/>
    <s v="Cash on Delivery"/>
    <s v="Returned"/>
    <x v="6"/>
    <s v="Returned"/>
    <s v="Store"/>
    <s v="Cash On Delivery"/>
    <x v="1"/>
    <s v="VALID"/>
    <s v="NORMAL"/>
    <s v="Valid"/>
    <n v="7429.72"/>
    <n v="7429.72"/>
  </r>
  <r>
    <s v="ORD50645"/>
    <d v="2025-08-17T00:00:00"/>
    <s v="CUST1019"/>
    <s v="P002"/>
    <x v="9"/>
    <s v="Electronics"/>
    <x v="1"/>
    <x v="6"/>
    <n v="1"/>
    <n v="1198.7"/>
    <n v="0.03"/>
    <x v="643"/>
    <x v="0"/>
    <s v="Debit Card"/>
    <s v="Cancelled"/>
    <x v="5"/>
    <s v="Cancelled"/>
    <s v="Online"/>
    <s v="Debit Card"/>
    <x v="1"/>
    <s v="VALID"/>
    <s v="NORMAL"/>
    <s v="Valid"/>
    <n v="1198.7"/>
    <n v="1162.739"/>
  </r>
  <r>
    <s v="ORD50646"/>
    <d v="2025-05-18T00:00:00"/>
    <s v="CUST1242"/>
    <s v="P010"/>
    <x v="14"/>
    <s v="Electronics"/>
    <x v="1"/>
    <x v="6"/>
    <n v="5"/>
    <n v="2206.7399999999998"/>
    <n v="0.03"/>
    <x v="644"/>
    <x v="0"/>
    <s v="Cash on Delivery"/>
    <s v="Cancelled"/>
    <x v="2"/>
    <s v="Cancelled"/>
    <s v="Online"/>
    <s v="Cash On Delivery"/>
    <x v="1"/>
    <s v="VALID"/>
    <s v="NORMAL"/>
    <s v="Valid"/>
    <n v="11033.699999999999"/>
    <n v="10702.688999999998"/>
  </r>
  <r>
    <s v="ORD50647"/>
    <d v="2026-03-27T00:00:00"/>
    <s v="CUST1210"/>
    <s v="P002"/>
    <x v="9"/>
    <s v="Electronics"/>
    <x v="0"/>
    <x v="0"/>
    <n v="2"/>
    <n v="1124.32"/>
    <n v="0"/>
    <x v="645"/>
    <x v="2"/>
    <s v="UPI"/>
    <s v="Cancelled"/>
    <x v="5"/>
    <s v="Cancelled"/>
    <s v="Store"/>
    <s v="Upi"/>
    <x v="1"/>
    <s v="VALID"/>
    <s v="NORMAL"/>
    <s v="Valid"/>
    <n v="2248.64"/>
    <n v="2248.64"/>
  </r>
  <r>
    <s v="ORD50648"/>
    <d v="2025-11-15T00:00:00"/>
    <s v="CUST1194"/>
    <s v="P004"/>
    <x v="6"/>
    <s v="Electronics"/>
    <x v="3"/>
    <x v="11"/>
    <n v="4"/>
    <n v="12397.61"/>
    <n v="0"/>
    <x v="646"/>
    <x v="1"/>
    <s v="Net Banking"/>
    <s v="Completed"/>
    <x v="1"/>
    <s v="Completed"/>
    <s v="Marketplace"/>
    <s v="Net Banking"/>
    <x v="1"/>
    <s v="VALID"/>
    <s v="NORMAL"/>
    <s v="Valid"/>
    <n v="49590.44"/>
    <n v="49590.44"/>
  </r>
  <r>
    <s v="ORD50649"/>
    <d v="2024-03-01T00:00:00"/>
    <s v="CUST1148"/>
    <s v="P007"/>
    <x v="11"/>
    <s v="Stationery"/>
    <x v="2"/>
    <x v="5"/>
    <n v="1"/>
    <n v="427.36"/>
    <n v="0.08"/>
    <x v="647"/>
    <x v="1"/>
    <s v="Credit Card"/>
    <s v="Completed"/>
    <x v="2"/>
    <s v="Completed"/>
    <s v="Marketplace"/>
    <s v="Credit Card"/>
    <x v="3"/>
    <s v="VALID"/>
    <s v="NORMAL"/>
    <s v="Valid"/>
    <n v="427.36"/>
    <n v="393.1712"/>
  </r>
  <r>
    <s v="ORD50650"/>
    <d v="2026-06-09T00:00:00"/>
    <s v="CUST1195"/>
    <s v="P004"/>
    <x v="6"/>
    <s v="Electronics"/>
    <x v="0"/>
    <x v="10"/>
    <n v="3"/>
    <n v="11528.19"/>
    <n v="0.03"/>
    <x v="648"/>
    <x v="2"/>
    <s v="UPI"/>
    <s v="Cancelled"/>
    <x v="2"/>
    <s v="Cancelled"/>
    <s v="Store"/>
    <s v="Upi"/>
    <x v="1"/>
    <s v="VALID"/>
    <s v="NORMAL"/>
    <s v="Valid"/>
    <n v="34584.57"/>
    <n v="33547.032899999998"/>
  </r>
  <r>
    <s v="ORD50651"/>
    <d v="2025-05-31T00:00:00"/>
    <s v="CUST1046"/>
    <s v="P014"/>
    <x v="5"/>
    <s v="Electronics"/>
    <x v="0"/>
    <x v="10"/>
    <n v="4"/>
    <n v="2825.38"/>
    <n v="0.2"/>
    <x v="649"/>
    <x v="0"/>
    <s v="Net Banking"/>
    <s v="Returned"/>
    <x v="0"/>
    <s v="Returned"/>
    <s v="Online"/>
    <s v="Net Banking"/>
    <x v="1"/>
    <s v="VALID"/>
    <s v="NORMAL"/>
    <s v="Valid"/>
    <n v="11301.52"/>
    <n v="9041.2160000000003"/>
  </r>
  <r>
    <s v="ORD50652"/>
    <d v="2024-01-30T00:00:00"/>
    <s v="CUST1146"/>
    <s v="P008"/>
    <x v="4"/>
    <s v="Stationery"/>
    <x v="0"/>
    <x v="0"/>
    <n v="2"/>
    <n v="204.76"/>
    <n v="0.15"/>
    <x v="650"/>
    <x v="2"/>
    <s v="Credit Card"/>
    <s v="Cancelled"/>
    <x v="6"/>
    <s v="Cancelled"/>
    <s v="Store"/>
    <s v="Credit Card"/>
    <x v="3"/>
    <s v="VALID"/>
    <s v="NORMAL"/>
    <s v="Valid"/>
    <n v="409.52"/>
    <n v="348.09199999999998"/>
  </r>
  <r>
    <s v="ORD50653"/>
    <d v="2025-02-24T00:00:00"/>
    <s v="CUST1204"/>
    <s v="P009"/>
    <x v="7"/>
    <s v="Accessories"/>
    <x v="0"/>
    <x v="0"/>
    <n v="4"/>
    <n v="1894.5"/>
    <n v="0.1"/>
    <x v="651"/>
    <x v="2"/>
    <s v="Debit Card"/>
    <s v="Completed"/>
    <x v="7"/>
    <s v="Completed"/>
    <s v="Store"/>
    <s v="Debit Card"/>
    <x v="0"/>
    <s v="VALID"/>
    <s v="NORMAL"/>
    <s v="Valid"/>
    <n v="7578"/>
    <n v="6820.2"/>
  </r>
  <r>
    <s v="ORD50654"/>
    <d v="2025-10-16T00:00:00"/>
    <s v="CUST1254"/>
    <s v="P007"/>
    <x v="11"/>
    <s v="Stationery"/>
    <x v="2"/>
    <x v="5"/>
    <n v="3"/>
    <n v="415.5"/>
    <n v="0.15"/>
    <x v="652"/>
    <x v="2"/>
    <s v="Cash on Delivery"/>
    <s v="Completed"/>
    <x v="1"/>
    <s v="Completed"/>
    <s v="Store"/>
    <s v="Cash On Delivery"/>
    <x v="3"/>
    <s v="VALID"/>
    <s v="NORMAL"/>
    <s v="Valid"/>
    <n v="1246.5"/>
    <n v="1059.5250000000001"/>
  </r>
  <r>
    <s v="ORD50655"/>
    <d v="2024-09-12T00:00:00"/>
    <s v="CUST1138"/>
    <s v="P003"/>
    <x v="3"/>
    <s v="Electronics"/>
    <x v="3"/>
    <x v="8"/>
    <n v="1"/>
    <n v="1899.7"/>
    <n v="0.08"/>
    <x v="653"/>
    <x v="0"/>
    <s v="Cash on Delivery"/>
    <s v="Completed"/>
    <x v="7"/>
    <s v="Completed"/>
    <s v="Online"/>
    <s v="Cash On Delivery"/>
    <x v="1"/>
    <s v="VALID"/>
    <s v="NORMAL"/>
    <s v="Valid"/>
    <n v="1899.7"/>
    <n v="1747.7240000000002"/>
  </r>
  <r>
    <s v="ORD50656"/>
    <d v="2025-02-28T00:00:00"/>
    <s v="CUST1190"/>
    <s v="P008"/>
    <x v="4"/>
    <s v="Stationery"/>
    <x v="1"/>
    <x v="3"/>
    <n v="5"/>
    <n v="236.16"/>
    <n v="0.03"/>
    <x v="654"/>
    <x v="2"/>
    <s v="Credit Card"/>
    <s v="Completed"/>
    <x v="6"/>
    <s v="Completed"/>
    <s v="Store"/>
    <s v="Credit Card"/>
    <x v="3"/>
    <s v="VALID"/>
    <s v="NORMAL"/>
    <s v="Valid"/>
    <n v="1180.8"/>
    <n v="1145.376"/>
  </r>
  <r>
    <s v="ORD50657"/>
    <d v="2026-04-27T00:00:00"/>
    <s v="CUST1110"/>
    <s v="P011"/>
    <x v="1"/>
    <s v="Electronics"/>
    <x v="0"/>
    <x v="14"/>
    <n v="3"/>
    <n v="3361.54"/>
    <n v="0.05"/>
    <x v="655"/>
    <x v="1"/>
    <s v="UPI"/>
    <s v="Cancelled"/>
    <x v="7"/>
    <s v="Cancelled"/>
    <s v="Marketplace"/>
    <s v="Upi"/>
    <x v="1"/>
    <s v="VALID"/>
    <s v="NORMAL"/>
    <s v="Valid"/>
    <n v="10084.619999999999"/>
    <n v="9580.3889999999992"/>
  </r>
  <r>
    <s v="ORD50658"/>
    <d v="2026-06-29T00:00:00"/>
    <s v="CUST1025"/>
    <s v="P008"/>
    <x v="4"/>
    <s v="Stationery"/>
    <x v="2"/>
    <x v="5"/>
    <n v="1"/>
    <n v="232.76"/>
    <n v="0.15"/>
    <x v="656"/>
    <x v="1"/>
    <s v="UPI"/>
    <s v="Completed"/>
    <x v="3"/>
    <s v="Completed"/>
    <s v="Marketplace"/>
    <s v="Upi"/>
    <x v="3"/>
    <s v="VALID"/>
    <s v="NORMAL"/>
    <s v="Valid"/>
    <n v="232.76"/>
    <n v="197.846"/>
  </r>
  <r>
    <s v="ORD50659"/>
    <d v="2026-05-06T00:00:00"/>
    <s v="CUST1183"/>
    <s v="P013"/>
    <x v="2"/>
    <s v="Furniture"/>
    <x v="1"/>
    <x v="3"/>
    <n v="2"/>
    <n v="1473.88"/>
    <n v="0.1"/>
    <x v="657"/>
    <x v="2"/>
    <s v="UPI"/>
    <s v="Completed"/>
    <x v="6"/>
    <s v="Completed"/>
    <s v="Store"/>
    <s v="Upi"/>
    <x v="2"/>
    <s v="VALID"/>
    <s v="NORMAL"/>
    <s v="Valid"/>
    <n v="2947.76"/>
    <n v="2652.9840000000004"/>
  </r>
  <r>
    <s v="ORD50660"/>
    <d v="2024-04-28T00:00:00"/>
    <m/>
    <s v="P001"/>
    <x v="13"/>
    <s v="Electronics"/>
    <x v="1"/>
    <x v="6"/>
    <n v="5"/>
    <n v="69261.850000000006"/>
    <n v="0.03"/>
    <x v="658"/>
    <x v="2"/>
    <m/>
    <s v="Returned"/>
    <x v="7"/>
    <s v="Returned"/>
    <s v="Store"/>
    <s v=""/>
    <x v="1"/>
    <s v="VALID"/>
    <s v="NORMAL"/>
    <s v="Valid"/>
    <n v="346309.25"/>
    <n v="335919.97249999997"/>
  </r>
  <r>
    <s v="ORD50661"/>
    <d v="2024-06-28T00:00:00"/>
    <s v="CUST1020"/>
    <s v="P002"/>
    <x v="9"/>
    <s v="Electronics"/>
    <x v="2"/>
    <x v="12"/>
    <n v="1"/>
    <n v="1217.26"/>
    <n v="0.03"/>
    <x v="659"/>
    <x v="1"/>
    <s v="Debit Card"/>
    <s v="Completed"/>
    <x v="2"/>
    <s v="Completed"/>
    <s v="Marketplace"/>
    <s v="Debit Card"/>
    <x v="1"/>
    <s v="VALID"/>
    <s v="NORMAL"/>
    <s v="Valid"/>
    <n v="1217.26"/>
    <n v="1180.7421999999999"/>
  </r>
  <r>
    <s v="ORD50662"/>
    <d v="2025-02-09T00:00:00"/>
    <s v="CUST1214"/>
    <s v="P003"/>
    <x v="3"/>
    <s v="Electronics"/>
    <x v="0"/>
    <x v="10"/>
    <n v="5"/>
    <n v="1854.16"/>
    <n v="0.08"/>
    <x v="660"/>
    <x v="0"/>
    <s v="Net Banking"/>
    <s v="Completed"/>
    <x v="5"/>
    <s v="Completed"/>
    <s v="Online"/>
    <s v="Net Banking"/>
    <x v="1"/>
    <s v="VALID"/>
    <s v="NORMAL"/>
    <s v="Valid"/>
    <n v="9270.8000000000011"/>
    <n v="8529.1360000000004"/>
  </r>
  <r>
    <s v="ORD50663"/>
    <d v="2024-10-16T00:00:00"/>
    <s v="CUST1033"/>
    <s v="P006"/>
    <x v="10"/>
    <s v="Furniture"/>
    <x v="0"/>
    <x v="0"/>
    <n v="1"/>
    <n v="7261.65"/>
    <n v="0.03"/>
    <x v="661"/>
    <x v="2"/>
    <s v="Net Banking"/>
    <s v="Returned"/>
    <x v="4"/>
    <s v="Returned"/>
    <s v="Store"/>
    <s v="Net Banking"/>
    <x v="2"/>
    <s v="VALID"/>
    <s v="NORMAL"/>
    <s v="Valid"/>
    <n v="7261.65"/>
    <n v="7043.8004999999994"/>
  </r>
  <r>
    <s v="ORD50664"/>
    <d v="2025-07-26T00:00:00"/>
    <s v="CUST1204"/>
    <s v="P001"/>
    <x v="13"/>
    <s v="Electronics"/>
    <x v="0"/>
    <x v="2"/>
    <n v="5"/>
    <n v="62489.33"/>
    <n v="0.15"/>
    <x v="662"/>
    <x v="0"/>
    <s v="UPI"/>
    <s v="Completed"/>
    <x v="7"/>
    <s v="Completed"/>
    <s v="Online"/>
    <s v="Upi"/>
    <x v="1"/>
    <s v="VALID"/>
    <s v="NORMAL"/>
    <s v="Valid"/>
    <n v="312446.65000000002"/>
    <n v="265579.65250000003"/>
  </r>
  <r>
    <s v="ORD50665"/>
    <d v="2025-02-08T00:00:00"/>
    <s v="CUST1222"/>
    <s v="P015"/>
    <x v="8"/>
    <s v="Accessories"/>
    <x v="1"/>
    <x v="16"/>
    <n v="4"/>
    <n v="688.46"/>
    <n v="0"/>
    <x v="663"/>
    <x v="1"/>
    <s v="Cash on Delivery"/>
    <s v="Completed"/>
    <x v="4"/>
    <s v="Completed"/>
    <s v="Marketplace"/>
    <s v="Cash On Delivery"/>
    <x v="0"/>
    <s v="VALID"/>
    <s v="NORMAL"/>
    <s v="Valid"/>
    <n v="2753.84"/>
    <n v="2753.84"/>
  </r>
  <r>
    <s v="ORD50666"/>
    <d v="2025-07-18T00:00:00"/>
    <s v="CUST1084"/>
    <s v="P011"/>
    <x v="1"/>
    <s v="Electronics"/>
    <x v="3"/>
    <x v="11"/>
    <n v="5"/>
    <n v="3226.09"/>
    <n v="0.03"/>
    <x v="664"/>
    <x v="0"/>
    <s v="Net Banking"/>
    <s v="Completed"/>
    <x v="6"/>
    <s v="Completed"/>
    <s v="Online"/>
    <s v="Net Banking"/>
    <x v="1"/>
    <s v="VALID"/>
    <s v="NORMAL"/>
    <s v="Valid"/>
    <n v="16130.45"/>
    <n v="15646.5365"/>
  </r>
  <r>
    <s v="ORD50667"/>
    <d v="2024-07-29T00:00:00"/>
    <s v="CUST1245"/>
    <s v="P014"/>
    <x v="5"/>
    <s v="Electronics"/>
    <x v="1"/>
    <x v="3"/>
    <n v="1"/>
    <n v="2606.29"/>
    <n v="0.1"/>
    <x v="665"/>
    <x v="2"/>
    <s v="UPI"/>
    <s v="Returned"/>
    <x v="0"/>
    <s v="Returned"/>
    <s v="Store"/>
    <s v="Upi"/>
    <x v="1"/>
    <s v="VALID"/>
    <s v="NORMAL"/>
    <s v="Valid"/>
    <n v="2606.29"/>
    <n v="2345.6610000000001"/>
  </r>
  <r>
    <s v="ORD50668"/>
    <d v="2024-03-05T00:00:00"/>
    <s v="CUST1152"/>
    <s v="P004"/>
    <x v="6"/>
    <s v="Electronics"/>
    <x v="3"/>
    <x v="15"/>
    <n v="5"/>
    <n v="12522.54"/>
    <n v="0"/>
    <x v="666"/>
    <x v="1"/>
    <s v="UPI"/>
    <s v="Completed"/>
    <x v="4"/>
    <s v="Completed"/>
    <s v="Marketplace"/>
    <s v="Upi"/>
    <x v="1"/>
    <s v="VALID"/>
    <s v="NORMAL"/>
    <s v="Valid"/>
    <n v="62612.700000000004"/>
    <n v="62612.700000000004"/>
  </r>
  <r>
    <s v="ORD50669"/>
    <d v="2025-09-14T00:00:00"/>
    <s v="CUST1190"/>
    <s v="P009"/>
    <x v="7"/>
    <s v="Accessories"/>
    <x v="3"/>
    <x v="15"/>
    <n v="2"/>
    <n v="1929.49"/>
    <n v="0.08"/>
    <x v="667"/>
    <x v="1"/>
    <m/>
    <s v="Returned"/>
    <x v="0"/>
    <s v="Returned"/>
    <s v="Marketplace"/>
    <s v=""/>
    <x v="0"/>
    <s v="VALID"/>
    <s v="NORMAL"/>
    <s v="Valid"/>
    <n v="3858.98"/>
    <n v="3550.2615999999998"/>
  </r>
  <r>
    <s v="ORD50670"/>
    <d v="2025-04-18T00:00:00"/>
    <s v="CUST1181"/>
    <s v="P007"/>
    <x v="11"/>
    <s v="Stationery"/>
    <x v="1"/>
    <x v="7"/>
    <n v="3"/>
    <n v="418.92"/>
    <n v="0.03"/>
    <x v="668"/>
    <x v="2"/>
    <s v="UPI"/>
    <s v="Completed"/>
    <x v="5"/>
    <s v="Completed"/>
    <s v="Store"/>
    <s v="Upi"/>
    <x v="3"/>
    <s v="VALID"/>
    <s v="NORMAL"/>
    <s v="Valid"/>
    <n v="1256.76"/>
    <n v="1219.0572"/>
  </r>
  <r>
    <s v="ORD50671"/>
    <d v="2024-08-06T00:00:00"/>
    <s v="CUST1082"/>
    <s v="P011"/>
    <x v="1"/>
    <s v="Electronics"/>
    <x v="1"/>
    <x v="7"/>
    <n v="5"/>
    <n v="3192.91"/>
    <n v="0.08"/>
    <x v="669"/>
    <x v="1"/>
    <s v="Net Banking"/>
    <s v="Completed"/>
    <x v="6"/>
    <s v="Completed"/>
    <s v="Marketplace"/>
    <s v="Net Banking"/>
    <x v="1"/>
    <s v="VALID"/>
    <s v="NORMAL"/>
    <s v="Valid"/>
    <n v="15964.55"/>
    <n v="14687.385999999999"/>
  </r>
  <r>
    <s v="ORD50672"/>
    <d v="2025-05-09T00:00:00"/>
    <s v="CUST1156"/>
    <s v="P014"/>
    <x v="5"/>
    <s v="Electronics"/>
    <x v="0"/>
    <x v="0"/>
    <n v="5"/>
    <n v="2909.63"/>
    <n v="0.2"/>
    <x v="670"/>
    <x v="2"/>
    <s v="Debit Card"/>
    <s v="Cancelled"/>
    <x v="7"/>
    <s v="Cancelled"/>
    <s v="Store"/>
    <s v="Debit Card"/>
    <x v="1"/>
    <s v="VALID"/>
    <s v="NORMAL"/>
    <s v="Valid"/>
    <n v="14548.150000000001"/>
    <n v="11638.52"/>
  </r>
  <r>
    <s v="ORD50673"/>
    <d v="2025-02-04T00:00:00"/>
    <s v="CUST1074"/>
    <s v="P003"/>
    <x v="3"/>
    <s v="Electronics"/>
    <x v="0"/>
    <x v="10"/>
    <n v="3"/>
    <n v="1690.22"/>
    <n v="0"/>
    <x v="671"/>
    <x v="2"/>
    <s v="UPI"/>
    <s v="Completed"/>
    <x v="5"/>
    <s v="Completed"/>
    <s v="Store"/>
    <s v="Upi"/>
    <x v="1"/>
    <s v="VALID"/>
    <s v="NORMAL"/>
    <s v="Valid"/>
    <n v="5070.66"/>
    <n v="5070.66"/>
  </r>
  <r>
    <s v="ORD50674"/>
    <d v="2025-06-22T00:00:00"/>
    <s v="CUST1189"/>
    <s v="P004"/>
    <x v="6"/>
    <s v="Electronics"/>
    <x v="3"/>
    <x v="15"/>
    <n v="3"/>
    <n v="11890.48"/>
    <n v="0.15"/>
    <x v="672"/>
    <x v="0"/>
    <s v="UPI"/>
    <s v="Returned"/>
    <x v="7"/>
    <s v="Returned"/>
    <s v="Online"/>
    <s v="Upi"/>
    <x v="1"/>
    <s v="VALID"/>
    <s v="NORMAL"/>
    <s v="Valid"/>
    <n v="35671.440000000002"/>
    <n v="30320.724000000002"/>
  </r>
  <r>
    <s v="ORD50675"/>
    <d v="2025-12-09T00:00:00"/>
    <s v="CUST1123"/>
    <s v="P005"/>
    <x v="12"/>
    <s v="Furniture"/>
    <x v="2"/>
    <x v="12"/>
    <n v="2"/>
    <n v="10019.870000000001"/>
    <n v="0.03"/>
    <x v="673"/>
    <x v="1"/>
    <s v="Debit Card"/>
    <s v="Completed"/>
    <x v="7"/>
    <s v="Completed"/>
    <s v="Marketplace"/>
    <s v="Debit Card"/>
    <x v="2"/>
    <s v="VALID"/>
    <s v="NORMAL"/>
    <s v="Valid"/>
    <n v="20039.740000000002"/>
    <n v="19438.5478"/>
  </r>
  <r>
    <s v="ORD50676"/>
    <d v="2024-05-20T00:00:00"/>
    <s v="CUST1032"/>
    <s v="P013"/>
    <x v="2"/>
    <s v="Furniture"/>
    <x v="0"/>
    <x v="2"/>
    <n v="1"/>
    <n v="1523.46"/>
    <n v="0.1"/>
    <x v="674"/>
    <x v="0"/>
    <s v="Debit Card"/>
    <s v="Completed"/>
    <x v="0"/>
    <s v="Completed"/>
    <s v="Online"/>
    <s v="Debit Card"/>
    <x v="2"/>
    <s v="VALID"/>
    <s v="NORMAL"/>
    <s v="Valid"/>
    <n v="1523.46"/>
    <n v="1371.114"/>
  </r>
  <r>
    <s v="ORD50677"/>
    <d v="2024-02-14T00:00:00"/>
    <s v="CUST1047"/>
    <s v="P006"/>
    <x v="10"/>
    <s v="Furniture"/>
    <x v="0"/>
    <x v="10"/>
    <n v="3"/>
    <n v="7495.51"/>
    <n v="0.1"/>
    <x v="675"/>
    <x v="0"/>
    <s v="Cash on Delivery"/>
    <s v="Cancelled"/>
    <x v="0"/>
    <s v="Cancelled"/>
    <s v="Online"/>
    <s v="Cash On Delivery"/>
    <x v="2"/>
    <s v="VALID"/>
    <s v="NORMAL"/>
    <s v="Valid"/>
    <n v="22486.53"/>
    <n v="20237.877"/>
  </r>
  <r>
    <s v="ORD50678"/>
    <d v="2025-12-28T00:00:00"/>
    <s v="CUST1202"/>
    <s v="P012"/>
    <x v="0"/>
    <s v="Accessories"/>
    <x v="0"/>
    <x v="10"/>
    <n v="3"/>
    <n v="819.15"/>
    <n v="0"/>
    <x v="676"/>
    <x v="1"/>
    <s v="Debit Card"/>
    <s v="Completed"/>
    <x v="5"/>
    <s v="Completed"/>
    <s v="Marketplace"/>
    <s v="Debit Card"/>
    <x v="0"/>
    <s v="VALID"/>
    <s v="NORMAL"/>
    <s v="Valid"/>
    <n v="2457.4499999999998"/>
    <n v="2457.4499999999998"/>
  </r>
  <r>
    <s v="ORD50679"/>
    <d v="2025-03-09T00:00:00"/>
    <s v="CUST1043"/>
    <s v="P006"/>
    <x v="10"/>
    <s v="Furniture"/>
    <x v="2"/>
    <x v="12"/>
    <n v="5"/>
    <n v="7051.72"/>
    <n v="0.15"/>
    <x v="677"/>
    <x v="0"/>
    <s v="Net Banking"/>
    <s v="Cancelled"/>
    <x v="2"/>
    <s v="Cancelled"/>
    <s v="Online"/>
    <s v="Net Banking"/>
    <x v="2"/>
    <s v="VALID"/>
    <s v="NORMAL"/>
    <s v="Valid"/>
    <n v="35258.6"/>
    <n v="29969.809999999998"/>
  </r>
  <r>
    <s v="ORD50680"/>
    <d v="2024-05-17T00:00:00"/>
    <s v="CUST1245"/>
    <s v="P010"/>
    <x v="14"/>
    <s v="Electronics"/>
    <x v="2"/>
    <x v="5"/>
    <n v="5"/>
    <n v="2212.2199999999998"/>
    <n v="0.15"/>
    <x v="678"/>
    <x v="0"/>
    <s v="UPI"/>
    <s v="Cancelled"/>
    <x v="8"/>
    <s v="Cancelled"/>
    <s v="Online"/>
    <s v="Upi"/>
    <x v="1"/>
    <s v="VALID"/>
    <s v="NORMAL"/>
    <s v="Valid"/>
    <n v="11061.099999999999"/>
    <n v="9401.9349999999995"/>
  </r>
  <r>
    <s v="ORD50681"/>
    <d v="2024-09-19T00:00:00"/>
    <s v="CUST1160"/>
    <s v="P005"/>
    <x v="12"/>
    <s v="Furniture"/>
    <x v="0"/>
    <x v="10"/>
    <n v="1"/>
    <n v="9087.2199999999993"/>
    <n v="0.08"/>
    <x v="679"/>
    <x v="2"/>
    <s v="Credit Card"/>
    <s v="Completed"/>
    <x v="7"/>
    <s v="Completed"/>
    <s v="Store"/>
    <s v="Credit Card"/>
    <x v="2"/>
    <s v="VALID"/>
    <s v="NORMAL"/>
    <s v="Valid"/>
    <n v="9087.2199999999993"/>
    <n v="8360.2423999999992"/>
  </r>
  <r>
    <s v="ORD50682"/>
    <d v="2024-06-19T00:00:00"/>
    <s v="CUST1251"/>
    <s v="P009"/>
    <x v="7"/>
    <s v="Accessories"/>
    <x v="3"/>
    <x v="9"/>
    <n v="1"/>
    <n v="1664.59"/>
    <n v="0.03"/>
    <x v="680"/>
    <x v="1"/>
    <s v="Cash on Delivery"/>
    <s v="Cancelled"/>
    <x v="6"/>
    <s v="Cancelled"/>
    <s v="Marketplace"/>
    <s v="Cash On Delivery"/>
    <x v="0"/>
    <s v="VALID"/>
    <s v="NORMAL"/>
    <s v="Valid"/>
    <n v="1664.59"/>
    <n v="1614.6523"/>
  </r>
  <r>
    <s v="ORD50683"/>
    <d v="2024-04-01T00:00:00"/>
    <s v="CUST1148"/>
    <s v="P006"/>
    <x v="10"/>
    <s v="Furniture"/>
    <x v="0"/>
    <x v="10"/>
    <n v="3"/>
    <n v="7578.71"/>
    <n v="0"/>
    <x v="681"/>
    <x v="0"/>
    <s v="Credit Card"/>
    <s v="Completed"/>
    <x v="1"/>
    <s v="Completed"/>
    <s v="Online"/>
    <s v="Credit Card"/>
    <x v="2"/>
    <s v="VALID"/>
    <s v="NORMAL"/>
    <s v="Valid"/>
    <n v="22736.13"/>
    <n v="22736.13"/>
  </r>
  <r>
    <s v="ORD50684"/>
    <d v="2024-10-02T00:00:00"/>
    <s v="CUST1176"/>
    <s v="P007"/>
    <x v="11"/>
    <s v="Stationery"/>
    <x v="3"/>
    <x v="15"/>
    <n v="2"/>
    <n v="477.21"/>
    <n v="0.05"/>
    <x v="682"/>
    <x v="2"/>
    <s v="UPI"/>
    <s v="Returned"/>
    <x v="3"/>
    <s v="Returned"/>
    <s v="Store"/>
    <s v="Upi"/>
    <x v="3"/>
    <s v="VALID"/>
    <s v="NORMAL"/>
    <s v="Valid"/>
    <n v="954.42"/>
    <n v="906.69899999999996"/>
  </r>
  <r>
    <s v="ORD50685"/>
    <d v="2025-09-16T00:00:00"/>
    <s v="CUST1145"/>
    <s v="P006"/>
    <x v="10"/>
    <s v="Furniture"/>
    <x v="2"/>
    <x v="5"/>
    <n v="3"/>
    <n v="6647.34"/>
    <n v="0.03"/>
    <x v="683"/>
    <x v="1"/>
    <s v="Debit Card"/>
    <s v="Returned"/>
    <x v="7"/>
    <s v="Returned"/>
    <s v="Marketplace"/>
    <s v="Debit Card"/>
    <x v="2"/>
    <s v="VALID"/>
    <s v="NORMAL"/>
    <s v="Valid"/>
    <n v="19942.02"/>
    <n v="19343.759399999999"/>
  </r>
  <r>
    <s v="ORD50686"/>
    <d v="2025-08-18T00:00:00"/>
    <s v="CUST1177"/>
    <s v="P014"/>
    <x v="5"/>
    <s v="Electronics"/>
    <x v="0"/>
    <x v="0"/>
    <n v="2"/>
    <n v="2725.75"/>
    <n v="0.08"/>
    <x v="684"/>
    <x v="1"/>
    <s v="Debit Card"/>
    <s v="Completed"/>
    <x v="4"/>
    <s v="Completed"/>
    <s v="Marketplace"/>
    <s v="Debit Card"/>
    <x v="1"/>
    <s v="VALID"/>
    <s v="NORMAL"/>
    <s v="Valid"/>
    <n v="5451.5"/>
    <n v="5015.38"/>
  </r>
  <r>
    <s v="ORD50687"/>
    <d v="2025-10-04T00:00:00"/>
    <s v="CUST1108"/>
    <s v="P013"/>
    <x v="2"/>
    <s v="Furniture"/>
    <x v="0"/>
    <x v="0"/>
    <n v="3"/>
    <n v="1555.76"/>
    <n v="0.1"/>
    <x v="685"/>
    <x v="1"/>
    <s v="Net Banking"/>
    <s v="Completed"/>
    <x v="6"/>
    <s v="Completed"/>
    <s v="Marketplace"/>
    <s v="Net Banking"/>
    <x v="2"/>
    <s v="VALID"/>
    <s v="NORMAL"/>
    <s v="Valid"/>
    <n v="4667.28"/>
    <n v="4200.5519999999997"/>
  </r>
  <r>
    <s v="ORD50688"/>
    <d v="2024-05-17T00:00:00"/>
    <s v="CUST1233"/>
    <s v="P009"/>
    <x v="7"/>
    <s v="Accessories"/>
    <x v="3"/>
    <x v="11"/>
    <n v="2"/>
    <n v="1941.67"/>
    <n v="0.1"/>
    <x v="686"/>
    <x v="0"/>
    <s v="Cash on Delivery"/>
    <s v="Returned"/>
    <x v="1"/>
    <s v="Returned"/>
    <s v="Online"/>
    <s v="Cash On Delivery"/>
    <x v="0"/>
    <s v="VALID"/>
    <s v="NORMAL"/>
    <s v="Valid"/>
    <n v="3883.34"/>
    <n v="3495.0060000000003"/>
  </r>
  <r>
    <s v="ORD50689"/>
    <d v="2024-01-18T00:00:00"/>
    <s v="CUST1129"/>
    <s v="P010"/>
    <x v="14"/>
    <s v="Electronics"/>
    <x v="3"/>
    <x v="9"/>
    <n v="1"/>
    <n v="2254.41"/>
    <n v="0.2"/>
    <x v="687"/>
    <x v="2"/>
    <s v="Cash on Delivery"/>
    <s v="Completed"/>
    <x v="0"/>
    <s v="Completed"/>
    <s v="Store"/>
    <s v="Cash On Delivery"/>
    <x v="1"/>
    <s v="VALID"/>
    <s v="NORMAL"/>
    <s v="Valid"/>
    <n v="2254.41"/>
    <n v="1803.5279999999998"/>
  </r>
  <r>
    <s v="ORD50690"/>
    <d v="2026-01-25T00:00:00"/>
    <m/>
    <s v="P007"/>
    <x v="11"/>
    <s v="Stationery"/>
    <x v="1"/>
    <x v="3"/>
    <n v="3"/>
    <n v="459.79"/>
    <n v="0.08"/>
    <x v="688"/>
    <x v="1"/>
    <s v="Credit Card"/>
    <s v="Completed"/>
    <x v="6"/>
    <s v="Completed"/>
    <s v="Marketplace"/>
    <s v="Credit Card"/>
    <x v="3"/>
    <s v="VALID"/>
    <s v="NORMAL"/>
    <s v="Valid"/>
    <n v="1379.3700000000001"/>
    <n v="1269.0204000000001"/>
  </r>
  <r>
    <s v="ORD50691"/>
    <d v="2025-07-15T00:00:00"/>
    <s v="CUST1030"/>
    <s v="P005"/>
    <x v="12"/>
    <s v="Furniture"/>
    <x v="2"/>
    <x v="4"/>
    <n v="4"/>
    <n v="9178.35"/>
    <n v="0.03"/>
    <x v="689"/>
    <x v="2"/>
    <s v="Cash on Delivery"/>
    <s v="Completed"/>
    <x v="6"/>
    <s v="Completed"/>
    <s v="Store"/>
    <s v="Cash On Delivery"/>
    <x v="2"/>
    <s v="VALID"/>
    <s v="NORMAL"/>
    <s v="Valid"/>
    <n v="36713.4"/>
    <n v="35611.998"/>
  </r>
  <r>
    <s v="ORD50692"/>
    <d v="2026-02-14T00:00:00"/>
    <s v="CUST1005"/>
    <s v="P004"/>
    <x v="6"/>
    <s v="Electronics"/>
    <x v="1"/>
    <x v="1"/>
    <n v="4"/>
    <n v="12042.78"/>
    <n v="0"/>
    <x v="690"/>
    <x v="1"/>
    <s v="Debit Card"/>
    <s v="Completed"/>
    <x v="3"/>
    <s v="Completed"/>
    <s v="Marketplace"/>
    <s v="Debit Card"/>
    <x v="1"/>
    <s v="VALID"/>
    <s v="NORMAL"/>
    <s v="Valid"/>
    <n v="48171.12"/>
    <n v="48171.12"/>
  </r>
  <r>
    <s v="ORD50693"/>
    <d v="2024-07-18T00:00:00"/>
    <s v="CUST1005"/>
    <s v="P013"/>
    <x v="2"/>
    <s v="Furniture"/>
    <x v="3"/>
    <x v="15"/>
    <n v="4"/>
    <n v="1588.49"/>
    <n v="0.08"/>
    <x v="691"/>
    <x v="2"/>
    <s v="Net Banking"/>
    <s v="Completed"/>
    <x v="4"/>
    <s v="Completed"/>
    <s v="Store"/>
    <s v="Net Banking"/>
    <x v="2"/>
    <s v="VALID"/>
    <s v="NORMAL"/>
    <s v="Valid"/>
    <n v="6353.96"/>
    <n v="5845.6432000000004"/>
  </r>
  <r>
    <s v="ORD50694"/>
    <d v="2024-04-29T00:00:00"/>
    <s v="CUST1101"/>
    <s v="P007"/>
    <x v="11"/>
    <s v="Stationery"/>
    <x v="2"/>
    <x v="4"/>
    <n v="4"/>
    <n v="427.52"/>
    <n v="0.05"/>
    <x v="692"/>
    <x v="0"/>
    <s v="Credit Card"/>
    <s v="Cancelled"/>
    <x v="8"/>
    <s v="Cancelled"/>
    <s v="Online"/>
    <s v="Credit Card"/>
    <x v="3"/>
    <s v="VALID"/>
    <s v="NORMAL"/>
    <s v="Valid"/>
    <n v="1710.08"/>
    <n v="1624.576"/>
  </r>
  <r>
    <s v="ORD50695"/>
    <d v="2025-12-10T00:00:00"/>
    <s v="CUST1032"/>
    <s v="P008"/>
    <x v="4"/>
    <s v="Stationery"/>
    <x v="1"/>
    <x v="6"/>
    <n v="5"/>
    <n v="206.42"/>
    <n v="0.2"/>
    <x v="693"/>
    <x v="0"/>
    <s v="Net Banking"/>
    <s v="Completed"/>
    <x v="6"/>
    <s v="Completed"/>
    <s v="Online"/>
    <s v="Net Banking"/>
    <x v="3"/>
    <s v="VALID"/>
    <s v="NORMAL"/>
    <s v="Valid"/>
    <n v="1032.0999999999999"/>
    <n v="825.68"/>
  </r>
  <r>
    <s v="ORD50696"/>
    <d v="2024-09-29T00:00:00"/>
    <s v="CUST1142"/>
    <s v="P010"/>
    <x v="14"/>
    <s v="Electronics"/>
    <x v="1"/>
    <x v="1"/>
    <n v="5"/>
    <n v="2053.84"/>
    <n v="0.03"/>
    <x v="694"/>
    <x v="1"/>
    <s v="Net Banking"/>
    <s v="Returned"/>
    <x v="6"/>
    <s v="Returned"/>
    <s v="Marketplace"/>
    <s v="Net Banking"/>
    <x v="1"/>
    <s v="VALID"/>
    <s v="NORMAL"/>
    <s v="Valid"/>
    <n v="10269.200000000001"/>
    <n v="9961.1239999999998"/>
  </r>
  <r>
    <s v="ORD50697"/>
    <d v="2025-01-09T00:00:00"/>
    <s v="CUST1189"/>
    <s v="P012"/>
    <x v="0"/>
    <s v="Accessories"/>
    <x v="3"/>
    <x v="15"/>
    <n v="3"/>
    <n v="874.67"/>
    <n v="0"/>
    <x v="695"/>
    <x v="0"/>
    <s v="Cash on Delivery"/>
    <s v="Completed"/>
    <x v="0"/>
    <s v="Completed"/>
    <s v="Online"/>
    <s v="Cash On Delivery"/>
    <x v="0"/>
    <s v="VALID"/>
    <s v="NORMAL"/>
    <s v="Valid"/>
    <n v="2624.0099999999998"/>
    <n v="2624.0099999999998"/>
  </r>
  <r>
    <s v="ORD50698"/>
    <d v="2025-12-03T00:00:00"/>
    <s v="CUST1131"/>
    <s v="P010"/>
    <x v="14"/>
    <s v="Electronics"/>
    <x v="2"/>
    <x v="12"/>
    <n v="4"/>
    <n v="2193.48"/>
    <n v="0.1"/>
    <x v="696"/>
    <x v="0"/>
    <s v="UPI"/>
    <s v="Completed"/>
    <x v="0"/>
    <s v="Completed"/>
    <s v="Online"/>
    <s v="Upi"/>
    <x v="1"/>
    <s v="VALID"/>
    <s v="NORMAL"/>
    <s v="Valid"/>
    <n v="8773.92"/>
    <n v="7896.5280000000002"/>
  </r>
  <r>
    <s v="ORD50699"/>
    <d v="2025-01-16T00:00:00"/>
    <s v="CUST1096"/>
    <s v="P013"/>
    <x v="2"/>
    <s v="Furniture"/>
    <x v="0"/>
    <x v="0"/>
    <n v="1"/>
    <n v="1484.46"/>
    <n v="0"/>
    <x v="697"/>
    <x v="0"/>
    <s v="Debit Card"/>
    <s v="Returned"/>
    <x v="0"/>
    <s v="Returned"/>
    <s v="Online"/>
    <s v="Debit Card"/>
    <x v="2"/>
    <s v="VALID"/>
    <s v="NORMAL"/>
    <s v="Valid"/>
    <n v="1484.46"/>
    <n v="1484.46"/>
  </r>
  <r>
    <s v="ORD50700"/>
    <d v="2025-03-26T00:00:00"/>
    <s v="CUST1054"/>
    <s v="P003"/>
    <x v="3"/>
    <s v="Electronics"/>
    <x v="2"/>
    <x v="13"/>
    <n v="3"/>
    <n v="1938.24"/>
    <n v="0.03"/>
    <x v="698"/>
    <x v="0"/>
    <s v="Net Banking"/>
    <s v="Completed"/>
    <x v="1"/>
    <s v="Completed"/>
    <s v="Online"/>
    <s v="Net Banking"/>
    <x v="1"/>
    <s v="VALID"/>
    <s v="NORMAL"/>
    <s v="Valid"/>
    <n v="5814.72"/>
    <n v="5640.2784000000001"/>
  </r>
  <r>
    <s v="ORD50701"/>
    <d v="2024-07-18T00:00:00"/>
    <s v="CUST1001"/>
    <s v="P002"/>
    <x v="9"/>
    <s v="Electronics"/>
    <x v="2"/>
    <x v="13"/>
    <n v="4"/>
    <n v="1233.74"/>
    <n v="0.03"/>
    <x v="699"/>
    <x v="0"/>
    <s v="UPI"/>
    <s v="Cancelled"/>
    <x v="6"/>
    <s v="Cancelled"/>
    <s v="Online"/>
    <s v="Upi"/>
    <x v="1"/>
    <s v="VALID"/>
    <s v="NORMAL"/>
    <s v="Valid"/>
    <n v="4934.96"/>
    <n v="4786.9112000000005"/>
  </r>
  <r>
    <s v="ORD50702"/>
    <d v="2025-12-03T00:00:00"/>
    <s v="CUST1169"/>
    <s v="P008"/>
    <x v="4"/>
    <s v="Stationery"/>
    <x v="0"/>
    <x v="2"/>
    <n v="2"/>
    <n v="227.17"/>
    <n v="0"/>
    <x v="700"/>
    <x v="1"/>
    <s v="Credit Card"/>
    <s v="Completed"/>
    <x v="1"/>
    <s v="Completed"/>
    <s v="Marketplace"/>
    <s v="Credit Card"/>
    <x v="3"/>
    <s v="VALID"/>
    <s v="NORMAL"/>
    <s v="Valid"/>
    <n v="454.34"/>
    <n v="454.34"/>
  </r>
  <r>
    <s v="ORD50703"/>
    <d v="2026-03-10T00:00:00"/>
    <s v="CUST1172"/>
    <s v="P013"/>
    <x v="2"/>
    <s v="Furniture"/>
    <x v="3"/>
    <x v="11"/>
    <n v="1"/>
    <n v="1665.29"/>
    <n v="0.08"/>
    <x v="701"/>
    <x v="0"/>
    <s v="Net Banking"/>
    <s v="Completed"/>
    <x v="5"/>
    <s v="Completed"/>
    <s v="Online"/>
    <s v="Net Banking"/>
    <x v="2"/>
    <s v="VALID"/>
    <s v="NORMAL"/>
    <s v="Valid"/>
    <n v="1665.29"/>
    <n v="1532.0668000000001"/>
  </r>
  <r>
    <s v="ORD50704"/>
    <d v="2025-06-09T00:00:00"/>
    <s v="CUST1184"/>
    <s v="P008"/>
    <x v="4"/>
    <s v="Stationery"/>
    <x v="2"/>
    <x v="13"/>
    <n v="1"/>
    <n v="208.13"/>
    <n v="0.2"/>
    <x v="702"/>
    <x v="2"/>
    <s v="Cash on Delivery"/>
    <s v="Returned"/>
    <x v="2"/>
    <s v="Returned"/>
    <s v="Store"/>
    <s v="Cash On Delivery"/>
    <x v="3"/>
    <s v="VALID"/>
    <s v="NORMAL"/>
    <s v="Valid"/>
    <n v="208.13"/>
    <n v="166.50399999999999"/>
  </r>
  <r>
    <s v="ORD50705"/>
    <d v="2024-10-07T00:00:00"/>
    <s v="CUST1128"/>
    <s v="P013"/>
    <x v="2"/>
    <s v="Furniture"/>
    <x v="1"/>
    <x v="7"/>
    <n v="1"/>
    <n v="1491.28"/>
    <n v="0.15"/>
    <x v="703"/>
    <x v="1"/>
    <s v="Net Banking"/>
    <s v="Cancelled"/>
    <x v="5"/>
    <s v="Cancelled"/>
    <s v="Marketplace"/>
    <s v="Net Banking"/>
    <x v="2"/>
    <s v="VALID"/>
    <s v="NORMAL"/>
    <s v="Valid"/>
    <n v="1491.28"/>
    <n v="1267.588"/>
  </r>
  <r>
    <s v="ORD50706"/>
    <d v="2026-02-14T00:00:00"/>
    <s v="CUST1019"/>
    <s v="P012"/>
    <x v="0"/>
    <s v="Accessories"/>
    <x v="1"/>
    <x v="7"/>
    <n v="4"/>
    <n v="886.59"/>
    <n v="0.1"/>
    <x v="704"/>
    <x v="2"/>
    <s v="Cash on Delivery"/>
    <s v="Completed"/>
    <x v="0"/>
    <s v="Completed"/>
    <s v="Store"/>
    <s v="Cash On Delivery"/>
    <x v="0"/>
    <s v="VALID"/>
    <s v="NORMAL"/>
    <s v="Valid"/>
    <n v="3546.36"/>
    <n v="3191.7240000000002"/>
  </r>
  <r>
    <s v="ORD50707"/>
    <d v="2024-06-17T00:00:00"/>
    <s v="CUST1130"/>
    <s v="P014"/>
    <x v="5"/>
    <s v="Electronics"/>
    <x v="1"/>
    <x v="6"/>
    <n v="2"/>
    <n v="2902.96"/>
    <n v="0.2"/>
    <x v="705"/>
    <x v="0"/>
    <s v="Debit Card"/>
    <s v="Completed"/>
    <x v="2"/>
    <s v="Completed"/>
    <s v="Online"/>
    <s v="Debit Card"/>
    <x v="1"/>
    <s v="VALID"/>
    <s v="NORMAL"/>
    <s v="Valid"/>
    <n v="5805.92"/>
    <n v="4644.7359999999999"/>
  </r>
  <r>
    <s v="ORD50708"/>
    <d v="2026-06-10T00:00:00"/>
    <s v="CUST1004"/>
    <s v="P014"/>
    <x v="5"/>
    <s v="Electronics"/>
    <x v="2"/>
    <x v="13"/>
    <m/>
    <n v="2724.5"/>
    <n v="0.03"/>
    <x v="706"/>
    <x v="2"/>
    <s v="Net Banking"/>
    <s v="Completed"/>
    <x v="5"/>
    <s v="Completed"/>
    <s v="Store"/>
    <s v="Net Banking"/>
    <x v="1"/>
    <s v="INVALID"/>
    <s v="NORMAL"/>
    <s v="Valid"/>
    <n v="0"/>
    <n v="0"/>
  </r>
  <r>
    <s v="ORD50709"/>
    <d v="2025-08-09T00:00:00"/>
    <s v="CUST1182"/>
    <s v="P015"/>
    <x v="8"/>
    <s v="Accessories"/>
    <x v="2"/>
    <x v="4"/>
    <n v="4"/>
    <n v="680.04"/>
    <n v="0.05"/>
    <x v="707"/>
    <x v="1"/>
    <s v="Cash on Delivery"/>
    <s v="Completed"/>
    <x v="8"/>
    <s v="Completed"/>
    <s v="Marketplace"/>
    <s v="Cash On Delivery"/>
    <x v="0"/>
    <s v="VALID"/>
    <s v="NORMAL"/>
    <s v="Valid"/>
    <n v="2720.16"/>
    <n v="2584.152"/>
  </r>
  <r>
    <s v="ORD50710"/>
    <d v="2024-04-07T00:00:00"/>
    <s v="CUST1020"/>
    <s v="P002"/>
    <x v="9"/>
    <s v="Electronics"/>
    <x v="1"/>
    <x v="7"/>
    <n v="1"/>
    <n v="1162.3"/>
    <n v="0.2"/>
    <x v="708"/>
    <x v="1"/>
    <s v="Debit Card"/>
    <s v="Cancelled"/>
    <x v="1"/>
    <s v="Cancelled"/>
    <s v="Marketplace"/>
    <s v="Debit Card"/>
    <x v="1"/>
    <s v="VALID"/>
    <s v="NORMAL"/>
    <s v="Valid"/>
    <n v="1162.3"/>
    <n v="929.83999999999992"/>
  </r>
  <r>
    <s v="ORD50711"/>
    <d v="2025-05-18T00:00:00"/>
    <s v="CUST1143"/>
    <s v="P005"/>
    <x v="12"/>
    <s v="Furniture"/>
    <x v="0"/>
    <x v="14"/>
    <n v="1"/>
    <n v="9418.83"/>
    <n v="0.08"/>
    <x v="709"/>
    <x v="2"/>
    <s v="Credit Card"/>
    <s v="Completed"/>
    <x v="0"/>
    <s v="Completed"/>
    <s v="Store"/>
    <s v="Credit Card"/>
    <x v="2"/>
    <s v="VALID"/>
    <s v="NORMAL"/>
    <s v="Valid"/>
    <n v="9418.83"/>
    <n v="8665.3235999999997"/>
  </r>
  <r>
    <s v="ORD50712"/>
    <d v="2026-05-06T00:00:00"/>
    <s v="CUST1165"/>
    <s v="P012"/>
    <x v="0"/>
    <s v="Accessories"/>
    <x v="0"/>
    <x v="14"/>
    <n v="5"/>
    <n v="796.86"/>
    <n v="0.2"/>
    <x v="710"/>
    <x v="0"/>
    <s v="Cash on Delivery"/>
    <s v="Returned"/>
    <x v="1"/>
    <s v="Returned"/>
    <s v="Online"/>
    <s v="Cash On Delivery"/>
    <x v="0"/>
    <s v="VALID"/>
    <s v="NORMAL"/>
    <s v="Valid"/>
    <n v="3984.3"/>
    <n v="3187.44"/>
  </r>
  <r>
    <s v="ORD50713"/>
    <d v="2025-03-10T00:00:00"/>
    <s v="CUST1071"/>
    <s v="P003"/>
    <x v="3"/>
    <s v="Electronics"/>
    <x v="3"/>
    <x v="8"/>
    <n v="2"/>
    <n v="1784.79"/>
    <n v="0.05"/>
    <x v="711"/>
    <x v="0"/>
    <s v="Debit Card"/>
    <s v="Completed"/>
    <x v="0"/>
    <s v="Completed"/>
    <s v="Online"/>
    <s v="Debit Card"/>
    <x v="1"/>
    <s v="VALID"/>
    <s v="NORMAL"/>
    <s v="Valid"/>
    <n v="3569.58"/>
    <n v="3391.1010000000001"/>
  </r>
  <r>
    <s v="ORD50714"/>
    <d v="2025-08-14T00:00:00"/>
    <s v="CUST1045"/>
    <s v="P015"/>
    <x v="8"/>
    <s v="Accessories"/>
    <x v="3"/>
    <x v="11"/>
    <n v="5"/>
    <n v="721.25"/>
    <n v="0.05"/>
    <x v="712"/>
    <x v="1"/>
    <s v="Credit Card"/>
    <s v="Completed"/>
    <x v="2"/>
    <s v="Completed"/>
    <s v="Marketplace"/>
    <s v="Credit Card"/>
    <x v="0"/>
    <s v="VALID"/>
    <s v="NORMAL"/>
    <s v="Valid"/>
    <n v="3606.25"/>
    <n v="3425.9375"/>
  </r>
  <r>
    <s v="ORD50715"/>
    <d v="2024-04-23T00:00:00"/>
    <s v="CUST1011"/>
    <s v="P001"/>
    <x v="13"/>
    <s v="Electronics"/>
    <x v="3"/>
    <x v="8"/>
    <n v="3"/>
    <n v="62638.57"/>
    <n v="0.08"/>
    <x v="713"/>
    <x v="1"/>
    <s v="Net Banking"/>
    <s v="Returned"/>
    <x v="2"/>
    <s v="Returned"/>
    <s v="Marketplace"/>
    <s v="Net Banking"/>
    <x v="1"/>
    <s v="VALID"/>
    <s v="NORMAL"/>
    <s v="Valid"/>
    <n v="187915.71"/>
    <n v="172882.45319999999"/>
  </r>
  <r>
    <s v="ORD50716"/>
    <d v="2024-07-15T00:00:00"/>
    <s v="CUST1144"/>
    <s v="P012"/>
    <x v="0"/>
    <s v="Accessories"/>
    <x v="2"/>
    <x v="4"/>
    <n v="5"/>
    <n v="896.84"/>
    <n v="0.08"/>
    <x v="714"/>
    <x v="2"/>
    <s v="UPI"/>
    <s v="Cancelled"/>
    <x v="4"/>
    <s v="Cancelled"/>
    <s v="Store"/>
    <s v="Upi"/>
    <x v="0"/>
    <s v="VALID"/>
    <s v="NORMAL"/>
    <s v="Valid"/>
    <n v="4484.2"/>
    <n v="4125.4639999999999"/>
  </r>
  <r>
    <s v="ORD50717"/>
    <d v="2025-08-27T00:00:00"/>
    <s v="CUST1230"/>
    <s v="P007"/>
    <x v="11"/>
    <s v="Stationery"/>
    <x v="1"/>
    <x v="3"/>
    <n v="5"/>
    <n v="421.73"/>
    <n v="0.05"/>
    <x v="715"/>
    <x v="2"/>
    <s v="Debit Card"/>
    <s v="Completed"/>
    <x v="1"/>
    <s v="Completed"/>
    <s v="Store"/>
    <s v="Debit Card"/>
    <x v="3"/>
    <s v="VALID"/>
    <s v="NORMAL"/>
    <s v="Valid"/>
    <n v="2108.65"/>
    <n v="2003.2175000000002"/>
  </r>
  <r>
    <s v="ORD50718"/>
    <d v="2025-09-17T00:00:00"/>
    <s v="CUST1114"/>
    <s v="P013"/>
    <x v="2"/>
    <s v="Furniture"/>
    <x v="1"/>
    <x v="7"/>
    <n v="3"/>
    <n v="1493.27"/>
    <n v="0.08"/>
    <x v="716"/>
    <x v="0"/>
    <s v="Debit Card"/>
    <s v="Completed"/>
    <x v="6"/>
    <s v="Completed"/>
    <s v="Online"/>
    <s v="Debit Card"/>
    <x v="2"/>
    <s v="VALID"/>
    <s v="NORMAL"/>
    <s v="Valid"/>
    <n v="4479.8099999999995"/>
    <n v="4121.4251999999997"/>
  </r>
  <r>
    <s v="ORD50719"/>
    <d v="2026-05-05T00:00:00"/>
    <s v="CUST1072"/>
    <s v="P006"/>
    <x v="10"/>
    <s v="Furniture"/>
    <x v="2"/>
    <x v="13"/>
    <n v="5"/>
    <n v="6805.46"/>
    <n v="0.1"/>
    <x v="717"/>
    <x v="0"/>
    <s v="Cash on Delivery"/>
    <s v="Completed"/>
    <x v="6"/>
    <s v="Completed"/>
    <s v="Online"/>
    <s v="Cash On Delivery"/>
    <x v="2"/>
    <s v="VALID"/>
    <s v="NORMAL"/>
    <s v="Valid"/>
    <n v="34027.300000000003"/>
    <n v="30624.570000000003"/>
  </r>
  <r>
    <s v="ORD50720"/>
    <d v="2024-09-13T00:00:00"/>
    <s v="CUST1107"/>
    <s v="P001"/>
    <x v="13"/>
    <s v="Electronics"/>
    <x v="0"/>
    <x v="0"/>
    <n v="4"/>
    <n v="60958.2"/>
    <n v="0"/>
    <x v="718"/>
    <x v="1"/>
    <s v="UPI"/>
    <s v="Cancelled"/>
    <x v="6"/>
    <s v="Cancelled"/>
    <s v="Marketplace"/>
    <s v="Upi"/>
    <x v="1"/>
    <s v="VALID"/>
    <s v="NORMAL"/>
    <s v="Valid"/>
    <n v="243832.8"/>
    <n v="243832.8"/>
  </r>
  <r>
    <s v="ORD50721"/>
    <d v="2025-10-15T00:00:00"/>
    <s v="CUST1198"/>
    <s v="P015"/>
    <x v="8"/>
    <s v="Accessories"/>
    <x v="1"/>
    <x v="3"/>
    <n v="1"/>
    <n v="726.56"/>
    <n v="0.05"/>
    <x v="719"/>
    <x v="1"/>
    <s v="Credit Card"/>
    <s v="Completed"/>
    <x v="4"/>
    <s v="Completed"/>
    <s v="Marketplace"/>
    <s v="Credit Card"/>
    <x v="0"/>
    <s v="VALID"/>
    <s v="NORMAL"/>
    <s v="Valid"/>
    <n v="726.56"/>
    <n v="690.23199999999997"/>
  </r>
  <r>
    <s v="ORD50722"/>
    <d v="2024-09-17T00:00:00"/>
    <s v="CUST1002"/>
    <s v="P005"/>
    <x v="12"/>
    <s v="Furniture"/>
    <x v="2"/>
    <x v="13"/>
    <n v="3"/>
    <n v="9847.4599999999991"/>
    <n v="0.15"/>
    <x v="720"/>
    <x v="1"/>
    <s v="Credit Card"/>
    <s v="Completed"/>
    <x v="0"/>
    <s v="Completed"/>
    <s v="Marketplace"/>
    <s v="Credit Card"/>
    <x v="2"/>
    <s v="VALID"/>
    <s v="NORMAL"/>
    <s v="Valid"/>
    <n v="29542.379999999997"/>
    <n v="25111.022999999997"/>
  </r>
  <r>
    <s v="ORD50723"/>
    <d v="2025-12-25T00:00:00"/>
    <s v="CUST1174"/>
    <s v="P013"/>
    <x v="2"/>
    <s v="Furniture"/>
    <x v="2"/>
    <x v="5"/>
    <n v="2"/>
    <n v="1574.45"/>
    <m/>
    <x v="721"/>
    <x v="2"/>
    <s v="Credit Card"/>
    <s v="Completed"/>
    <x v="5"/>
    <s v="Completed"/>
    <s v="Store"/>
    <s v="Credit Card"/>
    <x v="2"/>
    <s v="VALID"/>
    <s v="NORMAL"/>
    <s v="Valid"/>
    <n v="3148.9"/>
    <n v="3148.9"/>
  </r>
  <r>
    <s v="ORD50724"/>
    <d v="2025-12-08T00:00:00"/>
    <s v="CUST1229"/>
    <s v="P008"/>
    <x v="4"/>
    <s v="Stationery"/>
    <x v="1"/>
    <x v="1"/>
    <n v="5"/>
    <n v="214.45"/>
    <n v="0.08"/>
    <x v="722"/>
    <x v="0"/>
    <s v="UPI"/>
    <s v="Returned"/>
    <x v="1"/>
    <s v="Returned"/>
    <s v="Online"/>
    <s v="Upi"/>
    <x v="3"/>
    <s v="VALID"/>
    <s v="NORMAL"/>
    <s v="Valid"/>
    <n v="1072.25"/>
    <n v="986.47"/>
  </r>
  <r>
    <s v="ORD50725"/>
    <d v="2026-01-11T00:00:00"/>
    <s v="CUST1044"/>
    <s v="P002"/>
    <x v="9"/>
    <s v="Electronics"/>
    <x v="0"/>
    <x v="10"/>
    <n v="3"/>
    <n v="1170.51"/>
    <n v="0.08"/>
    <x v="723"/>
    <x v="1"/>
    <s v="Debit Card"/>
    <s v="Completed"/>
    <x v="1"/>
    <s v="Completed"/>
    <s v="Marketplace"/>
    <s v="Debit Card"/>
    <x v="1"/>
    <s v="VALID"/>
    <s v="NORMAL"/>
    <s v="Valid"/>
    <n v="3511.5299999999997"/>
    <n v="3230.6075999999998"/>
  </r>
  <r>
    <s v="ORD50726"/>
    <d v="2025-07-12T00:00:00"/>
    <s v="CUST1222"/>
    <s v="P007"/>
    <x v="11"/>
    <s v="Stationery"/>
    <x v="1"/>
    <x v="1"/>
    <n v="3"/>
    <n v="427.95"/>
    <n v="0.08"/>
    <x v="724"/>
    <x v="2"/>
    <s v="Debit Card"/>
    <s v="Completed"/>
    <x v="7"/>
    <s v="Completed"/>
    <s v="Store"/>
    <s v="Debit Card"/>
    <x v="3"/>
    <s v="VALID"/>
    <s v="NORMAL"/>
    <s v="Valid"/>
    <n v="1283.8499999999999"/>
    <n v="1181.1419999999998"/>
  </r>
  <r>
    <s v="ORD50727"/>
    <d v="2024-11-11T00:00:00"/>
    <s v="CUST1142"/>
    <s v="P003"/>
    <x v="3"/>
    <s v="Electronics"/>
    <x v="2"/>
    <x v="4"/>
    <n v="3"/>
    <n v="1732.99"/>
    <n v="0.03"/>
    <x v="725"/>
    <x v="2"/>
    <s v="Net Banking"/>
    <s v="Completed"/>
    <x v="6"/>
    <s v="Completed"/>
    <s v="Store"/>
    <s v="Net Banking"/>
    <x v="1"/>
    <s v="VALID"/>
    <s v="NORMAL"/>
    <s v="Valid"/>
    <n v="5198.97"/>
    <n v="5043.0009"/>
  </r>
  <r>
    <s v="ORD50728"/>
    <d v="2024-11-02T00:00:00"/>
    <s v="CUST1202"/>
    <s v="P011"/>
    <x v="1"/>
    <s v="Electronics"/>
    <x v="1"/>
    <x v="1"/>
    <n v="2"/>
    <n v="3253.85"/>
    <n v="0.03"/>
    <x v="726"/>
    <x v="0"/>
    <s v="Credit Card"/>
    <s v="Completed"/>
    <x v="5"/>
    <s v="Completed"/>
    <s v="Online"/>
    <s v="Credit Card"/>
    <x v="1"/>
    <s v="VALID"/>
    <s v="NORMAL"/>
    <s v="Valid"/>
    <n v="6507.7"/>
    <n v="6312.4690000000001"/>
  </r>
  <r>
    <s v="ORD50729"/>
    <d v="2024-04-23T00:00:00"/>
    <s v="CUST1237"/>
    <s v="P006"/>
    <x v="10"/>
    <s v="Furniture"/>
    <x v="0"/>
    <x v="2"/>
    <n v="2"/>
    <n v="7483.33"/>
    <n v="0.2"/>
    <x v="727"/>
    <x v="1"/>
    <s v="UPI"/>
    <s v="Completed"/>
    <x v="1"/>
    <s v="Completed"/>
    <s v="Marketplace"/>
    <s v="Upi"/>
    <x v="2"/>
    <s v="VALID"/>
    <s v="NORMAL"/>
    <s v="Valid"/>
    <n v="14966.66"/>
    <n v="11973.328"/>
  </r>
  <r>
    <s v="ORD50730"/>
    <d v="2024-04-29T00:00:00"/>
    <s v="CUST1119"/>
    <s v="P005"/>
    <x v="12"/>
    <s v="Furniture"/>
    <x v="0"/>
    <x v="2"/>
    <n v="3"/>
    <n v="9082.9699999999993"/>
    <n v="0.03"/>
    <x v="728"/>
    <x v="2"/>
    <s v="Credit Card"/>
    <s v="Completed"/>
    <x v="4"/>
    <s v="Completed"/>
    <s v="Store"/>
    <s v="Credit Card"/>
    <x v="2"/>
    <s v="VALID"/>
    <s v="NORMAL"/>
    <s v="Valid"/>
    <n v="27248.909999999996"/>
    <n v="26431.442699999996"/>
  </r>
  <r>
    <s v="ORD50731"/>
    <d v="2024-07-24T00:00:00"/>
    <s v="CUST1161"/>
    <s v="P001"/>
    <x v="13"/>
    <s v="Electronics"/>
    <x v="0"/>
    <x v="2"/>
    <n v="3"/>
    <n v="68836.41"/>
    <n v="0.1"/>
    <x v="729"/>
    <x v="0"/>
    <s v="Cash on Delivery"/>
    <s v="Completed"/>
    <x v="2"/>
    <s v="Completed"/>
    <s v="Online"/>
    <s v="Cash On Delivery"/>
    <x v="1"/>
    <s v="VALID"/>
    <s v="NORMAL"/>
    <s v="Valid"/>
    <n v="206509.23"/>
    <n v="185858.307"/>
  </r>
  <r>
    <s v="ORD50732"/>
    <d v="2025-04-28T00:00:00"/>
    <s v="CUST1056"/>
    <s v="P001"/>
    <x v="13"/>
    <s v="Electronics"/>
    <x v="2"/>
    <x v="12"/>
    <n v="1"/>
    <n v="69410.899999999994"/>
    <n v="0.08"/>
    <x v="730"/>
    <x v="2"/>
    <s v="Debit Card"/>
    <s v="Completed"/>
    <x v="5"/>
    <s v="Completed"/>
    <s v="Store"/>
    <s v="Debit Card"/>
    <x v="1"/>
    <s v="VALID"/>
    <s v="NORMAL"/>
    <s v="Valid"/>
    <n v="69410.899999999994"/>
    <n v="63858.027999999991"/>
  </r>
  <r>
    <s v="ORD50733"/>
    <d v="2025-01-04T00:00:00"/>
    <s v="CUST1131"/>
    <s v="P001"/>
    <x v="13"/>
    <s v="Electronics"/>
    <x v="1"/>
    <x v="1"/>
    <n v="5"/>
    <n v="65039.07"/>
    <n v="0.05"/>
    <x v="731"/>
    <x v="1"/>
    <s v="Cash on Delivery"/>
    <s v="Completed"/>
    <x v="2"/>
    <s v="Completed"/>
    <s v="Marketplace"/>
    <s v="Cash On Delivery"/>
    <x v="1"/>
    <s v="VALID"/>
    <s v="NORMAL"/>
    <s v="Valid"/>
    <n v="325195.34999999998"/>
    <n v="308935.58249999996"/>
  </r>
  <r>
    <s v="ORD50734"/>
    <d v="2025-02-03T00:00:00"/>
    <s v="CUST1192"/>
    <s v="P011"/>
    <x v="1"/>
    <s v="Electronics"/>
    <x v="2"/>
    <x v="5"/>
    <n v="3"/>
    <n v="3235.66"/>
    <n v="0.1"/>
    <x v="732"/>
    <x v="2"/>
    <s v="Net Banking"/>
    <s v="Completed"/>
    <x v="0"/>
    <s v="Completed"/>
    <s v="Store"/>
    <s v="Net Banking"/>
    <x v="1"/>
    <s v="VALID"/>
    <s v="NORMAL"/>
    <s v="Valid"/>
    <n v="9706.98"/>
    <n v="8736.2819999999992"/>
  </r>
  <r>
    <s v="ORD50735"/>
    <d v="2024-08-24T00:00:00"/>
    <s v="CUST1117"/>
    <s v="P006"/>
    <x v="10"/>
    <s v="Furniture"/>
    <x v="0"/>
    <x v="2"/>
    <n v="1"/>
    <n v="6630.98"/>
    <n v="0"/>
    <x v="733"/>
    <x v="0"/>
    <s v="Debit Card"/>
    <s v="Completed"/>
    <x v="3"/>
    <s v="Completed"/>
    <s v="Online"/>
    <s v="Debit Card"/>
    <x v="2"/>
    <s v="VALID"/>
    <s v="NORMAL"/>
    <s v="Valid"/>
    <n v="6630.98"/>
    <n v="6630.98"/>
  </r>
  <r>
    <s v="ORD50736"/>
    <d v="2024-03-15T00:00:00"/>
    <s v="CUST1170"/>
    <s v="P012"/>
    <x v="0"/>
    <s v="Accessories"/>
    <x v="2"/>
    <x v="4"/>
    <n v="4"/>
    <n v="823.97"/>
    <n v="0.1"/>
    <x v="734"/>
    <x v="1"/>
    <s v="Cash on Delivery"/>
    <s v="Completed"/>
    <x v="7"/>
    <s v="Completed"/>
    <s v="Marketplace"/>
    <s v="Cash On Delivery"/>
    <x v="0"/>
    <s v="VALID"/>
    <s v="NORMAL"/>
    <s v="Valid"/>
    <n v="3295.88"/>
    <n v="2966.2919999999999"/>
  </r>
  <r>
    <s v="ORD50737"/>
    <d v="2024-12-28T00:00:00"/>
    <s v="CUST1083"/>
    <s v="P015"/>
    <x v="8"/>
    <s v="Accessories"/>
    <x v="1"/>
    <x v="1"/>
    <n v="5"/>
    <n v="727.95"/>
    <n v="0.03"/>
    <x v="735"/>
    <x v="0"/>
    <s v="UPI"/>
    <s v="Cancelled"/>
    <x v="3"/>
    <s v="Cancelled"/>
    <s v="Online"/>
    <s v="Upi"/>
    <x v="0"/>
    <s v="VALID"/>
    <s v="NORMAL"/>
    <s v="Valid"/>
    <n v="3639.75"/>
    <n v="3530.5574999999999"/>
  </r>
  <r>
    <s v="ORD50738"/>
    <d v="2025-03-23T00:00:00"/>
    <s v="CUST1131"/>
    <s v="P013"/>
    <x v="2"/>
    <s v="Furniture"/>
    <x v="3"/>
    <x v="9"/>
    <n v="4"/>
    <n v="1716.58"/>
    <n v="0.03"/>
    <x v="736"/>
    <x v="0"/>
    <s v="UPI"/>
    <s v="Returned"/>
    <x v="2"/>
    <s v="Returned"/>
    <s v="Online"/>
    <s v="Upi"/>
    <x v="2"/>
    <s v="VALID"/>
    <s v="NORMAL"/>
    <s v="Valid"/>
    <n v="6866.32"/>
    <n v="6660.3303999999998"/>
  </r>
  <r>
    <s v="ORD50739"/>
    <d v="2025-02-11T00:00:00"/>
    <s v="CUST1198"/>
    <s v="P008"/>
    <x v="4"/>
    <s v="Stationery"/>
    <x v="0"/>
    <x v="0"/>
    <n v="5"/>
    <n v="217.78"/>
    <n v="0.08"/>
    <x v="737"/>
    <x v="0"/>
    <s v="Debit Card"/>
    <s v="Completed"/>
    <x v="1"/>
    <s v="Completed"/>
    <s v="Online"/>
    <s v="Debit Card"/>
    <x v="3"/>
    <s v="VALID"/>
    <s v="NORMAL"/>
    <s v="Valid"/>
    <n v="1088.9000000000001"/>
    <n v="1001.7880000000001"/>
  </r>
  <r>
    <s v="ORD50740"/>
    <d v="2025-02-25T00:00:00"/>
    <s v="CUST1190"/>
    <s v="P008"/>
    <x v="4"/>
    <s v="Stationery"/>
    <x v="1"/>
    <x v="7"/>
    <n v="5"/>
    <n v="216.78"/>
    <n v="0.15"/>
    <x v="738"/>
    <x v="2"/>
    <s v="Debit Card"/>
    <s v="Completed"/>
    <x v="7"/>
    <s v="Completed"/>
    <s v="Store"/>
    <s v="Debit Card"/>
    <x v="3"/>
    <s v="VALID"/>
    <s v="NORMAL"/>
    <s v="Valid"/>
    <n v="1083.9000000000001"/>
    <n v="921.31500000000005"/>
  </r>
  <r>
    <s v="ORD50741"/>
    <d v="2024-06-12T00:00:00"/>
    <s v="CUST1133"/>
    <s v="P008"/>
    <x v="4"/>
    <s v="Stationery"/>
    <x v="3"/>
    <x v="8"/>
    <n v="4"/>
    <n v="235.51"/>
    <n v="0.2"/>
    <x v="739"/>
    <x v="2"/>
    <s v="UPI"/>
    <s v="Completed"/>
    <x v="2"/>
    <s v="Completed"/>
    <s v="Store"/>
    <s v="Upi"/>
    <x v="3"/>
    <s v="VALID"/>
    <s v="NORMAL"/>
    <s v="Valid"/>
    <n v="942.04"/>
    <n v="753.63199999999995"/>
  </r>
  <r>
    <s v="ORD50742"/>
    <d v="2024-08-03T00:00:00"/>
    <s v="CUST1094"/>
    <s v="P011"/>
    <x v="1"/>
    <s v="Electronics"/>
    <x v="0"/>
    <x v="14"/>
    <n v="5"/>
    <n v="3226.82"/>
    <n v="0.08"/>
    <x v="740"/>
    <x v="2"/>
    <s v="Credit Card"/>
    <s v="Completed"/>
    <x v="0"/>
    <s v="Completed"/>
    <s v="Store"/>
    <s v="Credit Card"/>
    <x v="1"/>
    <s v="VALID"/>
    <s v="NORMAL"/>
    <s v="Valid"/>
    <n v="16134.1"/>
    <n v="14843.371999999999"/>
  </r>
  <r>
    <s v="ORD50743"/>
    <d v="2024-12-08T00:00:00"/>
    <s v="CUST1105"/>
    <s v="P011"/>
    <x v="1"/>
    <s v="Electronics"/>
    <x v="1"/>
    <x v="3"/>
    <n v="3"/>
    <n v="3035.61"/>
    <n v="0.05"/>
    <x v="741"/>
    <x v="2"/>
    <s v="Cash on Delivery"/>
    <s v="Cancelled"/>
    <x v="6"/>
    <s v="Cancelled"/>
    <s v="Store"/>
    <s v="Cash On Delivery"/>
    <x v="1"/>
    <s v="VALID"/>
    <s v="NORMAL"/>
    <s v="Valid"/>
    <n v="9106.83"/>
    <n v="8651.4884999999995"/>
  </r>
  <r>
    <s v="ORD50744"/>
    <d v="2026-04-08T00:00:00"/>
    <s v="CUST1159"/>
    <s v="P003"/>
    <x v="3"/>
    <s v="Electronics"/>
    <x v="0"/>
    <x v="14"/>
    <n v="1"/>
    <n v="1852.5"/>
    <n v="0.05"/>
    <x v="742"/>
    <x v="0"/>
    <s v="Credit Card"/>
    <s v="Cancelled"/>
    <x v="6"/>
    <s v="Cancelled"/>
    <s v="Online"/>
    <s v="Credit Card"/>
    <x v="1"/>
    <s v="VALID"/>
    <s v="NORMAL"/>
    <s v="Valid"/>
    <n v="1852.5"/>
    <n v="1759.875"/>
  </r>
  <r>
    <s v="ORD50745"/>
    <d v="2026-03-18T00:00:00"/>
    <s v="CUST1032"/>
    <s v="P002"/>
    <x v="9"/>
    <s v="Electronics"/>
    <x v="2"/>
    <x v="5"/>
    <n v="1"/>
    <n v="1133.95"/>
    <n v="0.15"/>
    <x v="743"/>
    <x v="1"/>
    <s v="Debit Card"/>
    <s v="Completed"/>
    <x v="0"/>
    <s v="Completed"/>
    <s v="Marketplace"/>
    <s v="Debit Card"/>
    <x v="1"/>
    <s v="VALID"/>
    <s v="NORMAL"/>
    <s v="Valid"/>
    <n v="1133.95"/>
    <n v="963.85750000000007"/>
  </r>
  <r>
    <s v="ORD50746"/>
    <d v="2024-09-07T00:00:00"/>
    <s v="CUST1154"/>
    <s v="P011"/>
    <x v="1"/>
    <s v="Electronics"/>
    <x v="2"/>
    <x v="5"/>
    <n v="2"/>
    <n v="3098.35"/>
    <n v="0.05"/>
    <x v="744"/>
    <x v="0"/>
    <s v="Net Banking"/>
    <s v="Completed"/>
    <x v="2"/>
    <s v="Completed"/>
    <s v="Online"/>
    <s v="Net Banking"/>
    <x v="1"/>
    <s v="VALID"/>
    <s v="NORMAL"/>
    <s v="Valid"/>
    <n v="6196.7"/>
    <n v="5886.8649999999998"/>
  </r>
  <r>
    <s v="ORD50747"/>
    <d v="2025-11-13T00:00:00"/>
    <m/>
    <s v="P012"/>
    <x v="0"/>
    <s v="Accessories"/>
    <x v="3"/>
    <x v="9"/>
    <n v="2"/>
    <n v="891.56"/>
    <n v="0.05"/>
    <x v="745"/>
    <x v="0"/>
    <s v="Cash on Delivery"/>
    <s v="Completed"/>
    <x v="2"/>
    <s v="Completed"/>
    <s v="Online"/>
    <s v="Cash On Delivery"/>
    <x v="0"/>
    <s v="VALID"/>
    <s v="NORMAL"/>
    <s v="Valid"/>
    <n v="1783.12"/>
    <n v="1693.9639999999999"/>
  </r>
  <r>
    <s v="ORD50748"/>
    <d v="2026-05-16T00:00:00"/>
    <s v="CUST1144"/>
    <s v="P008"/>
    <x v="4"/>
    <s v="Stationery"/>
    <x v="2"/>
    <x v="13"/>
    <n v="4"/>
    <n v="203.22"/>
    <n v="0.1"/>
    <x v="746"/>
    <x v="1"/>
    <s v="Debit Card"/>
    <s v="Completed"/>
    <x v="5"/>
    <s v="Completed"/>
    <s v="Marketplace"/>
    <s v="Debit Card"/>
    <x v="3"/>
    <s v="VALID"/>
    <s v="NORMAL"/>
    <s v="Valid"/>
    <n v="812.88"/>
    <n v="731.59199999999998"/>
  </r>
  <r>
    <s v="ORD50749"/>
    <d v="2024-09-16T00:00:00"/>
    <s v="CUST1173"/>
    <s v="P005"/>
    <x v="12"/>
    <s v="Furniture"/>
    <x v="1"/>
    <x v="7"/>
    <n v="4"/>
    <n v="8915.2099999999991"/>
    <n v="0.2"/>
    <x v="747"/>
    <x v="0"/>
    <s v="Credit Card"/>
    <s v="Completed"/>
    <x v="2"/>
    <s v="Completed"/>
    <s v="Online"/>
    <s v="Credit Card"/>
    <x v="2"/>
    <s v="VALID"/>
    <s v="NORMAL"/>
    <s v="Valid"/>
    <n v="35660.839999999997"/>
    <n v="28528.671999999999"/>
  </r>
  <r>
    <s v="ORD50750"/>
    <d v="2025-02-07T00:00:00"/>
    <s v="CUST1136"/>
    <s v="P014"/>
    <x v="5"/>
    <s v="Electronics"/>
    <x v="0"/>
    <x v="14"/>
    <n v="2"/>
    <n v="2685.55"/>
    <n v="0.08"/>
    <x v="748"/>
    <x v="0"/>
    <s v="Debit Card"/>
    <s v="Cancelled"/>
    <x v="7"/>
    <s v="Cancelled"/>
    <s v="Online"/>
    <s v="Debit Card"/>
    <x v="1"/>
    <s v="VALID"/>
    <s v="NORMAL"/>
    <s v="Valid"/>
    <n v="5371.1"/>
    <n v="4941.4120000000003"/>
  </r>
  <r>
    <s v="ORD50751"/>
    <d v="2024-09-23T00:00:00"/>
    <s v="CUST1177"/>
    <s v="P009"/>
    <x v="7"/>
    <s v="Accessories"/>
    <x v="1"/>
    <x v="3"/>
    <n v="2"/>
    <n v="1767.6"/>
    <n v="0.1"/>
    <x v="749"/>
    <x v="2"/>
    <s v="Debit Card"/>
    <s v="Completed"/>
    <x v="5"/>
    <s v="Completed"/>
    <s v="Store"/>
    <s v="Debit Card"/>
    <x v="0"/>
    <s v="VALID"/>
    <s v="NORMAL"/>
    <s v="Valid"/>
    <n v="3535.2"/>
    <n v="3181.68"/>
  </r>
  <r>
    <s v="ORD50752"/>
    <d v="2025-06-28T00:00:00"/>
    <s v="CUST1034"/>
    <s v="P012"/>
    <x v="0"/>
    <s v="Accessories"/>
    <x v="0"/>
    <x v="2"/>
    <n v="2"/>
    <n v="898.94"/>
    <n v="0.05"/>
    <x v="750"/>
    <x v="1"/>
    <s v="UPI"/>
    <s v="Completed"/>
    <x v="0"/>
    <s v="Completed"/>
    <s v="Marketplace"/>
    <s v="Upi"/>
    <x v="0"/>
    <s v="VALID"/>
    <s v="NORMAL"/>
    <s v="Valid"/>
    <n v="1797.88"/>
    <n v="1707.9860000000001"/>
  </r>
  <r>
    <s v="ORD50753"/>
    <d v="2026-02-07T00:00:00"/>
    <s v="CUST1059"/>
    <s v="P006"/>
    <x v="10"/>
    <s v="Furniture"/>
    <x v="0"/>
    <x v="10"/>
    <n v="5"/>
    <n v="6947.16"/>
    <n v="0.05"/>
    <x v="751"/>
    <x v="2"/>
    <s v="Debit Card"/>
    <s v="Completed"/>
    <x v="0"/>
    <s v="Completed"/>
    <s v="Store"/>
    <s v="Debit Card"/>
    <x v="2"/>
    <s v="VALID"/>
    <s v="NORMAL"/>
    <s v="Valid"/>
    <n v="34735.800000000003"/>
    <n v="32999.01"/>
  </r>
  <r>
    <s v="ORD50754"/>
    <d v="2025-09-23T00:00:00"/>
    <s v="CUST1162"/>
    <s v="P004"/>
    <x v="6"/>
    <s v="Electronics"/>
    <x v="2"/>
    <x v="4"/>
    <n v="1"/>
    <n v="12512.75"/>
    <n v="0.03"/>
    <x v="752"/>
    <x v="1"/>
    <s v="Net Banking"/>
    <s v="Cancelled"/>
    <x v="3"/>
    <s v="Cancelled"/>
    <s v="Marketplace"/>
    <s v="Net Banking"/>
    <x v="1"/>
    <s v="VALID"/>
    <s v="NORMAL"/>
    <s v="Valid"/>
    <n v="12512.75"/>
    <n v="12137.3675"/>
  </r>
  <r>
    <s v="ORD50755"/>
    <d v="2025-07-30T00:00:00"/>
    <s v="CUST1229"/>
    <s v="P005"/>
    <x v="12"/>
    <s v="Furniture"/>
    <x v="1"/>
    <x v="3"/>
    <n v="1"/>
    <n v="9819.4500000000007"/>
    <n v="0.2"/>
    <x v="753"/>
    <x v="2"/>
    <s v="Credit Card"/>
    <s v="Returned"/>
    <x v="7"/>
    <s v="Returned"/>
    <s v="Store"/>
    <s v="Credit Card"/>
    <x v="2"/>
    <s v="VALID"/>
    <s v="NORMAL"/>
    <s v="Valid"/>
    <n v="9819.4500000000007"/>
    <n v="7855.56"/>
  </r>
  <r>
    <s v="ORD50756"/>
    <d v="2024-04-20T00:00:00"/>
    <s v="CUST1057"/>
    <s v="P004"/>
    <x v="6"/>
    <s v="Electronics"/>
    <x v="0"/>
    <x v="10"/>
    <n v="3"/>
    <n v="11741.15"/>
    <n v="0.03"/>
    <x v="754"/>
    <x v="0"/>
    <s v="Credit Card"/>
    <s v="Returned"/>
    <x v="8"/>
    <s v="Returned"/>
    <s v="Online"/>
    <s v="Credit Card"/>
    <x v="1"/>
    <s v="VALID"/>
    <s v="NORMAL"/>
    <s v="Valid"/>
    <n v="35223.449999999997"/>
    <n v="34166.746499999994"/>
  </r>
  <r>
    <s v="ORD50757"/>
    <d v="2026-03-06T00:00:00"/>
    <s v="CUST1195"/>
    <s v="P005"/>
    <x v="12"/>
    <s v="Furniture"/>
    <x v="3"/>
    <x v="8"/>
    <n v="5"/>
    <n v="9755.24"/>
    <n v="0.05"/>
    <x v="755"/>
    <x v="1"/>
    <s v="UPI"/>
    <s v="Completed"/>
    <x v="5"/>
    <s v="Completed"/>
    <s v="Marketplace"/>
    <s v="Upi"/>
    <x v="2"/>
    <s v="VALID"/>
    <s v="NORMAL"/>
    <s v="Valid"/>
    <n v="48776.2"/>
    <n v="46337.39"/>
  </r>
  <r>
    <s v="ORD50758"/>
    <d v="2024-12-21T00:00:00"/>
    <s v="CUST1172"/>
    <s v="P010"/>
    <x v="14"/>
    <s v="Electronics"/>
    <x v="3"/>
    <x v="9"/>
    <n v="4"/>
    <n v="2333.6799999999998"/>
    <n v="0.03"/>
    <x v="756"/>
    <x v="0"/>
    <s v="Credit Card"/>
    <s v="Returned"/>
    <x v="2"/>
    <s v="Returned"/>
    <s v="Online"/>
    <s v="Credit Card"/>
    <x v="1"/>
    <s v="VALID"/>
    <s v="NORMAL"/>
    <s v="Valid"/>
    <n v="9334.7199999999993"/>
    <n v="9054.6783999999989"/>
  </r>
  <r>
    <s v="ORD50759"/>
    <d v="2025-08-21T00:00:00"/>
    <s v="CUST1075"/>
    <s v="P008"/>
    <x v="4"/>
    <s v="Stationery"/>
    <x v="2"/>
    <x v="4"/>
    <n v="4"/>
    <n v="229.07"/>
    <n v="0.05"/>
    <x v="757"/>
    <x v="2"/>
    <m/>
    <s v="Cancelled"/>
    <x v="1"/>
    <s v="Cancelled"/>
    <s v="Store"/>
    <s v=""/>
    <x v="3"/>
    <s v="VALID"/>
    <s v="NORMAL"/>
    <s v="Valid"/>
    <n v="916.28"/>
    <n v="870.46600000000001"/>
  </r>
  <r>
    <s v="ORD50760"/>
    <d v="2024-08-16T00:00:00"/>
    <s v="CUST1229"/>
    <s v="P008"/>
    <x v="4"/>
    <s v="Stationery"/>
    <x v="0"/>
    <x v="14"/>
    <n v="4"/>
    <n v="215.21"/>
    <n v="0.03"/>
    <x v="758"/>
    <x v="1"/>
    <s v="Net Banking"/>
    <s v="Completed"/>
    <x v="2"/>
    <s v="Completed"/>
    <s v="Marketplace"/>
    <s v="Net Banking"/>
    <x v="3"/>
    <s v="VALID"/>
    <s v="NORMAL"/>
    <s v="Valid"/>
    <n v="860.84"/>
    <n v="835.01480000000004"/>
  </r>
  <r>
    <s v="ORD50761"/>
    <d v="2024-12-29T00:00:00"/>
    <s v="CUST1155"/>
    <s v="P013"/>
    <x v="2"/>
    <s v="Furniture"/>
    <x v="2"/>
    <x v="4"/>
    <n v="1"/>
    <n v="1723.86"/>
    <n v="0.03"/>
    <x v="759"/>
    <x v="2"/>
    <s v="Debit Card"/>
    <s v="Cancelled"/>
    <x v="4"/>
    <s v="Cancelled"/>
    <s v="Store"/>
    <s v="Debit Card"/>
    <x v="2"/>
    <s v="VALID"/>
    <s v="NORMAL"/>
    <s v="Valid"/>
    <n v="1723.86"/>
    <n v="1672.1442"/>
  </r>
  <r>
    <s v="ORD50762"/>
    <d v="2025-06-26T00:00:00"/>
    <s v="CUST1151"/>
    <s v="P008"/>
    <x v="4"/>
    <s v="Stationery"/>
    <x v="1"/>
    <x v="6"/>
    <n v="5"/>
    <n v="226.73"/>
    <n v="0.1"/>
    <x v="760"/>
    <x v="0"/>
    <s v="Net Banking"/>
    <s v="Completed"/>
    <x v="2"/>
    <s v="Completed"/>
    <s v="Online"/>
    <s v="Net Banking"/>
    <x v="3"/>
    <s v="VALID"/>
    <s v="NORMAL"/>
    <s v="Valid"/>
    <n v="1133.6499999999999"/>
    <n v="1020.2849999999999"/>
  </r>
  <r>
    <s v="ORD50763"/>
    <d v="2026-03-11T00:00:00"/>
    <s v="CUST1062"/>
    <s v="P015"/>
    <x v="8"/>
    <s v="Accessories"/>
    <x v="0"/>
    <x v="14"/>
    <n v="2"/>
    <n v="740.17"/>
    <n v="0.2"/>
    <x v="761"/>
    <x v="0"/>
    <s v="UPI"/>
    <s v="Completed"/>
    <x v="0"/>
    <s v="Completed"/>
    <s v="Online"/>
    <s v="Upi"/>
    <x v="0"/>
    <s v="VALID"/>
    <s v="NORMAL"/>
    <s v="Valid"/>
    <n v="1480.34"/>
    <n v="1184.2719999999999"/>
  </r>
  <r>
    <s v="ORD50764"/>
    <d v="2025-10-13T00:00:00"/>
    <s v="CUST1149"/>
    <s v="P004"/>
    <x v="6"/>
    <s v="Electronics"/>
    <x v="3"/>
    <x v="11"/>
    <n v="4"/>
    <n v="12472.72"/>
    <n v="0.03"/>
    <x v="762"/>
    <x v="0"/>
    <s v="Credit Card"/>
    <s v="Completed"/>
    <x v="4"/>
    <s v="Completed"/>
    <s v="Online"/>
    <s v="Credit Card"/>
    <x v="1"/>
    <s v="VALID"/>
    <s v="NORMAL"/>
    <s v="Valid"/>
    <n v="49890.879999999997"/>
    <n v="48394.153599999998"/>
  </r>
  <r>
    <s v="ORD50765"/>
    <d v="2024-01-11T00:00:00"/>
    <s v="CUST1009"/>
    <s v="P006"/>
    <x v="10"/>
    <s v="Furniture"/>
    <x v="3"/>
    <x v="8"/>
    <n v="2"/>
    <n v="7339.66"/>
    <n v="0.1"/>
    <x v="763"/>
    <x v="2"/>
    <s v="Cash on Delivery"/>
    <s v="Completed"/>
    <x v="2"/>
    <s v="Completed"/>
    <s v="Store"/>
    <s v="Cash On Delivery"/>
    <x v="2"/>
    <s v="VALID"/>
    <s v="NORMAL"/>
    <s v="Valid"/>
    <n v="14679.32"/>
    <n v="13211.387999999999"/>
  </r>
  <r>
    <s v="ORD50766"/>
    <d v="2024-10-16T00:00:00"/>
    <s v="CUST1016"/>
    <s v="P011"/>
    <x v="1"/>
    <s v="Electronics"/>
    <x v="1"/>
    <x v="1"/>
    <n v="5"/>
    <n v="3154.93"/>
    <n v="0.1"/>
    <x v="764"/>
    <x v="2"/>
    <s v="Credit Card"/>
    <s v="Cancelled"/>
    <x v="6"/>
    <s v="Cancelled"/>
    <s v="Store"/>
    <s v="Credit Card"/>
    <x v="1"/>
    <s v="VALID"/>
    <s v="NORMAL"/>
    <s v="Valid"/>
    <n v="15774.65"/>
    <n v="14197.184999999999"/>
  </r>
  <r>
    <s v="ORD50767"/>
    <d v="2024-10-02T00:00:00"/>
    <m/>
    <s v="P014"/>
    <x v="5"/>
    <s v="Electronics"/>
    <x v="3"/>
    <x v="15"/>
    <n v="5"/>
    <n v="2715.21"/>
    <n v="0.15"/>
    <x v="765"/>
    <x v="0"/>
    <s v="Credit Card"/>
    <s v="Completed"/>
    <x v="2"/>
    <s v="Completed"/>
    <s v="Online"/>
    <s v="Credit Card"/>
    <x v="1"/>
    <s v="VALID"/>
    <s v="NORMAL"/>
    <s v="Valid"/>
    <n v="13576.05"/>
    <n v="11539.6425"/>
  </r>
  <r>
    <s v="ORD50768"/>
    <d v="2024-10-30T00:00:00"/>
    <s v="CUST1066"/>
    <s v="P010"/>
    <x v="14"/>
    <s v="Electronics"/>
    <x v="0"/>
    <x v="0"/>
    <n v="3"/>
    <n v="2347.63"/>
    <n v="0.03"/>
    <x v="766"/>
    <x v="2"/>
    <s v="UPI"/>
    <s v="Completed"/>
    <x v="6"/>
    <s v="Completed"/>
    <s v="Store"/>
    <s v="Upi"/>
    <x v="1"/>
    <s v="VALID"/>
    <s v="NORMAL"/>
    <s v="Valid"/>
    <n v="7042.89"/>
    <n v="6831.6033000000007"/>
  </r>
  <r>
    <s v="ORD50769"/>
    <d v="2024-08-31T00:00:00"/>
    <s v="CUST1155"/>
    <s v="P011"/>
    <x v="1"/>
    <s v="Electronics"/>
    <x v="2"/>
    <x v="4"/>
    <n v="2"/>
    <n v="3058.45"/>
    <n v="0.1"/>
    <x v="767"/>
    <x v="0"/>
    <s v="Cash on Delivery"/>
    <s v="Completed"/>
    <x v="5"/>
    <s v="Completed"/>
    <s v="Online"/>
    <s v="Cash On Delivery"/>
    <x v="1"/>
    <s v="VALID"/>
    <s v="NORMAL"/>
    <s v="Valid"/>
    <n v="6116.9"/>
    <n v="5505.21"/>
  </r>
  <r>
    <s v="ORD50770"/>
    <d v="2024-11-18T00:00:00"/>
    <s v="CUST1068"/>
    <s v="P009"/>
    <x v="7"/>
    <s v="Accessories"/>
    <x v="0"/>
    <x v="2"/>
    <n v="2"/>
    <n v="1846.92"/>
    <n v="0.03"/>
    <x v="768"/>
    <x v="2"/>
    <s v="UPI"/>
    <s v="Returned"/>
    <x v="4"/>
    <s v="Returned"/>
    <s v="Store"/>
    <s v="Upi"/>
    <x v="0"/>
    <s v="VALID"/>
    <s v="NORMAL"/>
    <s v="Valid"/>
    <n v="3693.84"/>
    <n v="3583.0248000000001"/>
  </r>
  <r>
    <s v="ORD50771"/>
    <d v="2025-08-19T00:00:00"/>
    <s v="CUST1170"/>
    <s v="P007"/>
    <x v="11"/>
    <s v="Stationery"/>
    <x v="0"/>
    <x v="2"/>
    <n v="4"/>
    <n v="464.54"/>
    <n v="0.1"/>
    <x v="769"/>
    <x v="2"/>
    <s v="Credit Card"/>
    <s v="Completed"/>
    <x v="7"/>
    <s v="Completed"/>
    <s v="Store"/>
    <s v="Credit Card"/>
    <x v="3"/>
    <s v="VALID"/>
    <s v="NORMAL"/>
    <s v="Valid"/>
    <n v="1858.16"/>
    <n v="1672.3440000000001"/>
  </r>
  <r>
    <s v="ORD50772"/>
    <d v="2025-04-29T00:00:00"/>
    <s v="CUST1017"/>
    <s v="P002"/>
    <x v="9"/>
    <s v="Electronics"/>
    <x v="3"/>
    <x v="9"/>
    <n v="5"/>
    <n v="1141.82"/>
    <n v="0.15"/>
    <x v="770"/>
    <x v="1"/>
    <s v="Debit Card"/>
    <s v="Cancelled"/>
    <x v="3"/>
    <s v="Cancelled"/>
    <s v="Marketplace"/>
    <s v="Debit Card"/>
    <x v="1"/>
    <s v="VALID"/>
    <s v="NORMAL"/>
    <s v="Valid"/>
    <n v="5709.0999999999995"/>
    <n v="4852.7349999999997"/>
  </r>
  <r>
    <s v="ORD50773"/>
    <d v="2025-03-23T00:00:00"/>
    <s v="CUST1240"/>
    <s v="P010"/>
    <x v="14"/>
    <s v="Electronics"/>
    <x v="1"/>
    <x v="7"/>
    <n v="3"/>
    <n v="2319.66"/>
    <n v="0.1"/>
    <x v="771"/>
    <x v="1"/>
    <s v="Debit Card"/>
    <s v="Completed"/>
    <x v="1"/>
    <s v="Completed"/>
    <s v="Marketplace"/>
    <s v="Debit Card"/>
    <x v="1"/>
    <s v="VALID"/>
    <s v="NORMAL"/>
    <s v="Valid"/>
    <n v="6958.98"/>
    <n v="6263.0819999999994"/>
  </r>
  <r>
    <s v="ORD50774"/>
    <d v="2025-08-02T00:00:00"/>
    <s v="CUST1190"/>
    <s v="P005"/>
    <x v="12"/>
    <s v="Furniture"/>
    <x v="0"/>
    <x v="14"/>
    <n v="4"/>
    <n v="9229.6"/>
    <n v="0.08"/>
    <x v="772"/>
    <x v="2"/>
    <s v="UPI"/>
    <s v="Completed"/>
    <x v="4"/>
    <s v="Completed"/>
    <s v="Store"/>
    <s v="Upi"/>
    <x v="2"/>
    <s v="VALID"/>
    <s v="NORMAL"/>
    <s v="Valid"/>
    <n v="36918.400000000001"/>
    <n v="33964.928"/>
  </r>
  <r>
    <s v="ORD50775"/>
    <d v="2026-02-14T00:00:00"/>
    <s v="CUST1137"/>
    <s v="P013"/>
    <x v="2"/>
    <s v="Furniture"/>
    <x v="3"/>
    <x v="11"/>
    <n v="1"/>
    <n v="1629.44"/>
    <n v="0.15"/>
    <x v="773"/>
    <x v="0"/>
    <s v="Credit Card"/>
    <s v="Returned"/>
    <x v="6"/>
    <s v="Returned"/>
    <s v="Online"/>
    <s v="Credit Card"/>
    <x v="2"/>
    <s v="VALID"/>
    <s v="NORMAL"/>
    <s v="Valid"/>
    <n v="1629.44"/>
    <n v="1385.0240000000001"/>
  </r>
  <r>
    <s v="ORD50776"/>
    <d v="2024-06-22T00:00:00"/>
    <s v="CUST1057"/>
    <s v="P009"/>
    <x v="7"/>
    <s v="Accessories"/>
    <x v="1"/>
    <x v="6"/>
    <m/>
    <n v="1725.33"/>
    <n v="0.15"/>
    <x v="774"/>
    <x v="0"/>
    <s v="Credit Card"/>
    <s v="Completed"/>
    <x v="3"/>
    <s v="Completed"/>
    <s v="Online"/>
    <s v="Credit Card"/>
    <x v="0"/>
    <s v="INVALID"/>
    <s v="NORMAL"/>
    <s v="Valid"/>
    <n v="0"/>
    <n v="0"/>
  </r>
  <r>
    <s v="ORD50777"/>
    <d v="2025-01-18T00:00:00"/>
    <s v="CUST1060"/>
    <s v="P004"/>
    <x v="6"/>
    <s v="Electronics"/>
    <x v="3"/>
    <x v="15"/>
    <n v="5"/>
    <n v="13161.27"/>
    <n v="0.1"/>
    <x v="775"/>
    <x v="0"/>
    <s v="Net Banking"/>
    <s v="Returned"/>
    <x v="6"/>
    <s v="Returned"/>
    <s v="Online"/>
    <s v="Net Banking"/>
    <x v="1"/>
    <s v="VALID"/>
    <s v="NORMAL"/>
    <s v="Valid"/>
    <n v="65806.350000000006"/>
    <n v="59225.715000000004"/>
  </r>
  <r>
    <s v="ORD50778"/>
    <d v="2024-07-24T00:00:00"/>
    <s v="CUST1141"/>
    <s v="P014"/>
    <x v="5"/>
    <s v="Electronics"/>
    <x v="2"/>
    <x v="4"/>
    <n v="3"/>
    <n v="2629.89"/>
    <n v="0.08"/>
    <x v="776"/>
    <x v="2"/>
    <s v="Credit Card"/>
    <s v="Completed"/>
    <x v="7"/>
    <s v="Completed"/>
    <s v="Store"/>
    <s v="Credit Card"/>
    <x v="1"/>
    <s v="VALID"/>
    <s v="NORMAL"/>
    <s v="Valid"/>
    <n v="7889.67"/>
    <n v="7258.4964"/>
  </r>
  <r>
    <s v="ORD50779"/>
    <d v="2025-10-03T00:00:00"/>
    <s v="CUST1015"/>
    <s v="P009"/>
    <x v="7"/>
    <s v="Accessories"/>
    <x v="1"/>
    <x v="7"/>
    <n v="4"/>
    <n v="1704.56"/>
    <n v="0.08"/>
    <x v="777"/>
    <x v="0"/>
    <s v="Cash on Delivery"/>
    <s v="Completed"/>
    <x v="3"/>
    <s v="Completed"/>
    <s v="Online"/>
    <s v="Cash On Delivery"/>
    <x v="0"/>
    <s v="VALID"/>
    <s v="NORMAL"/>
    <s v="Valid"/>
    <n v="6818.24"/>
    <n v="6272.7807999999995"/>
  </r>
  <r>
    <s v="ORD50780"/>
    <d v="2024-05-12T00:00:00"/>
    <s v="CUST1011"/>
    <s v="P004"/>
    <x v="6"/>
    <s v="Electronics"/>
    <x v="1"/>
    <x v="16"/>
    <n v="2"/>
    <n v="12747.15"/>
    <n v="0.08"/>
    <x v="778"/>
    <x v="2"/>
    <s v="Credit Card"/>
    <s v="Completed"/>
    <x v="7"/>
    <s v="Completed"/>
    <s v="Store"/>
    <s v="Credit Card"/>
    <x v="1"/>
    <s v="VALID"/>
    <s v="NORMAL"/>
    <s v="Valid"/>
    <n v="25494.3"/>
    <n v="23454.755999999998"/>
  </r>
  <r>
    <s v="ORD50781"/>
    <d v="2024-12-09T00:00:00"/>
    <s v="CUST1118"/>
    <s v="P005"/>
    <x v="12"/>
    <s v="Furniture"/>
    <x v="2"/>
    <x v="12"/>
    <n v="2"/>
    <n v="9508.7199999999993"/>
    <n v="0.03"/>
    <x v="779"/>
    <x v="1"/>
    <s v="Net Banking"/>
    <s v="Completed"/>
    <x v="3"/>
    <s v="Completed"/>
    <s v="Marketplace"/>
    <s v="Net Banking"/>
    <x v="2"/>
    <s v="VALID"/>
    <s v="NORMAL"/>
    <s v="Valid"/>
    <n v="19017.439999999999"/>
    <n v="18446.916799999999"/>
  </r>
  <r>
    <s v="ORD50782"/>
    <d v="2025-03-21T00:00:00"/>
    <s v="CUST1219"/>
    <s v="P008"/>
    <x v="4"/>
    <s v="Stationery"/>
    <x v="3"/>
    <x v="11"/>
    <n v="1"/>
    <n v="227.65"/>
    <n v="0.05"/>
    <x v="336"/>
    <x v="2"/>
    <s v="Debit Card"/>
    <s v="Completed"/>
    <x v="3"/>
    <s v="Completed"/>
    <s v="Store"/>
    <s v="Debit Card"/>
    <x v="3"/>
    <s v="VALID"/>
    <s v="NORMAL"/>
    <s v="Valid"/>
    <n v="227.65"/>
    <n v="216.26750000000001"/>
  </r>
  <r>
    <s v="ORD50783"/>
    <d v="2024-11-24T00:00:00"/>
    <s v="CUST1108"/>
    <s v="P001"/>
    <x v="13"/>
    <s v="Electronics"/>
    <x v="1"/>
    <x v="3"/>
    <n v="5"/>
    <n v="67952.84"/>
    <n v="0"/>
    <x v="780"/>
    <x v="2"/>
    <s v="Net Banking"/>
    <s v="Returned"/>
    <x v="6"/>
    <s v="Returned"/>
    <s v="Store"/>
    <s v="Net Banking"/>
    <x v="1"/>
    <s v="VALID"/>
    <s v="NORMAL"/>
    <s v="Valid"/>
    <n v="339764.19999999995"/>
    <n v="339764.19999999995"/>
  </r>
  <r>
    <s v="ORD50784"/>
    <d v="2024-09-21T00:00:00"/>
    <s v="CUST1118"/>
    <s v="P013"/>
    <x v="2"/>
    <s v="Furniture"/>
    <x v="2"/>
    <x v="13"/>
    <n v="1"/>
    <n v="1559.98"/>
    <n v="0.15"/>
    <x v="781"/>
    <x v="0"/>
    <s v="Cash on Delivery"/>
    <s v="Completed"/>
    <x v="7"/>
    <s v="Completed"/>
    <s v="Online"/>
    <s v="Cash On Delivery"/>
    <x v="2"/>
    <s v="VALID"/>
    <s v="NORMAL"/>
    <s v="Valid"/>
    <n v="1559.98"/>
    <n v="1325.9829999999999"/>
  </r>
  <r>
    <s v="ORD50785"/>
    <d v="2024-01-14T00:00:00"/>
    <s v="CUST1216"/>
    <s v="P011"/>
    <x v="1"/>
    <s v="Electronics"/>
    <x v="1"/>
    <x v="6"/>
    <n v="4"/>
    <n v="3385.25"/>
    <n v="0.1"/>
    <x v="782"/>
    <x v="2"/>
    <s v="Cash on Delivery"/>
    <s v="Completed"/>
    <x v="0"/>
    <s v="Completed"/>
    <s v="Store"/>
    <s v="Cash On Delivery"/>
    <x v="1"/>
    <s v="VALID"/>
    <s v="NORMAL"/>
    <s v="Valid"/>
    <n v="13541"/>
    <n v="12186.9"/>
  </r>
  <r>
    <s v="ORD50786"/>
    <d v="2024-01-21T00:00:00"/>
    <s v="CUST1224"/>
    <s v="P014"/>
    <x v="5"/>
    <s v="Electronics"/>
    <x v="0"/>
    <x v="0"/>
    <n v="4"/>
    <n v="2777.84"/>
    <n v="0.15"/>
    <x v="783"/>
    <x v="1"/>
    <s v="Credit Card"/>
    <s v="Completed"/>
    <x v="7"/>
    <s v="Completed"/>
    <s v="Marketplace"/>
    <s v="Credit Card"/>
    <x v="1"/>
    <s v="VALID"/>
    <s v="NORMAL"/>
    <s v="Valid"/>
    <n v="11111.36"/>
    <n v="9444.6560000000009"/>
  </r>
  <r>
    <s v="ORD50787"/>
    <d v="2025-09-18T00:00:00"/>
    <s v="CUST1160"/>
    <s v="P013"/>
    <x v="2"/>
    <s v="Furniture"/>
    <x v="2"/>
    <x v="13"/>
    <n v="1"/>
    <n v="1664.86"/>
    <n v="0.05"/>
    <x v="784"/>
    <x v="1"/>
    <s v="UPI"/>
    <s v="Completed"/>
    <x v="8"/>
    <s v="Completed"/>
    <s v="Marketplace"/>
    <s v="Upi"/>
    <x v="2"/>
    <s v="VALID"/>
    <s v="NORMAL"/>
    <s v="Valid"/>
    <n v="1664.86"/>
    <n v="1581.617"/>
  </r>
  <r>
    <s v="ORD50788"/>
    <d v="2026-04-24T00:00:00"/>
    <s v="CUST1106"/>
    <s v="P003"/>
    <x v="3"/>
    <s v="Electronics"/>
    <x v="0"/>
    <x v="14"/>
    <n v="5"/>
    <n v="1671.49"/>
    <n v="0.15"/>
    <x v="785"/>
    <x v="1"/>
    <s v="Net Banking"/>
    <s v="Completed"/>
    <x v="1"/>
    <s v="Completed"/>
    <s v="Marketplace"/>
    <s v="Net Banking"/>
    <x v="1"/>
    <s v="VALID"/>
    <s v="NORMAL"/>
    <s v="Valid"/>
    <n v="8357.4500000000007"/>
    <n v="7103.8325000000004"/>
  </r>
  <r>
    <s v="ORD50789"/>
    <d v="2024-04-07T00:00:00"/>
    <s v="CUST1144"/>
    <s v="P007"/>
    <x v="11"/>
    <s v="Stationery"/>
    <x v="2"/>
    <x v="12"/>
    <n v="3"/>
    <n v="417.01"/>
    <n v="0.15"/>
    <x v="786"/>
    <x v="2"/>
    <s v="UPI"/>
    <s v="Completed"/>
    <x v="6"/>
    <s v="Completed"/>
    <s v="Store"/>
    <s v="Upi"/>
    <x v="3"/>
    <s v="VALID"/>
    <s v="NORMAL"/>
    <s v="Valid"/>
    <n v="1251.03"/>
    <n v="1063.3755000000001"/>
  </r>
  <r>
    <s v="ORD50790"/>
    <d v="2026-04-16T00:00:00"/>
    <s v="CUST1172"/>
    <s v="P008"/>
    <x v="4"/>
    <s v="Stationery"/>
    <x v="1"/>
    <x v="6"/>
    <n v="1"/>
    <n v="208.57"/>
    <n v="0.05"/>
    <x v="787"/>
    <x v="0"/>
    <s v="Debit Card"/>
    <s v="Completed"/>
    <x v="6"/>
    <s v="Completed"/>
    <s v="Online"/>
    <s v="Debit Card"/>
    <x v="3"/>
    <s v="VALID"/>
    <s v="NORMAL"/>
    <s v="Valid"/>
    <n v="208.57"/>
    <n v="198.14150000000001"/>
  </r>
  <r>
    <s v="ORD50791"/>
    <d v="2026-06-06T00:00:00"/>
    <s v="CUST1011"/>
    <s v="P008"/>
    <x v="4"/>
    <s v="Stationery"/>
    <x v="0"/>
    <x v="10"/>
    <n v="1"/>
    <n v="210.4"/>
    <n v="0.03"/>
    <x v="788"/>
    <x v="1"/>
    <s v="Net Banking"/>
    <s v="Completed"/>
    <x v="4"/>
    <s v="Completed"/>
    <s v="Marketplace"/>
    <s v="Net Banking"/>
    <x v="3"/>
    <s v="VALID"/>
    <s v="NORMAL"/>
    <s v="Valid"/>
    <n v="210.4"/>
    <n v="204.08799999999999"/>
  </r>
  <r>
    <s v="ORD50792"/>
    <d v="2025-05-28T00:00:00"/>
    <m/>
    <s v="P009"/>
    <x v="7"/>
    <s v="Accessories"/>
    <x v="2"/>
    <x v="4"/>
    <n v="4"/>
    <n v="1751.38"/>
    <n v="0.2"/>
    <x v="789"/>
    <x v="0"/>
    <s v="Cash on Delivery"/>
    <s v="Cancelled"/>
    <x v="3"/>
    <s v="Cancelled"/>
    <s v="Online"/>
    <s v="Cash On Delivery"/>
    <x v="0"/>
    <s v="VALID"/>
    <s v="NORMAL"/>
    <s v="Valid"/>
    <n v="7005.52"/>
    <n v="5604.4160000000002"/>
  </r>
  <r>
    <s v="ORD50793"/>
    <d v="2025-06-16T00:00:00"/>
    <s v="CUST1172"/>
    <s v="P014"/>
    <x v="5"/>
    <s v="Electronics"/>
    <x v="1"/>
    <x v="3"/>
    <n v="2"/>
    <n v="2615.41"/>
    <n v="0"/>
    <x v="790"/>
    <x v="2"/>
    <s v="Net Banking"/>
    <s v="Completed"/>
    <x v="4"/>
    <s v="Completed"/>
    <s v="Store"/>
    <s v="Net Banking"/>
    <x v="1"/>
    <s v="VALID"/>
    <s v="NORMAL"/>
    <s v="Valid"/>
    <n v="5230.82"/>
    <n v="5230.82"/>
  </r>
  <r>
    <s v="ORD50794"/>
    <d v="2024-02-27T00:00:00"/>
    <s v="CUST1081"/>
    <s v="P006"/>
    <x v="10"/>
    <s v="Furniture"/>
    <x v="3"/>
    <x v="9"/>
    <n v="3"/>
    <n v="7303.14"/>
    <n v="0.05"/>
    <x v="791"/>
    <x v="0"/>
    <s v="Credit Card"/>
    <s v="Returned"/>
    <x v="5"/>
    <s v="Returned"/>
    <s v="Online"/>
    <s v="Credit Card"/>
    <x v="2"/>
    <s v="VALID"/>
    <s v="NORMAL"/>
    <s v="Valid"/>
    <n v="21909.420000000002"/>
    <n v="20813.949000000001"/>
  </r>
  <r>
    <s v="ORD50795"/>
    <d v="2025-03-19T00:00:00"/>
    <s v="CUST1108"/>
    <s v="P015"/>
    <x v="8"/>
    <s v="Accessories"/>
    <x v="0"/>
    <x v="10"/>
    <n v="1"/>
    <n v="716.67"/>
    <n v="0.2"/>
    <x v="792"/>
    <x v="1"/>
    <s v="Debit Card"/>
    <s v="Completed"/>
    <x v="1"/>
    <s v="Completed"/>
    <s v="Marketplace"/>
    <s v="Debit Card"/>
    <x v="0"/>
    <s v="VALID"/>
    <s v="NORMAL"/>
    <s v="Valid"/>
    <n v="716.67"/>
    <n v="573.33600000000001"/>
  </r>
  <r>
    <s v="ORD50796"/>
    <d v="2025-11-11T00:00:00"/>
    <s v="CUST1218"/>
    <s v="P004"/>
    <x v="6"/>
    <s v="Electronics"/>
    <x v="3"/>
    <x v="8"/>
    <n v="5"/>
    <n v="12932.87"/>
    <n v="0.05"/>
    <x v="793"/>
    <x v="1"/>
    <s v="Cash on Delivery"/>
    <s v="Returned"/>
    <x v="4"/>
    <s v="Returned"/>
    <s v="Marketplace"/>
    <s v="Cash On Delivery"/>
    <x v="1"/>
    <s v="VALID"/>
    <s v="NORMAL"/>
    <s v="Valid"/>
    <n v="64664.350000000006"/>
    <n v="61431.132500000007"/>
  </r>
  <r>
    <s v="ORD50797"/>
    <d v="2025-11-08T00:00:00"/>
    <s v="CUST1050"/>
    <s v="P003"/>
    <x v="3"/>
    <s v="Electronics"/>
    <x v="1"/>
    <x v="6"/>
    <n v="1"/>
    <n v="1657.23"/>
    <n v="0.03"/>
    <x v="794"/>
    <x v="2"/>
    <s v="Cash on Delivery"/>
    <s v="Completed"/>
    <x v="3"/>
    <s v="Completed"/>
    <s v="Store"/>
    <s v="Cash On Delivery"/>
    <x v="1"/>
    <s v="VALID"/>
    <s v="NORMAL"/>
    <s v="Valid"/>
    <n v="1657.23"/>
    <n v="1607.5131000000001"/>
  </r>
  <r>
    <s v="ORD50798"/>
    <d v="2025-08-22T00:00:00"/>
    <s v="CUST1089"/>
    <s v="P009"/>
    <x v="7"/>
    <s v="Accessories"/>
    <x v="2"/>
    <x v="5"/>
    <n v="3"/>
    <n v="1850.08"/>
    <n v="0"/>
    <x v="795"/>
    <x v="0"/>
    <s v="Cash on Delivery"/>
    <s v="Completed"/>
    <x v="4"/>
    <s v="Completed"/>
    <s v="Online"/>
    <s v="Cash On Delivery"/>
    <x v="0"/>
    <s v="VALID"/>
    <s v="NORMAL"/>
    <s v="Valid"/>
    <n v="5550.24"/>
    <n v="5550.24"/>
  </r>
  <r>
    <s v="ORD50799"/>
    <d v="2025-10-26T00:00:00"/>
    <s v="CUST1149"/>
    <s v="P008"/>
    <x v="4"/>
    <s v="Stationery"/>
    <x v="2"/>
    <x v="5"/>
    <n v="5"/>
    <n v="223.82"/>
    <n v="0.05"/>
    <x v="796"/>
    <x v="1"/>
    <s v="Net Banking"/>
    <s v="Completed"/>
    <x v="2"/>
    <s v="Completed"/>
    <s v="Marketplace"/>
    <s v="Net Banking"/>
    <x v="3"/>
    <s v="VALID"/>
    <s v="NORMAL"/>
    <s v="Valid"/>
    <n v="1119.0999999999999"/>
    <n v="1063.145"/>
  </r>
  <r>
    <s v="ORD50800"/>
    <d v="2025-09-07T00:00:00"/>
    <s v="CUST1070"/>
    <s v="P002"/>
    <x v="9"/>
    <s v="Electronics"/>
    <x v="1"/>
    <x v="1"/>
    <n v="1"/>
    <n v="1189.07"/>
    <n v="0.2"/>
    <x v="797"/>
    <x v="1"/>
    <s v="Net Banking"/>
    <s v="Completed"/>
    <x v="7"/>
    <s v="Completed"/>
    <s v="Marketplace"/>
    <s v="Net Banking"/>
    <x v="1"/>
    <s v="VALID"/>
    <s v="NORMAL"/>
    <s v="Valid"/>
    <n v="1189.07"/>
    <n v="951.25599999999997"/>
  </r>
  <r>
    <s v="ORD50801"/>
    <d v="2026-06-24T00:00:00"/>
    <s v="CUST1045"/>
    <s v="P004"/>
    <x v="6"/>
    <s v="Electronics"/>
    <x v="0"/>
    <x v="10"/>
    <n v="1"/>
    <n v="12418.35"/>
    <n v="0.15"/>
    <x v="798"/>
    <x v="0"/>
    <s v="Net Banking"/>
    <s v="Completed"/>
    <x v="5"/>
    <s v="Completed"/>
    <s v="Online"/>
    <s v="Net Banking"/>
    <x v="1"/>
    <s v="VALID"/>
    <s v="NORMAL"/>
    <s v="Valid"/>
    <n v="12418.35"/>
    <n v="10555.5975"/>
  </r>
  <r>
    <s v="ORD50802"/>
    <d v="2024-02-17T00:00:00"/>
    <s v="CUST1234"/>
    <s v="P006"/>
    <x v="10"/>
    <s v="Furniture"/>
    <x v="1"/>
    <x v="1"/>
    <n v="1"/>
    <n v="6708.3"/>
    <n v="0"/>
    <x v="799"/>
    <x v="1"/>
    <s v="Credit Card"/>
    <s v="Completed"/>
    <x v="5"/>
    <s v="Completed"/>
    <s v="Marketplace"/>
    <s v="Credit Card"/>
    <x v="2"/>
    <s v="VALID"/>
    <s v="NORMAL"/>
    <s v="Valid"/>
    <n v="6708.3"/>
    <n v="6708.3"/>
  </r>
  <r>
    <s v="ORD50803"/>
    <d v="2025-11-26T00:00:00"/>
    <s v="CUST1117"/>
    <s v="P014"/>
    <x v="5"/>
    <s v="Electronics"/>
    <x v="2"/>
    <x v="12"/>
    <n v="3"/>
    <n v="2744.05"/>
    <n v="0.1"/>
    <x v="800"/>
    <x v="0"/>
    <s v="Credit Card"/>
    <s v="Completed"/>
    <x v="4"/>
    <s v="Completed"/>
    <s v="Online"/>
    <s v="Credit Card"/>
    <x v="1"/>
    <s v="VALID"/>
    <s v="NORMAL"/>
    <s v="Valid"/>
    <n v="8232.1500000000015"/>
    <n v="7408.9350000000013"/>
  </r>
  <r>
    <s v="ORD50804"/>
    <d v="2024-04-21T00:00:00"/>
    <s v="CUST1114"/>
    <s v="P008"/>
    <x v="4"/>
    <s v="Stationery"/>
    <x v="3"/>
    <x v="11"/>
    <n v="2"/>
    <n v="205.88"/>
    <n v="0.08"/>
    <x v="801"/>
    <x v="2"/>
    <s v="Debit Card"/>
    <s v="Cancelled"/>
    <x v="3"/>
    <s v="Cancelled"/>
    <s v="Store"/>
    <s v="Debit Card"/>
    <x v="3"/>
    <s v="VALID"/>
    <s v="NORMAL"/>
    <s v="Valid"/>
    <n v="411.76"/>
    <n v="378.81919999999997"/>
  </r>
  <r>
    <s v="ORD50805"/>
    <d v="2026-05-03T00:00:00"/>
    <s v="CUST1051"/>
    <s v="P003"/>
    <x v="3"/>
    <s v="Electronics"/>
    <x v="3"/>
    <x v="15"/>
    <n v="1"/>
    <n v="1723.94"/>
    <n v="0.05"/>
    <x v="802"/>
    <x v="1"/>
    <s v="UPI"/>
    <s v="Returned"/>
    <x v="2"/>
    <s v="Returned"/>
    <s v="Marketplace"/>
    <s v="Upi"/>
    <x v="1"/>
    <s v="VALID"/>
    <s v="NORMAL"/>
    <s v="Valid"/>
    <n v="1723.94"/>
    <n v="1637.7429999999999"/>
  </r>
  <r>
    <s v="ORD50806"/>
    <d v="2025-01-05T00:00:00"/>
    <s v="CUST1190"/>
    <s v="P005"/>
    <x v="12"/>
    <s v="Furniture"/>
    <x v="2"/>
    <x v="5"/>
    <n v="4"/>
    <n v="9692.92"/>
    <n v="0.1"/>
    <x v="803"/>
    <x v="2"/>
    <s v="UPI"/>
    <s v="Cancelled"/>
    <x v="3"/>
    <s v="Cancelled"/>
    <s v="Store"/>
    <s v="Upi"/>
    <x v="2"/>
    <s v="VALID"/>
    <s v="NORMAL"/>
    <s v="Valid"/>
    <n v="38771.68"/>
    <n v="34894.512000000002"/>
  </r>
  <r>
    <s v="ORD50807"/>
    <d v="2025-08-04T00:00:00"/>
    <s v="CUST1077"/>
    <s v="P009"/>
    <x v="7"/>
    <s v="Accessories"/>
    <x v="2"/>
    <x v="4"/>
    <n v="1"/>
    <n v="1744.11"/>
    <n v="0.2"/>
    <x v="804"/>
    <x v="0"/>
    <s v="Cash on Delivery"/>
    <s v="Completed"/>
    <x v="6"/>
    <s v="Completed"/>
    <s v="Online"/>
    <s v="Cash On Delivery"/>
    <x v="0"/>
    <s v="VALID"/>
    <s v="NORMAL"/>
    <s v="Valid"/>
    <n v="1744.11"/>
    <n v="1395.288"/>
  </r>
  <r>
    <s v="ORD50808"/>
    <d v="2025-08-18T00:00:00"/>
    <s v="CUST1182"/>
    <s v="P001"/>
    <x v="13"/>
    <s v="Electronics"/>
    <x v="0"/>
    <x v="2"/>
    <n v="3"/>
    <n v="60870.57"/>
    <n v="0.03"/>
    <x v="805"/>
    <x v="0"/>
    <s v="Debit Card"/>
    <s v="Completed"/>
    <x v="4"/>
    <s v="Completed"/>
    <s v="Online"/>
    <s v="Debit Card"/>
    <x v="1"/>
    <s v="VALID"/>
    <s v="NORMAL"/>
    <s v="Valid"/>
    <n v="182611.71"/>
    <n v="177133.35869999998"/>
  </r>
  <r>
    <s v="ORD50809"/>
    <d v="2024-12-21T00:00:00"/>
    <s v="CUST1196"/>
    <s v="P004"/>
    <x v="6"/>
    <s v="Electronics"/>
    <x v="3"/>
    <x v="15"/>
    <n v="5"/>
    <n v="13251.63"/>
    <n v="0.08"/>
    <x v="806"/>
    <x v="2"/>
    <s v="Credit Card"/>
    <s v="Completed"/>
    <x v="6"/>
    <s v="Completed"/>
    <s v="Store"/>
    <s v="Credit Card"/>
    <x v="1"/>
    <s v="VALID"/>
    <s v="NORMAL"/>
    <s v="Valid"/>
    <n v="66258.149999999994"/>
    <n v="60957.497999999992"/>
  </r>
  <r>
    <s v="ORD50810"/>
    <d v="2025-01-24T00:00:00"/>
    <m/>
    <s v="P008"/>
    <x v="4"/>
    <s v="Stationery"/>
    <x v="3"/>
    <x v="11"/>
    <n v="5"/>
    <n v="222.99"/>
    <n v="0.1"/>
    <x v="807"/>
    <x v="1"/>
    <s v="Cash on Delivery"/>
    <s v="Returned"/>
    <x v="1"/>
    <s v="Returned"/>
    <s v="Marketplace"/>
    <s v="Cash On Delivery"/>
    <x v="3"/>
    <s v="VALID"/>
    <s v="NORMAL"/>
    <s v="Valid"/>
    <n v="1114.95"/>
    <n v="1003.455"/>
  </r>
  <r>
    <s v="ORD50811"/>
    <d v="2024-08-21T00:00:00"/>
    <s v="CUST1227"/>
    <s v="P001"/>
    <x v="13"/>
    <s v="Electronics"/>
    <x v="0"/>
    <x v="0"/>
    <n v="2"/>
    <n v="69336.350000000006"/>
    <n v="0.2"/>
    <x v="808"/>
    <x v="2"/>
    <s v="Debit Card"/>
    <s v="Returned"/>
    <x v="0"/>
    <s v="Returned"/>
    <s v="Store"/>
    <s v="Debit Card"/>
    <x v="1"/>
    <s v="VALID"/>
    <s v="NORMAL"/>
    <s v="Valid"/>
    <n v="138672.70000000001"/>
    <n v="110938.16"/>
  </r>
  <r>
    <s v="ORD50812"/>
    <d v="2026-03-09T00:00:00"/>
    <s v="CUST1257"/>
    <s v="P009"/>
    <x v="7"/>
    <s v="Accessories"/>
    <x v="1"/>
    <x v="3"/>
    <n v="5"/>
    <n v="1765.98"/>
    <n v="0.2"/>
    <x v="809"/>
    <x v="1"/>
    <s v="Debit Card"/>
    <s v="Returned"/>
    <x v="0"/>
    <s v="Returned"/>
    <s v="Marketplace"/>
    <s v="Debit Card"/>
    <x v="0"/>
    <s v="VALID"/>
    <s v="NORMAL"/>
    <s v="Valid"/>
    <n v="8829.9"/>
    <n v="7063.92"/>
  </r>
  <r>
    <s v="ORD50813"/>
    <d v="2025-11-08T00:00:00"/>
    <s v="CUST1249"/>
    <s v="P003"/>
    <x v="3"/>
    <s v="Electronics"/>
    <x v="0"/>
    <x v="2"/>
    <n v="4"/>
    <n v="1743.17"/>
    <n v="0.15"/>
    <x v="810"/>
    <x v="1"/>
    <s v="UPI"/>
    <s v="Completed"/>
    <x v="5"/>
    <s v="Completed"/>
    <s v="Marketplace"/>
    <s v="Upi"/>
    <x v="1"/>
    <s v="VALID"/>
    <s v="NORMAL"/>
    <s v="Valid"/>
    <n v="6972.68"/>
    <n v="5926.7780000000002"/>
  </r>
  <r>
    <s v="ORD50814"/>
    <d v="2024-07-01T00:00:00"/>
    <s v="CUST1223"/>
    <s v="P012"/>
    <x v="0"/>
    <s v="Accessories"/>
    <x v="3"/>
    <x v="9"/>
    <n v="1"/>
    <n v="857.46"/>
    <n v="0.15"/>
    <x v="811"/>
    <x v="2"/>
    <s v="Net Banking"/>
    <s v="Cancelled"/>
    <x v="1"/>
    <s v="Cancelled"/>
    <s v="Store"/>
    <s v="Net Banking"/>
    <x v="0"/>
    <s v="VALID"/>
    <s v="NORMAL"/>
    <s v="Valid"/>
    <n v="857.46"/>
    <n v="728.84100000000001"/>
  </r>
  <r>
    <s v="ORD50815"/>
    <d v="2025-07-31T00:00:00"/>
    <s v="CUST1174"/>
    <s v="P007"/>
    <x v="11"/>
    <s v="Stationery"/>
    <x v="0"/>
    <x v="2"/>
    <n v="5"/>
    <n v="468.89"/>
    <n v="0.05"/>
    <x v="812"/>
    <x v="2"/>
    <s v="Credit Card"/>
    <s v="Returned"/>
    <x v="0"/>
    <s v="Returned"/>
    <s v="Store"/>
    <s v="Credit Card"/>
    <x v="3"/>
    <s v="VALID"/>
    <s v="NORMAL"/>
    <s v="Valid"/>
    <n v="2344.4499999999998"/>
    <n v="2227.2275"/>
  </r>
  <r>
    <s v="ORD50816"/>
    <d v="2024-08-08T00:00:00"/>
    <s v="CUST1020"/>
    <s v="P005"/>
    <x v="12"/>
    <s v="Furniture"/>
    <x v="2"/>
    <x v="12"/>
    <n v="5"/>
    <n v="9582.11"/>
    <n v="0"/>
    <x v="813"/>
    <x v="1"/>
    <s v="Net Banking"/>
    <s v="Completed"/>
    <x v="1"/>
    <s v="Completed"/>
    <s v="Marketplace"/>
    <s v="Net Banking"/>
    <x v="2"/>
    <s v="VALID"/>
    <s v="NORMAL"/>
    <s v="Valid"/>
    <n v="47910.55"/>
    <n v="47910.55"/>
  </r>
  <r>
    <s v="ORD50817"/>
    <d v="2024-05-29T00:00:00"/>
    <s v="CUST1260"/>
    <s v="P001"/>
    <x v="13"/>
    <s v="Electronics"/>
    <x v="2"/>
    <x v="4"/>
    <n v="4"/>
    <n v="62863.31"/>
    <n v="0"/>
    <x v="814"/>
    <x v="0"/>
    <s v="Cash on Delivery"/>
    <s v="Completed"/>
    <x v="3"/>
    <s v="Completed"/>
    <s v="Online"/>
    <s v="Cash On Delivery"/>
    <x v="1"/>
    <s v="VALID"/>
    <s v="NORMAL"/>
    <s v="Valid"/>
    <n v="251453.24"/>
    <n v="251453.24"/>
  </r>
  <r>
    <s v="ORD50818"/>
    <d v="2025-01-22T00:00:00"/>
    <s v="CUST1181"/>
    <s v="P015"/>
    <x v="8"/>
    <s v="Accessories"/>
    <x v="2"/>
    <x v="13"/>
    <n v="5"/>
    <n v="715.48"/>
    <n v="0.05"/>
    <x v="815"/>
    <x v="0"/>
    <s v="Credit Card"/>
    <s v="Completed"/>
    <x v="4"/>
    <s v="Completed"/>
    <s v="Online"/>
    <s v="Credit Card"/>
    <x v="0"/>
    <s v="VALID"/>
    <s v="NORMAL"/>
    <s v="Valid"/>
    <n v="3577.4"/>
    <n v="3398.53"/>
  </r>
  <r>
    <s v="ORD50819"/>
    <d v="2024-03-12T00:00:00"/>
    <s v="CUST1086"/>
    <s v="P014"/>
    <x v="5"/>
    <s v="Electronics"/>
    <x v="3"/>
    <x v="15"/>
    <n v="3"/>
    <n v="2614.7399999999998"/>
    <n v="0.15"/>
    <x v="816"/>
    <x v="2"/>
    <s v="Cash on Delivery"/>
    <s v="Returned"/>
    <x v="1"/>
    <s v="Returned"/>
    <s v="Store"/>
    <s v="Cash On Delivery"/>
    <x v="1"/>
    <s v="VALID"/>
    <s v="NORMAL"/>
    <s v="Valid"/>
    <n v="7844.2199999999993"/>
    <n v="6667.5869999999995"/>
  </r>
  <r>
    <s v="ORD50820"/>
    <d v="2024-02-07T00:00:00"/>
    <s v="CUST1066"/>
    <s v="P006"/>
    <x v="10"/>
    <s v="Furniture"/>
    <x v="3"/>
    <x v="15"/>
    <n v="3"/>
    <n v="7317.82"/>
    <n v="0.03"/>
    <x v="817"/>
    <x v="1"/>
    <s v="Debit Card"/>
    <s v="Completed"/>
    <x v="1"/>
    <s v="Completed"/>
    <s v="Marketplace"/>
    <s v="Debit Card"/>
    <x v="2"/>
    <s v="VALID"/>
    <s v="NORMAL"/>
    <s v="Valid"/>
    <n v="21953.46"/>
    <n v="21294.856199999998"/>
  </r>
  <r>
    <s v="ORD50821"/>
    <d v="2025-06-16T00:00:00"/>
    <s v="CUST1065"/>
    <s v="P012"/>
    <x v="0"/>
    <s v="Accessories"/>
    <x v="2"/>
    <x v="13"/>
    <n v="4"/>
    <n v="803.87"/>
    <n v="0.03"/>
    <x v="818"/>
    <x v="2"/>
    <s v="Credit Card"/>
    <s v="Cancelled"/>
    <x v="1"/>
    <s v="Cancelled"/>
    <s v="Store"/>
    <s v="Credit Card"/>
    <x v="0"/>
    <s v="VALID"/>
    <s v="NORMAL"/>
    <s v="Valid"/>
    <n v="3215.48"/>
    <n v="3119.0156000000002"/>
  </r>
  <r>
    <s v="ORD50822"/>
    <d v="2025-09-25T00:00:00"/>
    <s v="CUST1228"/>
    <s v="P011"/>
    <x v="1"/>
    <s v="Electronics"/>
    <x v="0"/>
    <x v="10"/>
    <n v="2"/>
    <n v="3085.89"/>
    <n v="0.15"/>
    <x v="819"/>
    <x v="1"/>
    <s v="UPI"/>
    <s v="Completed"/>
    <x v="6"/>
    <s v="Completed"/>
    <s v="Marketplace"/>
    <s v="Upi"/>
    <x v="1"/>
    <s v="VALID"/>
    <s v="NORMAL"/>
    <s v="Valid"/>
    <n v="6171.78"/>
    <n v="5246.0129999999999"/>
  </r>
  <r>
    <s v="ORD50823"/>
    <d v="2025-10-08T00:00:00"/>
    <s v="CUST1019"/>
    <s v="P009"/>
    <x v="7"/>
    <s v="Accessories"/>
    <x v="1"/>
    <x v="3"/>
    <n v="2"/>
    <n v="1864.34"/>
    <n v="0.05"/>
    <x v="820"/>
    <x v="1"/>
    <s v="UPI"/>
    <s v="Completed"/>
    <x v="6"/>
    <s v="Completed"/>
    <s v="Marketplace"/>
    <s v="Upi"/>
    <x v="0"/>
    <s v="VALID"/>
    <s v="NORMAL"/>
    <s v="Valid"/>
    <n v="3728.68"/>
    <n v="3542.2459999999996"/>
  </r>
  <r>
    <s v="ORD50824"/>
    <d v="2024-07-04T00:00:00"/>
    <s v="CUST1163"/>
    <s v="P008"/>
    <x v="4"/>
    <s v="Stationery"/>
    <x v="1"/>
    <x v="7"/>
    <n v="3"/>
    <n v="225.55"/>
    <n v="0.15"/>
    <x v="821"/>
    <x v="1"/>
    <s v="Cash on Delivery"/>
    <s v="Completed"/>
    <x v="5"/>
    <s v="Completed"/>
    <s v="Marketplace"/>
    <s v="Cash On Delivery"/>
    <x v="3"/>
    <s v="VALID"/>
    <s v="NORMAL"/>
    <s v="Valid"/>
    <n v="676.65000000000009"/>
    <n v="575.15250000000003"/>
  </r>
  <r>
    <s v="ORD50825"/>
    <d v="2025-07-26T00:00:00"/>
    <s v="CUST1095"/>
    <s v="P009"/>
    <x v="7"/>
    <s v="Accessories"/>
    <x v="2"/>
    <x v="13"/>
    <n v="3"/>
    <n v="1891.89"/>
    <n v="0.1"/>
    <x v="822"/>
    <x v="2"/>
    <s v="UPI"/>
    <s v="Completed"/>
    <x v="6"/>
    <s v="Completed"/>
    <s v="Store"/>
    <s v="Upi"/>
    <x v="0"/>
    <s v="VALID"/>
    <s v="NORMAL"/>
    <s v="Valid"/>
    <n v="5675.67"/>
    <n v="5108.1030000000001"/>
  </r>
  <r>
    <s v="ORD50826"/>
    <d v="2024-05-09T00:00:00"/>
    <s v="CUST1062"/>
    <s v="P012"/>
    <x v="0"/>
    <s v="Accessories"/>
    <x v="1"/>
    <x v="1"/>
    <n v="3"/>
    <n v="911.45"/>
    <n v="0.2"/>
    <x v="823"/>
    <x v="2"/>
    <s v="Net Banking"/>
    <s v="Completed"/>
    <x v="6"/>
    <s v="Completed"/>
    <s v="Store"/>
    <s v="Net Banking"/>
    <x v="0"/>
    <s v="VALID"/>
    <s v="NORMAL"/>
    <s v="Valid"/>
    <n v="2734.3500000000004"/>
    <n v="2187.4800000000005"/>
  </r>
  <r>
    <s v="ORD50827"/>
    <d v="2024-01-22T00:00:00"/>
    <s v="CUST1260"/>
    <s v="P005"/>
    <x v="12"/>
    <s v="Furniture"/>
    <x v="0"/>
    <x v="14"/>
    <n v="1"/>
    <n v="8785.93"/>
    <n v="0.08"/>
    <x v="824"/>
    <x v="2"/>
    <s v="UPI"/>
    <s v="Completed"/>
    <x v="7"/>
    <s v="Completed"/>
    <s v="Store"/>
    <s v="Upi"/>
    <x v="2"/>
    <s v="VALID"/>
    <s v="NORMAL"/>
    <s v="Valid"/>
    <n v="8785.93"/>
    <n v="8083.0556000000006"/>
  </r>
  <r>
    <s v="ORD50828"/>
    <d v="2025-09-13T00:00:00"/>
    <s v="CUST1153"/>
    <s v="P005"/>
    <x v="12"/>
    <s v="Furniture"/>
    <x v="2"/>
    <x v="4"/>
    <n v="4"/>
    <n v="9068.93"/>
    <n v="0.15"/>
    <x v="825"/>
    <x v="0"/>
    <s v="Credit Card"/>
    <s v="Cancelled"/>
    <x v="0"/>
    <s v="Cancelled"/>
    <s v="Online"/>
    <s v="Credit Card"/>
    <x v="2"/>
    <s v="VALID"/>
    <s v="NORMAL"/>
    <s v="Valid"/>
    <n v="36275.72"/>
    <n v="30834.362000000001"/>
  </r>
  <r>
    <s v="ORD50829"/>
    <d v="2026-04-02T00:00:00"/>
    <s v="CUST1062"/>
    <s v="P012"/>
    <x v="0"/>
    <s v="Accessories"/>
    <x v="1"/>
    <x v="7"/>
    <n v="1"/>
    <n v="887.96"/>
    <n v="0.03"/>
    <x v="826"/>
    <x v="0"/>
    <s v="UPI"/>
    <s v="Completed"/>
    <x v="3"/>
    <s v="Completed"/>
    <s v="Online"/>
    <s v="Upi"/>
    <x v="0"/>
    <s v="VALID"/>
    <s v="NORMAL"/>
    <s v="Valid"/>
    <n v="887.96"/>
    <n v="861.32120000000009"/>
  </r>
  <r>
    <s v="ORD50830"/>
    <d v="2025-02-19T00:00:00"/>
    <s v="CUST1215"/>
    <s v="P005"/>
    <x v="12"/>
    <s v="Furniture"/>
    <x v="1"/>
    <x v="3"/>
    <n v="2"/>
    <n v="9329.27"/>
    <n v="0.08"/>
    <x v="827"/>
    <x v="0"/>
    <s v="Debit Card"/>
    <s v="Completed"/>
    <x v="3"/>
    <s v="Completed"/>
    <s v="Online"/>
    <s v="Debit Card"/>
    <x v="2"/>
    <s v="VALID"/>
    <s v="NORMAL"/>
    <s v="Valid"/>
    <n v="18658.54"/>
    <n v="17165.856800000001"/>
  </r>
  <r>
    <s v="ORD50831"/>
    <d v="2025-07-16T00:00:00"/>
    <s v="CUST1085"/>
    <s v="P007"/>
    <x v="11"/>
    <s v="Stationery"/>
    <x v="2"/>
    <x v="5"/>
    <n v="2"/>
    <n v="463.52"/>
    <n v="0.05"/>
    <x v="828"/>
    <x v="0"/>
    <s v="Debit Card"/>
    <s v="Cancelled"/>
    <x v="1"/>
    <s v="Cancelled"/>
    <s v="Online"/>
    <s v="Debit Card"/>
    <x v="3"/>
    <s v="VALID"/>
    <s v="NORMAL"/>
    <s v="Valid"/>
    <n v="927.04"/>
    <n v="880.68799999999999"/>
  </r>
  <r>
    <s v="ORD50832"/>
    <d v="2024-07-02T00:00:00"/>
    <s v="CUST1103"/>
    <s v="P010"/>
    <x v="14"/>
    <s v="Electronics"/>
    <x v="2"/>
    <x v="12"/>
    <n v="4"/>
    <n v="2218.5700000000002"/>
    <n v="0.9"/>
    <x v="829"/>
    <x v="2"/>
    <s v="Credit Card"/>
    <s v="Completed"/>
    <x v="2"/>
    <s v="Completed"/>
    <s v="Store"/>
    <s v="Credit Card"/>
    <x v="1"/>
    <s v="VALID"/>
    <s v="NORMAL"/>
    <s v="Valid"/>
    <n v="8874.2800000000007"/>
    <n v="887.42799999999988"/>
  </r>
  <r>
    <s v="ORD50833"/>
    <d v="2025-11-20T00:00:00"/>
    <s v="CUST1070"/>
    <s v="P004"/>
    <x v="6"/>
    <s v="Electronics"/>
    <x v="0"/>
    <x v="14"/>
    <n v="5"/>
    <n v="13049.41"/>
    <n v="0.2"/>
    <x v="830"/>
    <x v="0"/>
    <s v="Debit Card"/>
    <s v="Completed"/>
    <x v="0"/>
    <s v="Completed"/>
    <s v="Online"/>
    <s v="Debit Card"/>
    <x v="1"/>
    <s v="VALID"/>
    <s v="NORMAL"/>
    <s v="Valid"/>
    <n v="65247.05"/>
    <n v="52197.64"/>
  </r>
  <r>
    <s v="ORD50834"/>
    <d v="2025-10-25T00:00:00"/>
    <s v="CUST1119"/>
    <s v="P005"/>
    <x v="12"/>
    <s v="Furniture"/>
    <x v="2"/>
    <x v="16"/>
    <n v="2"/>
    <n v="10199.11"/>
    <n v="0"/>
    <x v="831"/>
    <x v="0"/>
    <s v="Credit Card"/>
    <s v="Returned"/>
    <x v="3"/>
    <s v="Returned"/>
    <s v="Online"/>
    <s v="Credit Card"/>
    <x v="2"/>
    <s v="VALID"/>
    <s v="NORMAL"/>
    <s v="Valid"/>
    <n v="20398.22"/>
    <n v="20398.22"/>
  </r>
  <r>
    <s v="ORD50835"/>
    <d v="2026-06-30T00:00:00"/>
    <s v="CUST1002"/>
    <s v="P008"/>
    <x v="4"/>
    <s v="Stationery"/>
    <x v="1"/>
    <x v="6"/>
    <n v="4"/>
    <n v="235.22"/>
    <n v="0"/>
    <x v="832"/>
    <x v="2"/>
    <s v="Cash on Delivery"/>
    <s v="Returned"/>
    <x v="1"/>
    <s v="Returned"/>
    <s v="Store"/>
    <s v="Cash On Delivery"/>
    <x v="3"/>
    <s v="VALID"/>
    <s v="NORMAL"/>
    <s v="Valid"/>
    <n v="940.88"/>
    <n v="940.88"/>
  </r>
  <r>
    <s v="ORD50836"/>
    <d v="2026-01-15T00:00:00"/>
    <s v="CUST1003"/>
    <s v="P010"/>
    <x v="14"/>
    <s v="Electronics"/>
    <x v="1"/>
    <x v="1"/>
    <n v="1"/>
    <n v="2149.77"/>
    <n v="0.1"/>
    <x v="833"/>
    <x v="1"/>
    <s v="Net Banking"/>
    <s v="Completed"/>
    <x v="3"/>
    <s v="Completed"/>
    <s v="Marketplace"/>
    <s v="Net Banking"/>
    <x v="1"/>
    <s v="VALID"/>
    <s v="NORMAL"/>
    <s v="Valid"/>
    <n v="2149.77"/>
    <n v="1934.7929999999999"/>
  </r>
  <r>
    <s v="ORD50837"/>
    <d v="2024-12-01T00:00:00"/>
    <s v="CUST1216"/>
    <s v="P011"/>
    <x v="1"/>
    <s v="Electronics"/>
    <x v="2"/>
    <x v="5"/>
    <n v="1"/>
    <n v="3048.54"/>
    <n v="0.08"/>
    <x v="834"/>
    <x v="1"/>
    <s v="Net Banking"/>
    <s v="Completed"/>
    <x v="4"/>
    <s v="Completed"/>
    <s v="Marketplace"/>
    <s v="Net Banking"/>
    <x v="1"/>
    <s v="VALID"/>
    <s v="NORMAL"/>
    <s v="Valid"/>
    <n v="3048.54"/>
    <n v="2804.6567999999997"/>
  </r>
  <r>
    <s v="ORD50838"/>
    <d v="2024-04-27T00:00:00"/>
    <s v="CUST1074"/>
    <s v="P006"/>
    <x v="10"/>
    <s v="Furniture"/>
    <x v="1"/>
    <x v="3"/>
    <n v="1"/>
    <n v="7475.05"/>
    <n v="0.15"/>
    <x v="835"/>
    <x v="2"/>
    <s v="Credit Card"/>
    <s v="Completed"/>
    <x v="6"/>
    <s v="Completed"/>
    <s v="Store"/>
    <s v="Credit Card"/>
    <x v="2"/>
    <s v="VALID"/>
    <s v="NORMAL"/>
    <s v="Valid"/>
    <n v="7475.05"/>
    <n v="6353.7925000000005"/>
  </r>
  <r>
    <s v="ORD50839"/>
    <d v="2025-01-02T00:00:00"/>
    <s v="CUST1116"/>
    <s v="P006"/>
    <x v="10"/>
    <s v="Furniture"/>
    <x v="0"/>
    <x v="0"/>
    <n v="3"/>
    <n v="6630.74"/>
    <n v="0.1"/>
    <x v="836"/>
    <x v="2"/>
    <s v="Debit Card"/>
    <s v="Cancelled"/>
    <x v="5"/>
    <s v="Cancelled"/>
    <s v="Store"/>
    <s v="Debit Card"/>
    <x v="2"/>
    <s v="VALID"/>
    <s v="NORMAL"/>
    <s v="Valid"/>
    <n v="19892.22"/>
    <n v="17902.998"/>
  </r>
  <r>
    <s v="ORD50840"/>
    <d v="2024-06-08T00:00:00"/>
    <s v="CUST1005"/>
    <s v="P015"/>
    <x v="8"/>
    <s v="Accessories"/>
    <x v="1"/>
    <x v="7"/>
    <n v="4"/>
    <n v="663.96"/>
    <n v="0.08"/>
    <x v="837"/>
    <x v="2"/>
    <s v="UPI"/>
    <s v="Completed"/>
    <x v="4"/>
    <s v="Completed"/>
    <s v="Store"/>
    <s v="Upi"/>
    <x v="0"/>
    <s v="VALID"/>
    <s v="NORMAL"/>
    <s v="Valid"/>
    <n v="2655.84"/>
    <n v="2443.3728000000001"/>
  </r>
  <r>
    <s v="ORD50841"/>
    <d v="2025-08-07T00:00:00"/>
    <s v="CUST1028"/>
    <s v="P011"/>
    <x v="1"/>
    <s v="Electronics"/>
    <x v="0"/>
    <x v="10"/>
    <n v="1"/>
    <n v="3322.85"/>
    <n v="0"/>
    <x v="838"/>
    <x v="0"/>
    <s v="Credit Card"/>
    <s v="Cancelled"/>
    <x v="2"/>
    <s v="Cancelled"/>
    <s v="Online"/>
    <s v="Credit Card"/>
    <x v="1"/>
    <s v="VALID"/>
    <s v="NORMAL"/>
    <s v="Valid"/>
    <n v="3322.85"/>
    <n v="3322.85"/>
  </r>
  <r>
    <s v="ORD50842"/>
    <d v="2025-12-27T00:00:00"/>
    <s v="CUST1097"/>
    <s v="P007"/>
    <x v="11"/>
    <s v="Stationery"/>
    <x v="3"/>
    <x v="8"/>
    <n v="5"/>
    <n v="420.96"/>
    <n v="0.08"/>
    <x v="839"/>
    <x v="2"/>
    <s v="UPI"/>
    <s v="Completed"/>
    <x v="5"/>
    <s v="Completed"/>
    <s v="Store"/>
    <s v="Upi"/>
    <x v="3"/>
    <s v="VALID"/>
    <s v="NORMAL"/>
    <s v="Valid"/>
    <n v="2104.7999999999997"/>
    <n v="1936.4159999999997"/>
  </r>
  <r>
    <s v="ORD50843"/>
    <d v="2025-12-18T00:00:00"/>
    <s v="CUST1034"/>
    <s v="P004"/>
    <x v="6"/>
    <s v="Electronics"/>
    <x v="1"/>
    <x v="6"/>
    <n v="4"/>
    <n v="11919.19"/>
    <n v="0"/>
    <x v="840"/>
    <x v="2"/>
    <s v="Debit Card"/>
    <s v="Completed"/>
    <x v="0"/>
    <s v="Completed"/>
    <s v="Store"/>
    <s v="Debit Card"/>
    <x v="1"/>
    <s v="VALID"/>
    <s v="NORMAL"/>
    <s v="Valid"/>
    <n v="47676.76"/>
    <n v="47676.76"/>
  </r>
  <r>
    <s v="ORD50844"/>
    <d v="2026-06-29T00:00:00"/>
    <s v="CUST1243"/>
    <s v="P012"/>
    <x v="0"/>
    <s v="Accessories"/>
    <x v="3"/>
    <x v="9"/>
    <n v="1"/>
    <n v="829.65"/>
    <n v="0"/>
    <x v="841"/>
    <x v="0"/>
    <s v="Cash on Delivery"/>
    <s v="Completed"/>
    <x v="5"/>
    <s v="Completed"/>
    <s v="Online"/>
    <s v="Cash On Delivery"/>
    <x v="0"/>
    <s v="VALID"/>
    <s v="NORMAL"/>
    <s v="Valid"/>
    <n v="829.65"/>
    <n v="829.65"/>
  </r>
  <r>
    <s v="ORD50845"/>
    <d v="2025-12-07T00:00:00"/>
    <s v="CUST1108"/>
    <s v="P014"/>
    <x v="5"/>
    <s v="Electronics"/>
    <x v="1"/>
    <x v="7"/>
    <n v="1"/>
    <n v="2910.16"/>
    <n v="0.1"/>
    <x v="842"/>
    <x v="0"/>
    <s v="Cash on Delivery"/>
    <s v="Completed"/>
    <x v="5"/>
    <s v="Completed"/>
    <s v="Online"/>
    <s v="Cash On Delivery"/>
    <x v="1"/>
    <s v="VALID"/>
    <s v="NORMAL"/>
    <s v="Valid"/>
    <n v="2910.16"/>
    <n v="2619.1439999999998"/>
  </r>
  <r>
    <s v="ORD50846"/>
    <d v="2024-08-04T00:00:00"/>
    <s v="CUST1239"/>
    <s v="P013"/>
    <x v="2"/>
    <s v="Furniture"/>
    <x v="2"/>
    <x v="4"/>
    <n v="3"/>
    <n v="1536.13"/>
    <n v="0.2"/>
    <x v="843"/>
    <x v="0"/>
    <s v="Credit Card"/>
    <s v="Completed"/>
    <x v="4"/>
    <s v="Completed"/>
    <s v="Online"/>
    <s v="Credit Card"/>
    <x v="2"/>
    <s v="VALID"/>
    <s v="NORMAL"/>
    <s v="Valid"/>
    <n v="4608.3900000000003"/>
    <n v="3686.7120000000004"/>
  </r>
  <r>
    <s v="ORD50847"/>
    <d v="2025-05-19T00:00:00"/>
    <s v="CUST1132"/>
    <s v="P004"/>
    <x v="6"/>
    <s v="Electronics"/>
    <x v="1"/>
    <x v="1"/>
    <n v="1"/>
    <n v="11725.43"/>
    <n v="0.1"/>
    <x v="844"/>
    <x v="2"/>
    <s v="Credit Card"/>
    <s v="Returned"/>
    <x v="7"/>
    <s v="Returned"/>
    <s v="Store"/>
    <s v="Credit Card"/>
    <x v="1"/>
    <s v="VALID"/>
    <s v="NORMAL"/>
    <s v="Valid"/>
    <n v="11725.43"/>
    <n v="10552.887000000001"/>
  </r>
  <r>
    <s v="ORD50848"/>
    <d v="2024-11-26T00:00:00"/>
    <s v="CUST1042"/>
    <s v="P001"/>
    <x v="13"/>
    <s v="Electronics"/>
    <x v="3"/>
    <x v="8"/>
    <n v="3"/>
    <n v="67974.05"/>
    <n v="0.05"/>
    <x v="845"/>
    <x v="2"/>
    <s v="UPI"/>
    <s v="Completed"/>
    <x v="7"/>
    <s v="Completed"/>
    <s v="Store"/>
    <s v="Upi"/>
    <x v="1"/>
    <s v="VALID"/>
    <s v="NORMAL"/>
    <s v="Valid"/>
    <n v="203922.15000000002"/>
    <n v="193726.04250000001"/>
  </r>
  <r>
    <s v="ORD50849"/>
    <d v="2024-03-20T00:00:00"/>
    <s v="CUST1029"/>
    <s v="P008"/>
    <x v="4"/>
    <s v="Stationery"/>
    <x v="0"/>
    <x v="14"/>
    <n v="2"/>
    <n v="236.94"/>
    <n v="0.05"/>
    <x v="846"/>
    <x v="0"/>
    <s v="Debit Card"/>
    <s v="Completed"/>
    <x v="3"/>
    <s v="Completed"/>
    <s v="Online"/>
    <s v="Debit Card"/>
    <x v="3"/>
    <s v="VALID"/>
    <s v="NORMAL"/>
    <s v="Valid"/>
    <n v="473.88"/>
    <n v="450.18599999999998"/>
  </r>
  <r>
    <s v="ORD50850"/>
    <d v="2024-05-12T00:00:00"/>
    <s v="CUST1056"/>
    <s v="P010"/>
    <x v="14"/>
    <s v="Electronics"/>
    <x v="0"/>
    <x v="10"/>
    <n v="4"/>
    <n v="2111.84"/>
    <n v="0.08"/>
    <x v="847"/>
    <x v="2"/>
    <s v="Net Banking"/>
    <s v="Completed"/>
    <x v="1"/>
    <s v="Completed"/>
    <s v="Store"/>
    <s v="Net Banking"/>
    <x v="1"/>
    <s v="VALID"/>
    <s v="NORMAL"/>
    <s v="Valid"/>
    <n v="8447.36"/>
    <n v="7771.5712000000003"/>
  </r>
  <r>
    <s v="ORD50851"/>
    <d v="2026-02-16T00:00:00"/>
    <s v="CUST1052"/>
    <s v="P014"/>
    <x v="5"/>
    <s v="Electronics"/>
    <x v="1"/>
    <x v="3"/>
    <n v="2"/>
    <n v="3003.65"/>
    <n v="0"/>
    <x v="848"/>
    <x v="1"/>
    <s v="Net Banking"/>
    <s v="Completed"/>
    <x v="3"/>
    <s v="Completed"/>
    <s v="Marketplace"/>
    <s v="Net Banking"/>
    <x v="1"/>
    <s v="VALID"/>
    <s v="NORMAL"/>
    <s v="Valid"/>
    <n v="6007.3"/>
    <n v="6007.3"/>
  </r>
  <r>
    <s v="ORD50852"/>
    <d v="2026-02-06T00:00:00"/>
    <s v="CUST1098"/>
    <s v="P013"/>
    <x v="2"/>
    <s v="Furniture"/>
    <x v="0"/>
    <x v="2"/>
    <n v="5"/>
    <n v="1686.94"/>
    <n v="0.05"/>
    <x v="849"/>
    <x v="2"/>
    <s v="Credit Card"/>
    <s v="Completed"/>
    <x v="7"/>
    <s v="Completed"/>
    <s v="Store"/>
    <s v="Credit Card"/>
    <x v="2"/>
    <s v="VALID"/>
    <s v="NORMAL"/>
    <s v="Valid"/>
    <n v="8434.7000000000007"/>
    <n v="8012.9650000000011"/>
  </r>
  <r>
    <s v="ORD50853"/>
    <d v="2025-03-13T00:00:00"/>
    <s v="CUST1251"/>
    <s v="P006"/>
    <x v="10"/>
    <s v="Furniture"/>
    <x v="0"/>
    <x v="0"/>
    <n v="1"/>
    <n v="7257.17"/>
    <n v="0"/>
    <x v="850"/>
    <x v="2"/>
    <s v="Debit Card"/>
    <s v="Completed"/>
    <x v="4"/>
    <s v="Completed"/>
    <s v="Store"/>
    <s v="Debit Card"/>
    <x v="2"/>
    <s v="VALID"/>
    <s v="NORMAL"/>
    <s v="Valid"/>
    <n v="7257.17"/>
    <n v="7257.17"/>
  </r>
  <r>
    <s v="ORD50854"/>
    <d v="2025-05-17T00:00:00"/>
    <s v="CUST1200"/>
    <s v="P009"/>
    <x v="7"/>
    <s v="Accessories"/>
    <x v="2"/>
    <x v="12"/>
    <n v="1"/>
    <n v="1835.04"/>
    <n v="0.2"/>
    <x v="851"/>
    <x v="0"/>
    <s v="Debit Card"/>
    <s v="Returned"/>
    <x v="1"/>
    <s v="Returned"/>
    <s v="Online"/>
    <s v="Debit Card"/>
    <x v="0"/>
    <s v="VALID"/>
    <s v="NORMAL"/>
    <s v="Valid"/>
    <n v="1835.04"/>
    <n v="1468.0319999999999"/>
  </r>
  <r>
    <s v="ORD50855"/>
    <d v="2026-06-05T00:00:00"/>
    <s v="CUST1046"/>
    <s v="P001"/>
    <x v="13"/>
    <s v="Electronics"/>
    <x v="2"/>
    <x v="13"/>
    <n v="2"/>
    <n v="66685.72"/>
    <n v="0.1"/>
    <x v="852"/>
    <x v="1"/>
    <s v="Cash on Delivery"/>
    <s v="Completed"/>
    <x v="7"/>
    <s v="Completed"/>
    <s v="Marketplace"/>
    <s v="Cash On Delivery"/>
    <x v="1"/>
    <s v="VALID"/>
    <s v="NORMAL"/>
    <s v="Valid"/>
    <n v="133371.44"/>
    <n v="120034.296"/>
  </r>
  <r>
    <s v="ORD50856"/>
    <d v="2024-10-30T00:00:00"/>
    <s v="CUST1068"/>
    <s v="P006"/>
    <x v="10"/>
    <s v="Furniture"/>
    <x v="0"/>
    <x v="10"/>
    <n v="2"/>
    <n v="7694.71"/>
    <n v="0.03"/>
    <x v="853"/>
    <x v="2"/>
    <s v="UPI"/>
    <s v="Completed"/>
    <x v="2"/>
    <s v="Completed"/>
    <s v="Store"/>
    <s v="Upi"/>
    <x v="2"/>
    <s v="VALID"/>
    <s v="NORMAL"/>
    <s v="Valid"/>
    <n v="15389.42"/>
    <n v="14927.7374"/>
  </r>
  <r>
    <s v="ORD50857"/>
    <d v="2026-04-23T00:00:00"/>
    <s v="CUST1173"/>
    <s v="P014"/>
    <x v="5"/>
    <s v="Electronics"/>
    <x v="1"/>
    <x v="7"/>
    <n v="2"/>
    <n v="2645.96"/>
    <n v="0.1"/>
    <x v="854"/>
    <x v="0"/>
    <s v="Debit Card"/>
    <s v="Returned"/>
    <x v="4"/>
    <s v="Returned"/>
    <s v="Online"/>
    <s v="Debit Card"/>
    <x v="1"/>
    <s v="VALID"/>
    <s v="NORMAL"/>
    <s v="Valid"/>
    <n v="5291.92"/>
    <n v="4762.7280000000001"/>
  </r>
  <r>
    <s v="ORD50858"/>
    <d v="2024-05-15T00:00:00"/>
    <s v="CUST1221"/>
    <s v="P013"/>
    <x v="2"/>
    <s v="Furniture"/>
    <x v="3"/>
    <x v="9"/>
    <n v="4"/>
    <n v="1692.86"/>
    <n v="0.08"/>
    <x v="855"/>
    <x v="0"/>
    <s v="UPI"/>
    <s v="Completed"/>
    <x v="5"/>
    <s v="Completed"/>
    <s v="Online"/>
    <s v="Upi"/>
    <x v="2"/>
    <s v="VALID"/>
    <s v="NORMAL"/>
    <s v="Valid"/>
    <n v="6771.44"/>
    <n v="6229.7248"/>
  </r>
  <r>
    <s v="ORD50859"/>
    <d v="2025-06-28T00:00:00"/>
    <s v="CUST1196"/>
    <s v="P011"/>
    <x v="1"/>
    <s v="Electronics"/>
    <x v="3"/>
    <x v="8"/>
    <n v="5"/>
    <n v="3301.5"/>
    <n v="0.15"/>
    <x v="856"/>
    <x v="2"/>
    <s v="Debit Card"/>
    <s v="Completed"/>
    <x v="5"/>
    <s v="Completed"/>
    <s v="Store"/>
    <s v="Debit Card"/>
    <x v="1"/>
    <s v="VALID"/>
    <s v="NORMAL"/>
    <s v="Valid"/>
    <n v="16507.5"/>
    <n v="14031.375"/>
  </r>
  <r>
    <s v="ORD50860"/>
    <d v="2025-10-15T00:00:00"/>
    <s v="CUST1019"/>
    <s v="P012"/>
    <x v="0"/>
    <s v="Accessories"/>
    <x v="0"/>
    <x v="10"/>
    <n v="3"/>
    <n v="859.34"/>
    <n v="0.2"/>
    <x v="857"/>
    <x v="2"/>
    <s v="Debit Card"/>
    <s v="Returned"/>
    <x v="7"/>
    <s v="Returned"/>
    <s v="Store"/>
    <s v="Debit Card"/>
    <x v="0"/>
    <s v="VALID"/>
    <s v="NORMAL"/>
    <s v="Valid"/>
    <n v="2578.02"/>
    <n v="2062.4160000000002"/>
  </r>
  <r>
    <s v="ORD50861"/>
    <d v="2025-01-10T00:00:00"/>
    <s v="CUST1152"/>
    <s v="P007"/>
    <x v="11"/>
    <s v="Stationery"/>
    <x v="0"/>
    <x v="2"/>
    <n v="4"/>
    <n v="414.68"/>
    <n v="0.03"/>
    <x v="858"/>
    <x v="2"/>
    <s v="Credit Card"/>
    <s v="Completed"/>
    <x v="0"/>
    <s v="Completed"/>
    <s v="Store"/>
    <s v="Credit Card"/>
    <x v="3"/>
    <s v="VALID"/>
    <s v="NORMAL"/>
    <s v="Valid"/>
    <n v="1658.72"/>
    <n v="1608.9584"/>
  </r>
  <r>
    <s v="ORD50862"/>
    <d v="2026-04-14T00:00:00"/>
    <s v="CUST1256"/>
    <s v="P001"/>
    <x v="13"/>
    <s v="Electronics"/>
    <x v="2"/>
    <x v="12"/>
    <n v="1"/>
    <n v="64739.97"/>
    <n v="0.1"/>
    <x v="859"/>
    <x v="2"/>
    <s v="UPI"/>
    <s v="Completed"/>
    <x v="5"/>
    <s v="Completed"/>
    <s v="Store"/>
    <s v="Upi"/>
    <x v="1"/>
    <s v="VALID"/>
    <s v="NORMAL"/>
    <s v="Valid"/>
    <n v="64739.97"/>
    <n v="58265.972999999998"/>
  </r>
  <r>
    <s v="ORD50863"/>
    <d v="2025-02-15T00:00:00"/>
    <s v="CUST1145"/>
    <s v="P014"/>
    <x v="5"/>
    <s v="Electronics"/>
    <x v="0"/>
    <x v="10"/>
    <n v="3"/>
    <n v="2601.79"/>
    <n v="0.08"/>
    <x v="860"/>
    <x v="2"/>
    <s v="Debit Card"/>
    <s v="Completed"/>
    <x v="1"/>
    <s v="Completed"/>
    <s v="Store"/>
    <s v="Debit Card"/>
    <x v="1"/>
    <s v="VALID"/>
    <s v="NORMAL"/>
    <s v="Valid"/>
    <n v="7805.37"/>
    <n v="7180.9403999999995"/>
  </r>
  <r>
    <s v="ORD50864"/>
    <d v="2025-10-08T00:00:00"/>
    <s v="CUST1241"/>
    <s v="P010"/>
    <x v="14"/>
    <s v="Electronics"/>
    <x v="3"/>
    <x v="8"/>
    <n v="3"/>
    <n v="2124.9899999999998"/>
    <n v="0.1"/>
    <x v="861"/>
    <x v="2"/>
    <s v="Net Banking"/>
    <s v="Returned"/>
    <x v="2"/>
    <s v="Returned"/>
    <s v="Store"/>
    <s v="Net Banking"/>
    <x v="1"/>
    <s v="VALID"/>
    <s v="NORMAL"/>
    <s v="Valid"/>
    <n v="6374.9699999999993"/>
    <n v="5737.472999999999"/>
  </r>
  <r>
    <s v="ORD50865"/>
    <d v="2024-05-17T00:00:00"/>
    <s v="CUST1158"/>
    <s v="P007"/>
    <x v="11"/>
    <s v="Stationery"/>
    <x v="3"/>
    <x v="8"/>
    <n v="5"/>
    <n v="418.95"/>
    <n v="0.2"/>
    <x v="862"/>
    <x v="2"/>
    <s v="Credit Card"/>
    <s v="Completed"/>
    <x v="7"/>
    <s v="Completed"/>
    <s v="Store"/>
    <s v="Credit Card"/>
    <x v="3"/>
    <s v="VALID"/>
    <s v="NORMAL"/>
    <s v="Valid"/>
    <n v="2094.75"/>
    <n v="1675.8"/>
  </r>
  <r>
    <s v="ORD50866"/>
    <d v="2025-08-08T00:00:00"/>
    <s v="CUST1089"/>
    <s v="P003"/>
    <x v="3"/>
    <s v="Electronics"/>
    <x v="0"/>
    <x v="14"/>
    <n v="5"/>
    <n v="1831.02"/>
    <n v="0"/>
    <x v="863"/>
    <x v="2"/>
    <s v="Net Banking"/>
    <s v="Completed"/>
    <x v="4"/>
    <s v="Completed"/>
    <s v="Store"/>
    <s v="Net Banking"/>
    <x v="1"/>
    <s v="VALID"/>
    <s v="NORMAL"/>
    <s v="Valid"/>
    <n v="9155.1"/>
    <n v="9155.1"/>
  </r>
  <r>
    <s v="ORD50867"/>
    <d v="2025-08-08T00:00:00"/>
    <s v="CUST1047"/>
    <s v="P005"/>
    <x v="12"/>
    <s v="Furniture"/>
    <x v="3"/>
    <x v="11"/>
    <n v="3"/>
    <n v="9379.52"/>
    <n v="0.15"/>
    <x v="864"/>
    <x v="0"/>
    <s v="Cash on Delivery"/>
    <s v="Completed"/>
    <x v="3"/>
    <s v="Completed"/>
    <s v="Online"/>
    <s v="Cash On Delivery"/>
    <x v="2"/>
    <s v="VALID"/>
    <s v="NORMAL"/>
    <s v="Valid"/>
    <n v="28138.560000000001"/>
    <n v="23917.776000000002"/>
  </r>
  <r>
    <s v="ORD50868"/>
    <d v="2025-09-01T00:00:00"/>
    <s v="CUST1048"/>
    <s v="P008"/>
    <x v="4"/>
    <s v="Stationery"/>
    <x v="2"/>
    <x v="12"/>
    <n v="1"/>
    <n v="204.09"/>
    <n v="0.1"/>
    <x v="865"/>
    <x v="0"/>
    <s v="Credit Card"/>
    <s v="Completed"/>
    <x v="6"/>
    <s v="Completed"/>
    <s v="Online"/>
    <s v="Credit Card"/>
    <x v="3"/>
    <s v="VALID"/>
    <s v="NORMAL"/>
    <s v="Valid"/>
    <n v="204.09"/>
    <n v="183.68100000000001"/>
  </r>
  <r>
    <s v="ORD50869"/>
    <d v="2025-07-28T00:00:00"/>
    <s v="CUST1162"/>
    <s v="P012"/>
    <x v="0"/>
    <s v="Accessories"/>
    <x v="3"/>
    <x v="15"/>
    <n v="2"/>
    <n v="812.95"/>
    <n v="0.03"/>
    <x v="866"/>
    <x v="2"/>
    <s v="Cash on Delivery"/>
    <s v="Completed"/>
    <x v="5"/>
    <s v="Completed"/>
    <s v="Store"/>
    <s v="Cash On Delivery"/>
    <x v="0"/>
    <s v="VALID"/>
    <s v="NORMAL"/>
    <s v="Valid"/>
    <n v="1625.9"/>
    <n v="1577.123"/>
  </r>
  <r>
    <s v="ORD50870"/>
    <d v="2025-01-31T00:00:00"/>
    <s v="CUST1191"/>
    <s v="P005"/>
    <x v="12"/>
    <s v="Furniture"/>
    <x v="3"/>
    <x v="8"/>
    <n v="5"/>
    <n v="9416.25"/>
    <n v="0.2"/>
    <x v="867"/>
    <x v="0"/>
    <s v="Credit Card"/>
    <s v="Completed"/>
    <x v="1"/>
    <s v="Completed"/>
    <s v="Online"/>
    <s v="Credit Card"/>
    <x v="2"/>
    <s v="VALID"/>
    <s v="NORMAL"/>
    <s v="Valid"/>
    <n v="47081.25"/>
    <n v="37665"/>
  </r>
  <r>
    <s v="ORD50871"/>
    <d v="2026-05-26T00:00:00"/>
    <s v="CUST1208"/>
    <s v="P004"/>
    <x v="6"/>
    <s v="Electronics"/>
    <x v="0"/>
    <x v="2"/>
    <n v="5"/>
    <n v="11766.52"/>
    <n v="0.15"/>
    <x v="868"/>
    <x v="1"/>
    <s v="Net Banking"/>
    <s v="Completed"/>
    <x v="7"/>
    <s v="Completed"/>
    <s v="Marketplace"/>
    <s v="Net Banking"/>
    <x v="1"/>
    <s v="VALID"/>
    <s v="NORMAL"/>
    <s v="Valid"/>
    <n v="58832.600000000006"/>
    <n v="50007.710000000006"/>
  </r>
  <r>
    <s v="ORD50872"/>
    <d v="2024-01-15T00:00:00"/>
    <s v="CUST1259"/>
    <s v="P005"/>
    <x v="12"/>
    <s v="Furniture"/>
    <x v="0"/>
    <x v="14"/>
    <n v="1"/>
    <n v="9059.1"/>
    <n v="0"/>
    <x v="869"/>
    <x v="1"/>
    <s v="Credit Card"/>
    <s v="Completed"/>
    <x v="5"/>
    <s v="Completed"/>
    <s v="Marketplace"/>
    <s v="Credit Card"/>
    <x v="2"/>
    <s v="VALID"/>
    <s v="NORMAL"/>
    <s v="Valid"/>
    <n v="9059.1"/>
    <n v="9059.1"/>
  </r>
  <r>
    <s v="ORD50873"/>
    <d v="2024-11-17T00:00:00"/>
    <s v="CUST1160"/>
    <s v="P010"/>
    <x v="14"/>
    <s v="Electronics"/>
    <x v="0"/>
    <x v="14"/>
    <n v="5"/>
    <n v="2329.84"/>
    <n v="0.2"/>
    <x v="870"/>
    <x v="2"/>
    <s v="Net Banking"/>
    <s v="Completed"/>
    <x v="2"/>
    <s v="Completed"/>
    <s v="Store"/>
    <s v="Net Banking"/>
    <x v="1"/>
    <s v="VALID"/>
    <s v="NORMAL"/>
    <s v="Valid"/>
    <n v="11649.2"/>
    <n v="9319.36"/>
  </r>
  <r>
    <s v="ORD50874"/>
    <d v="2025-04-15T00:00:00"/>
    <s v="CUST1075"/>
    <s v="P010"/>
    <x v="14"/>
    <s v="Electronics"/>
    <x v="1"/>
    <x v="3"/>
    <n v="3"/>
    <n v="2227.48"/>
    <n v="0.03"/>
    <x v="871"/>
    <x v="2"/>
    <s v="Credit Card"/>
    <s v="Returned"/>
    <x v="6"/>
    <s v="Returned"/>
    <s v="Store"/>
    <s v="Credit Card"/>
    <x v="1"/>
    <s v="VALID"/>
    <s v="NORMAL"/>
    <s v="Valid"/>
    <n v="6682.4400000000005"/>
    <n v="6481.9668000000001"/>
  </r>
  <r>
    <s v="ORD50875"/>
    <d v="2025-04-22T00:00:00"/>
    <s v="CUST1152"/>
    <s v="P006"/>
    <x v="10"/>
    <s v="Furniture"/>
    <x v="1"/>
    <x v="3"/>
    <n v="1"/>
    <n v="7108.49"/>
    <n v="0.15"/>
    <x v="872"/>
    <x v="0"/>
    <s v="Net Banking"/>
    <s v="Completed"/>
    <x v="0"/>
    <s v="Completed"/>
    <s v="Online"/>
    <s v="Net Banking"/>
    <x v="2"/>
    <s v="VALID"/>
    <s v="NORMAL"/>
    <s v="Valid"/>
    <n v="7108.49"/>
    <n v="6042.2164999999995"/>
  </r>
  <r>
    <s v="ORD50876"/>
    <d v="2024-06-27T00:00:00"/>
    <s v="CUST1023"/>
    <s v="P015"/>
    <x v="8"/>
    <s v="Accessories"/>
    <x v="1"/>
    <x v="6"/>
    <n v="1"/>
    <n v="705.11"/>
    <n v="0.2"/>
    <x v="873"/>
    <x v="0"/>
    <s v="Debit Card"/>
    <s v="Completed"/>
    <x v="6"/>
    <s v="Completed"/>
    <s v="Online"/>
    <s v="Debit Card"/>
    <x v="0"/>
    <s v="VALID"/>
    <s v="NORMAL"/>
    <s v="Valid"/>
    <n v="705.11"/>
    <n v="564.08799999999997"/>
  </r>
  <r>
    <s v="ORD50877"/>
    <d v="2024-05-30T00:00:00"/>
    <s v="CUST1033"/>
    <s v="P012"/>
    <x v="0"/>
    <s v="Accessories"/>
    <x v="3"/>
    <x v="8"/>
    <n v="2"/>
    <n v="904.49"/>
    <n v="0.03"/>
    <x v="874"/>
    <x v="1"/>
    <s v="Debit Card"/>
    <s v="Completed"/>
    <x v="1"/>
    <s v="Completed"/>
    <s v="Marketplace"/>
    <s v="Debit Card"/>
    <x v="0"/>
    <s v="VALID"/>
    <s v="NORMAL"/>
    <s v="Valid"/>
    <n v="1808.98"/>
    <n v="1754.7106000000001"/>
  </r>
  <r>
    <s v="ORD50878"/>
    <d v="2026-01-21T00:00:00"/>
    <s v="CUST1173"/>
    <s v="P001"/>
    <x v="13"/>
    <s v="Electronics"/>
    <x v="3"/>
    <x v="8"/>
    <n v="5"/>
    <n v="67689.45"/>
    <n v="0"/>
    <x v="875"/>
    <x v="0"/>
    <s v="Debit Card"/>
    <s v="Cancelled"/>
    <x v="5"/>
    <s v="Cancelled"/>
    <s v="Online"/>
    <s v="Debit Card"/>
    <x v="1"/>
    <s v="VALID"/>
    <s v="NORMAL"/>
    <s v="Valid"/>
    <n v="338447.25"/>
    <n v="338447.25"/>
  </r>
  <r>
    <s v="ORD50879"/>
    <d v="2025-02-11T00:00:00"/>
    <s v="CUST1161"/>
    <s v="P013"/>
    <x v="2"/>
    <s v="Furniture"/>
    <x v="1"/>
    <x v="3"/>
    <n v="1"/>
    <n v="1669.7"/>
    <n v="0.1"/>
    <x v="876"/>
    <x v="2"/>
    <s v="Credit Card"/>
    <s v="Returned"/>
    <x v="5"/>
    <s v="Returned"/>
    <s v="Store"/>
    <s v="Credit Card"/>
    <x v="2"/>
    <s v="VALID"/>
    <s v="NORMAL"/>
    <s v="Valid"/>
    <n v="1669.7"/>
    <n v="1502.73"/>
  </r>
  <r>
    <s v="ORD50880"/>
    <d v="2025-09-17T00:00:00"/>
    <s v="CUST1059"/>
    <s v="P010"/>
    <x v="14"/>
    <s v="Electronics"/>
    <x v="3"/>
    <x v="15"/>
    <n v="3"/>
    <n v="2314.84"/>
    <n v="0.03"/>
    <x v="877"/>
    <x v="0"/>
    <s v="UPI"/>
    <s v="Returned"/>
    <x v="4"/>
    <s v="Returned"/>
    <s v="Online"/>
    <s v="Upi"/>
    <x v="1"/>
    <s v="VALID"/>
    <s v="NORMAL"/>
    <s v="Valid"/>
    <n v="6944.52"/>
    <n v="6736.1844000000001"/>
  </r>
  <r>
    <s v="ORD50881"/>
    <d v="2025-11-01T00:00:00"/>
    <s v="CUST1018"/>
    <s v="P012"/>
    <x v="0"/>
    <s v="Accessories"/>
    <x v="2"/>
    <x v="4"/>
    <n v="1"/>
    <n v="902.88"/>
    <n v="0.05"/>
    <x v="878"/>
    <x v="1"/>
    <s v="Net Banking"/>
    <s v="Returned"/>
    <x v="6"/>
    <s v="Returned"/>
    <s v="Marketplace"/>
    <s v="Net Banking"/>
    <x v="0"/>
    <s v="VALID"/>
    <s v="NORMAL"/>
    <s v="Valid"/>
    <n v="902.88"/>
    <n v="857.73599999999999"/>
  </r>
  <r>
    <s v="ORD50882"/>
    <d v="2025-08-16T00:00:00"/>
    <s v="CUST1040"/>
    <s v="P015"/>
    <x v="8"/>
    <s v="Accessories"/>
    <x v="2"/>
    <x v="13"/>
    <n v="3"/>
    <n v="677.46"/>
    <n v="0.2"/>
    <x v="879"/>
    <x v="2"/>
    <s v="Cash on Delivery"/>
    <s v="Completed"/>
    <x v="0"/>
    <s v="Completed"/>
    <s v="Store"/>
    <s v="Cash On Delivery"/>
    <x v="0"/>
    <s v="VALID"/>
    <s v="NORMAL"/>
    <s v="Valid"/>
    <n v="2032.38"/>
    <n v="1625.904"/>
  </r>
  <r>
    <s v="ORD50883"/>
    <d v="2025-11-29T00:00:00"/>
    <s v="CUST1248"/>
    <s v="P014"/>
    <x v="5"/>
    <s v="Electronics"/>
    <x v="1"/>
    <x v="3"/>
    <n v="1"/>
    <n v="2850.51"/>
    <n v="0.08"/>
    <x v="880"/>
    <x v="1"/>
    <s v="UPI"/>
    <s v="Returned"/>
    <x v="2"/>
    <s v="Returned"/>
    <s v="Marketplace"/>
    <s v="Upi"/>
    <x v="1"/>
    <s v="VALID"/>
    <s v="NORMAL"/>
    <s v="Valid"/>
    <n v="2850.51"/>
    <n v="2622.4692"/>
  </r>
  <r>
    <s v="ORD50884"/>
    <d v="2024-12-13T00:00:00"/>
    <s v="CUST1080"/>
    <s v="P004"/>
    <x v="6"/>
    <s v="Electronics"/>
    <x v="0"/>
    <x v="2"/>
    <n v="1"/>
    <n v="13075.51"/>
    <n v="0.1"/>
    <x v="881"/>
    <x v="2"/>
    <s v="Net Banking"/>
    <s v="Completed"/>
    <x v="4"/>
    <s v="Completed"/>
    <s v="Store"/>
    <s v="Net Banking"/>
    <x v="1"/>
    <s v="VALID"/>
    <s v="NORMAL"/>
    <s v="Valid"/>
    <n v="13075.51"/>
    <n v="11767.959000000001"/>
  </r>
  <r>
    <s v="ORD50885"/>
    <d v="2024-01-03T00:00:00"/>
    <s v="CUST1252"/>
    <s v="P003"/>
    <x v="3"/>
    <s v="Electronics"/>
    <x v="1"/>
    <x v="6"/>
    <n v="5"/>
    <n v="1934.62"/>
    <n v="0.05"/>
    <x v="882"/>
    <x v="0"/>
    <s v="Net Banking"/>
    <s v="Completed"/>
    <x v="1"/>
    <s v="Completed"/>
    <s v="Online"/>
    <s v="Net Banking"/>
    <x v="1"/>
    <s v="VALID"/>
    <s v="NORMAL"/>
    <s v="Valid"/>
    <n v="9673.0999999999985"/>
    <n v="9189.4449999999979"/>
  </r>
  <r>
    <s v="ORD50886"/>
    <d v="2025-11-23T00:00:00"/>
    <s v="CUST1059"/>
    <s v="P005"/>
    <x v="12"/>
    <s v="Furniture"/>
    <x v="1"/>
    <x v="6"/>
    <n v="1"/>
    <n v="9666.42"/>
    <n v="0"/>
    <x v="883"/>
    <x v="1"/>
    <s v="Debit Card"/>
    <s v="Completed"/>
    <x v="2"/>
    <s v="Completed"/>
    <s v="Marketplace"/>
    <s v="Debit Card"/>
    <x v="2"/>
    <s v="VALID"/>
    <s v="NORMAL"/>
    <s v="Valid"/>
    <n v="9666.42"/>
    <n v="9666.42"/>
  </r>
  <r>
    <s v="ORD50887"/>
    <d v="2024-01-17T00:00:00"/>
    <s v="CUST1237"/>
    <s v="P001"/>
    <x v="13"/>
    <s v="Electronics"/>
    <x v="0"/>
    <x v="10"/>
    <n v="1"/>
    <n v="67544.320000000007"/>
    <n v="0.03"/>
    <x v="884"/>
    <x v="1"/>
    <s v="Cash on Delivery"/>
    <s v="Completed"/>
    <x v="0"/>
    <s v="Completed"/>
    <s v="Marketplace"/>
    <s v="Cash On Delivery"/>
    <x v="1"/>
    <s v="VALID"/>
    <s v="NORMAL"/>
    <s v="Valid"/>
    <n v="67544.320000000007"/>
    <n v="65517.99040000001"/>
  </r>
  <r>
    <s v="ORD50888"/>
    <d v="2025-01-11T00:00:00"/>
    <s v="CUST1217"/>
    <s v="P015"/>
    <x v="8"/>
    <s v="Accessories"/>
    <x v="2"/>
    <x v="12"/>
    <n v="5"/>
    <n v="683.37"/>
    <n v="0.1"/>
    <x v="885"/>
    <x v="1"/>
    <s v="Cash on Delivery"/>
    <s v="Completed"/>
    <x v="5"/>
    <s v="Completed"/>
    <s v="Marketplace"/>
    <s v="Cash On Delivery"/>
    <x v="0"/>
    <s v="VALID"/>
    <s v="NORMAL"/>
    <s v="Valid"/>
    <n v="3416.85"/>
    <n v="3075.165"/>
  </r>
  <r>
    <s v="ORD50889"/>
    <d v="2026-02-06T00:00:00"/>
    <s v="CUST1059"/>
    <s v="P004"/>
    <x v="6"/>
    <s v="Electronics"/>
    <x v="1"/>
    <x v="7"/>
    <n v="3"/>
    <n v="11575.11"/>
    <n v="0.05"/>
    <x v="886"/>
    <x v="1"/>
    <s v="Net Banking"/>
    <s v="Completed"/>
    <x v="1"/>
    <s v="Completed"/>
    <s v="Marketplace"/>
    <s v="Net Banking"/>
    <x v="1"/>
    <s v="VALID"/>
    <s v="NORMAL"/>
    <s v="Valid"/>
    <n v="34725.33"/>
    <n v="32989.063500000004"/>
  </r>
  <r>
    <s v="ORD50890"/>
    <d v="2025-10-22T00:00:00"/>
    <s v="CUST1048"/>
    <s v="P014"/>
    <x v="5"/>
    <s v="Electronics"/>
    <x v="3"/>
    <x v="9"/>
    <n v="2"/>
    <n v="3021.47"/>
    <n v="0.2"/>
    <x v="887"/>
    <x v="0"/>
    <s v="Cash on Delivery"/>
    <s v="Completed"/>
    <x v="2"/>
    <s v="Completed"/>
    <s v="Online"/>
    <s v="Cash On Delivery"/>
    <x v="1"/>
    <s v="VALID"/>
    <s v="NORMAL"/>
    <s v="Valid"/>
    <n v="6042.94"/>
    <n v="4834.3519999999999"/>
  </r>
  <r>
    <s v="ORD50891"/>
    <d v="2024-03-23T00:00:00"/>
    <s v="CUST1212"/>
    <s v="P012"/>
    <x v="0"/>
    <s v="Accessories"/>
    <x v="1"/>
    <x v="3"/>
    <n v="5"/>
    <n v="892.4"/>
    <n v="0.2"/>
    <x v="888"/>
    <x v="2"/>
    <s v="Net Banking"/>
    <s v="Cancelled"/>
    <x v="4"/>
    <s v="Cancelled"/>
    <s v="Store"/>
    <s v="Net Banking"/>
    <x v="0"/>
    <s v="VALID"/>
    <s v="NORMAL"/>
    <s v="Valid"/>
    <n v="4462"/>
    <n v="3569.6"/>
  </r>
  <r>
    <s v="ORD50892"/>
    <d v="2025-09-21T00:00:00"/>
    <s v="CUST1027"/>
    <s v="P006"/>
    <x v="10"/>
    <s v="Furniture"/>
    <x v="3"/>
    <x v="8"/>
    <n v="1"/>
    <n v="7513.25"/>
    <n v="0"/>
    <x v="889"/>
    <x v="2"/>
    <s v="Debit Card"/>
    <s v="Completed"/>
    <x v="5"/>
    <s v="Completed"/>
    <s v="Store"/>
    <s v="Debit Card"/>
    <x v="2"/>
    <s v="VALID"/>
    <s v="NORMAL"/>
    <s v="Valid"/>
    <n v="7513.25"/>
    <n v="7513.25"/>
  </r>
  <r>
    <s v="ORD50893"/>
    <d v="2025-04-18T00:00:00"/>
    <s v="CUST1108"/>
    <s v="P010"/>
    <x v="14"/>
    <s v="Electronics"/>
    <x v="0"/>
    <x v="14"/>
    <n v="2"/>
    <n v="2237.0500000000002"/>
    <n v="0.2"/>
    <x v="890"/>
    <x v="1"/>
    <s v="Net Banking"/>
    <s v="Completed"/>
    <x v="7"/>
    <s v="Completed"/>
    <s v="Marketplace"/>
    <s v="Net Banking"/>
    <x v="1"/>
    <s v="VALID"/>
    <s v="NORMAL"/>
    <s v="Valid"/>
    <n v="4474.1000000000004"/>
    <n v="3579.28"/>
  </r>
  <r>
    <s v="ORD50894"/>
    <d v="2025-04-08T00:00:00"/>
    <s v="CUST1096"/>
    <s v="P006"/>
    <x v="10"/>
    <s v="Furniture"/>
    <x v="0"/>
    <x v="0"/>
    <n v="5"/>
    <n v="7580.56"/>
    <n v="0.1"/>
    <x v="891"/>
    <x v="2"/>
    <s v="Net Banking"/>
    <s v="Cancelled"/>
    <x v="7"/>
    <s v="Cancelled"/>
    <s v="Store"/>
    <s v="Net Banking"/>
    <x v="2"/>
    <s v="VALID"/>
    <s v="NORMAL"/>
    <s v="Valid"/>
    <n v="37902.800000000003"/>
    <n v="34112.520000000004"/>
  </r>
  <r>
    <s v="ORD50895"/>
    <d v="2025-12-11T00:00:00"/>
    <s v="CUST1187"/>
    <s v="P002"/>
    <x v="9"/>
    <s v="Electronics"/>
    <x v="0"/>
    <x v="14"/>
    <n v="4"/>
    <n v="1204.54"/>
    <n v="0.08"/>
    <x v="892"/>
    <x v="1"/>
    <s v="Credit Card"/>
    <s v="Completed"/>
    <x v="3"/>
    <s v="Completed"/>
    <s v="Marketplace"/>
    <s v="Credit Card"/>
    <x v="1"/>
    <s v="VALID"/>
    <s v="NORMAL"/>
    <s v="Valid"/>
    <n v="4818.16"/>
    <n v="4432.7071999999998"/>
  </r>
  <r>
    <s v="ORD50896"/>
    <d v="2024-07-03T00:00:00"/>
    <s v="CUST1079"/>
    <s v="P006"/>
    <x v="10"/>
    <s v="Furniture"/>
    <x v="2"/>
    <x v="4"/>
    <n v="2"/>
    <n v="7425.72"/>
    <n v="0.05"/>
    <x v="893"/>
    <x v="2"/>
    <s v="Net Banking"/>
    <s v="Completed"/>
    <x v="2"/>
    <s v="Completed"/>
    <s v="Store"/>
    <s v="Net Banking"/>
    <x v="2"/>
    <s v="VALID"/>
    <s v="NORMAL"/>
    <s v="Valid"/>
    <n v="14851.44"/>
    <n v="14108.868"/>
  </r>
  <r>
    <s v="ORD50897"/>
    <d v="2025-02-17T00:00:00"/>
    <s v="CUST1179"/>
    <s v="P006"/>
    <x v="10"/>
    <s v="Furniture"/>
    <x v="2"/>
    <x v="13"/>
    <n v="1"/>
    <n v="6909.89"/>
    <n v="0.08"/>
    <x v="894"/>
    <x v="2"/>
    <s v="Debit Card"/>
    <s v="Cancelled"/>
    <x v="3"/>
    <s v="Cancelled"/>
    <s v="Store"/>
    <s v="Debit Card"/>
    <x v="2"/>
    <s v="VALID"/>
    <s v="NORMAL"/>
    <s v="Valid"/>
    <n v="6909.89"/>
    <n v="6357.0988000000007"/>
  </r>
  <r>
    <s v="ORD50898"/>
    <d v="2025-09-03T00:00:00"/>
    <s v="CUST1162"/>
    <s v="P014"/>
    <x v="5"/>
    <s v="Electronics"/>
    <x v="2"/>
    <x v="12"/>
    <n v="5"/>
    <n v="2868.71"/>
    <n v="0.05"/>
    <x v="895"/>
    <x v="0"/>
    <s v="UPI"/>
    <s v="Returned"/>
    <x v="6"/>
    <s v="Returned"/>
    <s v="Online"/>
    <s v="Upi"/>
    <x v="1"/>
    <s v="VALID"/>
    <s v="NORMAL"/>
    <s v="Valid"/>
    <n v="14343.55"/>
    <n v="13626.372499999999"/>
  </r>
  <r>
    <s v="ORD50899"/>
    <d v="2026-03-19T00:00:00"/>
    <s v="CUST1052"/>
    <s v="P008"/>
    <x v="4"/>
    <s v="Stationery"/>
    <x v="1"/>
    <x v="3"/>
    <n v="3"/>
    <n v="215.67"/>
    <n v="0"/>
    <x v="896"/>
    <x v="0"/>
    <s v="Net Banking"/>
    <s v="Completed"/>
    <x v="0"/>
    <s v="Completed"/>
    <s v="Online"/>
    <s v="Net Banking"/>
    <x v="3"/>
    <s v="VALID"/>
    <s v="NORMAL"/>
    <s v="Valid"/>
    <n v="647.01"/>
    <n v="647.01"/>
  </r>
  <r>
    <s v="ORD50900"/>
    <d v="2025-06-01T00:00:00"/>
    <s v="CUST1228"/>
    <s v="P003"/>
    <x v="3"/>
    <s v="Electronics"/>
    <x v="2"/>
    <x v="5"/>
    <n v="1"/>
    <n v="1927.11"/>
    <n v="0.2"/>
    <x v="897"/>
    <x v="1"/>
    <s v="UPI"/>
    <s v="Returned"/>
    <x v="6"/>
    <s v="Returned"/>
    <s v="Marketplace"/>
    <s v="Upi"/>
    <x v="1"/>
    <s v="VALID"/>
    <s v="NORMAL"/>
    <s v="Valid"/>
    <n v="1927.11"/>
    <n v="1541.6879999999999"/>
  </r>
  <r>
    <s v="ORD50901"/>
    <d v="2025-09-12T00:00:00"/>
    <s v="CUST1007"/>
    <s v="P015"/>
    <x v="8"/>
    <s v="Accessories"/>
    <x v="1"/>
    <x v="1"/>
    <n v="5"/>
    <n v="672.14"/>
    <n v="0"/>
    <x v="898"/>
    <x v="0"/>
    <s v="Net Banking"/>
    <s v="Cancelled"/>
    <x v="6"/>
    <s v="Cancelled"/>
    <s v="Online"/>
    <s v="Net Banking"/>
    <x v="0"/>
    <s v="VALID"/>
    <s v="NORMAL"/>
    <s v="Valid"/>
    <n v="3360.7"/>
    <n v="3360.7"/>
  </r>
  <r>
    <s v="ORD50902"/>
    <d v="2025-06-14T00:00:00"/>
    <s v="CUST1123"/>
    <s v="P010"/>
    <x v="14"/>
    <s v="Electronics"/>
    <x v="0"/>
    <x v="14"/>
    <n v="3"/>
    <n v="2112.86"/>
    <n v="0.08"/>
    <x v="899"/>
    <x v="2"/>
    <s v="UPI"/>
    <s v="Completed"/>
    <x v="0"/>
    <s v="Completed"/>
    <s v="Store"/>
    <s v="Upi"/>
    <x v="1"/>
    <s v="VALID"/>
    <s v="NORMAL"/>
    <s v="Valid"/>
    <n v="6338.58"/>
    <n v="5831.4935999999998"/>
  </r>
  <r>
    <s v="ORD50903"/>
    <d v="2025-09-25T00:00:00"/>
    <s v="CUST1087"/>
    <s v="P012"/>
    <x v="0"/>
    <s v="Accessories"/>
    <x v="1"/>
    <x v="1"/>
    <n v="4"/>
    <n v="894.37"/>
    <n v="0.1"/>
    <x v="900"/>
    <x v="1"/>
    <s v="UPI"/>
    <s v="Completed"/>
    <x v="2"/>
    <s v="Completed"/>
    <s v="Marketplace"/>
    <s v="Upi"/>
    <x v="0"/>
    <s v="VALID"/>
    <s v="NORMAL"/>
    <s v="Valid"/>
    <n v="3577.48"/>
    <n v="3219.732"/>
  </r>
  <r>
    <s v="ORD50904"/>
    <d v="2024-06-26T00:00:00"/>
    <s v="CUST1123"/>
    <s v="P010"/>
    <x v="14"/>
    <s v="Electronics"/>
    <x v="0"/>
    <x v="0"/>
    <n v="3"/>
    <n v="2066.04"/>
    <n v="0.05"/>
    <x v="901"/>
    <x v="0"/>
    <s v="UPI"/>
    <s v="Completed"/>
    <x v="3"/>
    <s v="Completed"/>
    <s v="Online"/>
    <s v="Upi"/>
    <x v="1"/>
    <s v="VALID"/>
    <s v="NORMAL"/>
    <s v="Valid"/>
    <n v="6198.12"/>
    <n v="5888.2139999999999"/>
  </r>
  <r>
    <s v="ORD50905"/>
    <d v="2025-05-12T00:00:00"/>
    <s v="CUST1186"/>
    <s v="P010"/>
    <x v="14"/>
    <s v="Electronics"/>
    <x v="2"/>
    <x v="5"/>
    <n v="1"/>
    <n v="2122.92"/>
    <n v="0"/>
    <x v="902"/>
    <x v="0"/>
    <s v="Credit Card"/>
    <s v="Completed"/>
    <x v="3"/>
    <s v="Completed"/>
    <s v="Online"/>
    <s v="Credit Card"/>
    <x v="1"/>
    <s v="VALID"/>
    <s v="NORMAL"/>
    <s v="Valid"/>
    <n v="2122.92"/>
    <n v="2122.92"/>
  </r>
  <r>
    <s v="ORD50906"/>
    <d v="2025-12-17T00:00:00"/>
    <s v="CUST1102"/>
    <s v="P011"/>
    <x v="1"/>
    <s v="Electronics"/>
    <x v="1"/>
    <x v="16"/>
    <m/>
    <n v="2965.52"/>
    <n v="0.08"/>
    <x v="903"/>
    <x v="2"/>
    <s v="UPI"/>
    <s v="Cancelled"/>
    <x v="6"/>
    <s v="Cancelled"/>
    <s v="Store"/>
    <s v="Upi"/>
    <x v="1"/>
    <s v="INVALID"/>
    <s v="NORMAL"/>
    <s v="Valid"/>
    <n v="0"/>
    <n v="0"/>
  </r>
  <r>
    <s v="ORD50907"/>
    <d v="2026-05-26T00:00:00"/>
    <s v="CUST1154"/>
    <s v="P002"/>
    <x v="9"/>
    <s v="Electronics"/>
    <x v="3"/>
    <x v="8"/>
    <n v="5"/>
    <n v="1203.4100000000001"/>
    <n v="0.15"/>
    <x v="904"/>
    <x v="1"/>
    <s v="Debit Card"/>
    <s v="Completed"/>
    <x v="0"/>
    <s v="Completed"/>
    <s v="Marketplace"/>
    <s v="Debit Card"/>
    <x v="1"/>
    <s v="VALID"/>
    <s v="NORMAL"/>
    <s v="Valid"/>
    <n v="6017.05"/>
    <n v="5114.4925000000003"/>
  </r>
  <r>
    <s v="ORD50908"/>
    <d v="2025-12-09T00:00:00"/>
    <m/>
    <s v="P005"/>
    <x v="12"/>
    <s v="Furniture"/>
    <x v="3"/>
    <x v="11"/>
    <n v="1"/>
    <n v="9544.35"/>
    <n v="0.15"/>
    <x v="905"/>
    <x v="0"/>
    <s v="Cash on Delivery"/>
    <s v="Completed"/>
    <x v="4"/>
    <s v="Completed"/>
    <s v="Online"/>
    <s v="Cash On Delivery"/>
    <x v="2"/>
    <s v="VALID"/>
    <s v="NORMAL"/>
    <s v="Valid"/>
    <n v="9544.35"/>
    <n v="8112.6975000000002"/>
  </r>
  <r>
    <s v="ORD50909"/>
    <d v="2025-10-03T00:00:00"/>
    <s v="CUST1121"/>
    <s v="P003"/>
    <x v="3"/>
    <s v="Electronics"/>
    <x v="1"/>
    <x v="7"/>
    <n v="4"/>
    <n v="1909.84"/>
    <n v="0.15"/>
    <x v="906"/>
    <x v="2"/>
    <s v="UPI"/>
    <s v="Completed"/>
    <x v="7"/>
    <s v="Completed"/>
    <s v="Store"/>
    <s v="Upi"/>
    <x v="1"/>
    <s v="VALID"/>
    <s v="NORMAL"/>
    <s v="Valid"/>
    <n v="7639.36"/>
    <n v="6493.4560000000001"/>
  </r>
  <r>
    <s v="ORD50910"/>
    <d v="2024-09-23T00:00:00"/>
    <s v="CUST1144"/>
    <s v="P012"/>
    <x v="0"/>
    <s v="Accessories"/>
    <x v="3"/>
    <x v="8"/>
    <n v="4"/>
    <n v="796.25"/>
    <n v="0.2"/>
    <x v="907"/>
    <x v="2"/>
    <s v="Credit Card"/>
    <s v="Completed"/>
    <x v="1"/>
    <s v="Completed"/>
    <s v="Store"/>
    <s v="Credit Card"/>
    <x v="0"/>
    <s v="VALID"/>
    <s v="NORMAL"/>
    <s v="Valid"/>
    <n v="3185"/>
    <n v="2548"/>
  </r>
  <r>
    <s v="ORD50911"/>
    <d v="2025-05-23T00:00:00"/>
    <s v="CUST1203"/>
    <s v="P009"/>
    <x v="7"/>
    <s v="Accessories"/>
    <x v="0"/>
    <x v="0"/>
    <n v="4"/>
    <n v="1906.21"/>
    <n v="0.2"/>
    <x v="908"/>
    <x v="0"/>
    <s v="Debit Card"/>
    <s v="Completed"/>
    <x v="0"/>
    <s v="Completed"/>
    <s v="Online"/>
    <s v="Debit Card"/>
    <x v="0"/>
    <s v="VALID"/>
    <s v="NORMAL"/>
    <s v="Valid"/>
    <n v="7624.84"/>
    <n v="6099.8720000000003"/>
  </r>
  <r>
    <s v="ORD50912"/>
    <d v="2024-01-09T00:00:00"/>
    <s v="CUST1125"/>
    <s v="P003"/>
    <x v="3"/>
    <s v="Electronics"/>
    <x v="0"/>
    <x v="0"/>
    <n v="5"/>
    <n v="1817.71"/>
    <n v="0.05"/>
    <x v="909"/>
    <x v="2"/>
    <s v="Cash on Delivery"/>
    <s v="Cancelled"/>
    <x v="6"/>
    <s v="Cancelled"/>
    <s v="Store"/>
    <s v="Cash On Delivery"/>
    <x v="1"/>
    <s v="VALID"/>
    <s v="NORMAL"/>
    <s v="Valid"/>
    <n v="9088.5499999999993"/>
    <n v="8634.1224999999995"/>
  </r>
  <r>
    <s v="ORD50913"/>
    <d v="2025-08-10T00:00:00"/>
    <s v="CUST1259"/>
    <s v="P014"/>
    <x v="5"/>
    <s v="Electronics"/>
    <x v="3"/>
    <x v="15"/>
    <n v="1"/>
    <n v="2687.01"/>
    <n v="0"/>
    <x v="910"/>
    <x v="0"/>
    <s v="Debit Card"/>
    <s v="Completed"/>
    <x v="4"/>
    <s v="Completed"/>
    <s v="Online"/>
    <s v="Debit Card"/>
    <x v="1"/>
    <s v="VALID"/>
    <s v="NORMAL"/>
    <s v="Valid"/>
    <n v="2687.01"/>
    <n v="2687.01"/>
  </r>
  <r>
    <s v="ORD50914"/>
    <d v="2024-08-31T00:00:00"/>
    <s v="CUST1166"/>
    <s v="P004"/>
    <x v="6"/>
    <s v="Electronics"/>
    <x v="0"/>
    <x v="14"/>
    <n v="1"/>
    <n v="12287.54"/>
    <n v="0.03"/>
    <x v="911"/>
    <x v="1"/>
    <s v="Cash on Delivery"/>
    <s v="Completed"/>
    <x v="0"/>
    <s v="Completed"/>
    <s v="Marketplace"/>
    <s v="Cash On Delivery"/>
    <x v="1"/>
    <s v="VALID"/>
    <s v="NORMAL"/>
    <s v="Valid"/>
    <n v="12287.54"/>
    <n v="11918.9138"/>
  </r>
  <r>
    <s v="ORD50915"/>
    <d v="2025-07-26T00:00:00"/>
    <s v="CUST1213"/>
    <s v="P009"/>
    <x v="7"/>
    <s v="Accessories"/>
    <x v="1"/>
    <x v="1"/>
    <n v="1"/>
    <n v="1666.74"/>
    <n v="0.05"/>
    <x v="912"/>
    <x v="0"/>
    <s v="UPI"/>
    <s v="Completed"/>
    <x v="7"/>
    <s v="Completed"/>
    <s v="Online"/>
    <s v="Upi"/>
    <x v="0"/>
    <s v="VALID"/>
    <s v="NORMAL"/>
    <s v="Valid"/>
    <n v="1666.74"/>
    <n v="1583.403"/>
  </r>
  <r>
    <s v="ORD50916"/>
    <d v="2025-08-31T00:00:00"/>
    <s v="CUST1063"/>
    <s v="P008"/>
    <x v="4"/>
    <s v="Stationery"/>
    <x v="2"/>
    <x v="13"/>
    <n v="4"/>
    <n v="214.62"/>
    <n v="0.1"/>
    <x v="913"/>
    <x v="2"/>
    <s v="Debit Card"/>
    <s v="Cancelled"/>
    <x v="4"/>
    <s v="Cancelled"/>
    <s v="Store"/>
    <s v="Debit Card"/>
    <x v="3"/>
    <s v="VALID"/>
    <s v="NORMAL"/>
    <s v="Valid"/>
    <n v="858.48"/>
    <n v="772.63200000000006"/>
  </r>
  <r>
    <s v="ORD50917"/>
    <d v="2025-04-26T00:00:00"/>
    <s v="CUST1142"/>
    <s v="P007"/>
    <x v="11"/>
    <s v="Stationery"/>
    <x v="3"/>
    <x v="9"/>
    <n v="4"/>
    <n v="419.42"/>
    <n v="0.15"/>
    <x v="914"/>
    <x v="1"/>
    <s v="Credit Card"/>
    <s v="Completed"/>
    <x v="6"/>
    <s v="Completed"/>
    <s v="Marketplace"/>
    <s v="Credit Card"/>
    <x v="3"/>
    <s v="VALID"/>
    <s v="NORMAL"/>
    <s v="Valid"/>
    <n v="1677.68"/>
    <n v="1426.028"/>
  </r>
  <r>
    <s v="ORD50918"/>
    <d v="2024-01-14T00:00:00"/>
    <s v="CUST1253"/>
    <s v="P002"/>
    <x v="9"/>
    <s v="Electronics"/>
    <x v="3"/>
    <x v="8"/>
    <n v="5"/>
    <n v="1163.5999999999999"/>
    <n v="0.08"/>
    <x v="915"/>
    <x v="0"/>
    <s v="Credit Card"/>
    <s v="Completed"/>
    <x v="6"/>
    <s v="Completed"/>
    <s v="Online"/>
    <s v="Credit Card"/>
    <x v="1"/>
    <s v="VALID"/>
    <s v="NORMAL"/>
    <s v="Valid"/>
    <n v="5818"/>
    <n v="5352.56"/>
  </r>
  <r>
    <s v="ORD50919"/>
    <d v="2024-05-05T00:00:00"/>
    <s v="CUST1208"/>
    <s v="P005"/>
    <x v="12"/>
    <s v="Furniture"/>
    <x v="2"/>
    <x v="13"/>
    <n v="4"/>
    <n v="9326.0499999999993"/>
    <n v="0.1"/>
    <x v="916"/>
    <x v="0"/>
    <s v="Net Banking"/>
    <s v="Completed"/>
    <x v="3"/>
    <s v="Completed"/>
    <s v="Online"/>
    <s v="Net Banking"/>
    <x v="2"/>
    <s v="VALID"/>
    <s v="NORMAL"/>
    <s v="Valid"/>
    <n v="37304.199999999997"/>
    <n v="33573.78"/>
  </r>
  <r>
    <s v="ORD50920"/>
    <d v="2026-06-26T00:00:00"/>
    <s v="CUST1095"/>
    <s v="P003"/>
    <x v="3"/>
    <s v="Electronics"/>
    <x v="1"/>
    <x v="1"/>
    <n v="4"/>
    <n v="1873.64"/>
    <n v="0.03"/>
    <x v="917"/>
    <x v="1"/>
    <s v="UPI"/>
    <s v="Completed"/>
    <x v="0"/>
    <s v="Completed"/>
    <s v="Marketplace"/>
    <s v="Upi"/>
    <x v="1"/>
    <s v="VALID"/>
    <s v="NORMAL"/>
    <s v="Valid"/>
    <n v="7494.56"/>
    <n v="7269.7232000000004"/>
  </r>
  <r>
    <s v="ORD50921"/>
    <d v="2026-04-06T00:00:00"/>
    <s v="CUST1216"/>
    <s v="P008"/>
    <x v="4"/>
    <s v="Stationery"/>
    <x v="3"/>
    <x v="8"/>
    <n v="3"/>
    <n v="214.25"/>
    <n v="0.03"/>
    <x v="918"/>
    <x v="1"/>
    <s v="Net Banking"/>
    <s v="Completed"/>
    <x v="7"/>
    <s v="Completed"/>
    <s v="Marketplace"/>
    <s v="Net Banking"/>
    <x v="3"/>
    <s v="VALID"/>
    <s v="NORMAL"/>
    <s v="Valid"/>
    <n v="642.75"/>
    <n v="623.46749999999997"/>
  </r>
  <r>
    <s v="ORD50922"/>
    <d v="2024-02-08T00:00:00"/>
    <s v="CUST1168"/>
    <s v="P007"/>
    <x v="11"/>
    <s v="Stationery"/>
    <x v="2"/>
    <x v="5"/>
    <n v="3"/>
    <n v="448.79"/>
    <n v="0.2"/>
    <x v="919"/>
    <x v="2"/>
    <s v="Net Banking"/>
    <s v="Cancelled"/>
    <x v="5"/>
    <s v="Cancelled"/>
    <s v="Store"/>
    <s v="Net Banking"/>
    <x v="3"/>
    <s v="VALID"/>
    <s v="NORMAL"/>
    <s v="Valid"/>
    <n v="1346.3700000000001"/>
    <n v="1077.096"/>
  </r>
  <r>
    <s v="ORD50923"/>
    <d v="2025-03-01T00:00:00"/>
    <s v="CUST1098"/>
    <s v="P014"/>
    <x v="5"/>
    <s v="Electronics"/>
    <x v="1"/>
    <x v="3"/>
    <n v="3"/>
    <n v="2836.14"/>
    <n v="0"/>
    <x v="920"/>
    <x v="1"/>
    <s v="UPI"/>
    <s v="Returned"/>
    <x v="1"/>
    <s v="Returned"/>
    <s v="Marketplace"/>
    <s v="Upi"/>
    <x v="1"/>
    <s v="VALID"/>
    <s v="NORMAL"/>
    <s v="Valid"/>
    <n v="8508.42"/>
    <n v="8508.42"/>
  </r>
  <r>
    <s v="ORD50924"/>
    <d v="2026-01-16T00:00:00"/>
    <s v="CUST1145"/>
    <s v="P008"/>
    <x v="4"/>
    <s v="Stationery"/>
    <x v="2"/>
    <x v="5"/>
    <n v="1"/>
    <n v="222.43"/>
    <n v="0"/>
    <x v="921"/>
    <x v="2"/>
    <s v="UPI"/>
    <s v="Completed"/>
    <x v="3"/>
    <s v="Completed"/>
    <s v="Store"/>
    <s v="Upi"/>
    <x v="3"/>
    <s v="VALID"/>
    <s v="NORMAL"/>
    <s v="Valid"/>
    <n v="222.43"/>
    <n v="222.43"/>
  </r>
  <r>
    <s v="ORD50925"/>
    <d v="2025-07-16T00:00:00"/>
    <s v="CUST1204"/>
    <s v="P010"/>
    <x v="14"/>
    <s v="Electronics"/>
    <x v="1"/>
    <x v="1"/>
    <n v="5"/>
    <n v="2325.75"/>
    <n v="0.05"/>
    <x v="922"/>
    <x v="1"/>
    <s v="Cash on Delivery"/>
    <s v="Cancelled"/>
    <x v="5"/>
    <s v="Cancelled"/>
    <s v="Marketplace"/>
    <s v="Cash On Delivery"/>
    <x v="1"/>
    <s v="VALID"/>
    <s v="NORMAL"/>
    <s v="Valid"/>
    <n v="11628.75"/>
    <n v="11047.3125"/>
  </r>
  <r>
    <s v="ORD50926"/>
    <d v="2024-01-10T00:00:00"/>
    <s v="CUST1258"/>
    <s v="P003"/>
    <x v="3"/>
    <s v="Electronics"/>
    <x v="0"/>
    <x v="0"/>
    <n v="3"/>
    <n v="1672.9"/>
    <m/>
    <x v="923"/>
    <x v="2"/>
    <s v="Cash on Delivery"/>
    <s v="Completed"/>
    <x v="0"/>
    <s v="Completed"/>
    <s v="Store"/>
    <s v="Cash On Delivery"/>
    <x v="1"/>
    <s v="VALID"/>
    <s v="NORMAL"/>
    <s v="Valid"/>
    <n v="5018.7000000000007"/>
    <n v="5018.7000000000007"/>
  </r>
  <r>
    <s v="ORD50927"/>
    <d v="2025-10-03T00:00:00"/>
    <s v="CUST1233"/>
    <s v="P015"/>
    <x v="8"/>
    <s v="Accessories"/>
    <x v="2"/>
    <x v="12"/>
    <n v="5"/>
    <n v="658.89"/>
    <n v="0.08"/>
    <x v="924"/>
    <x v="1"/>
    <s v="UPI"/>
    <s v="Returned"/>
    <x v="4"/>
    <s v="Returned"/>
    <s v="Marketplace"/>
    <s v="Upi"/>
    <x v="0"/>
    <s v="VALID"/>
    <s v="NORMAL"/>
    <s v="Valid"/>
    <n v="3294.45"/>
    <n v="3030.8939999999998"/>
  </r>
  <r>
    <s v="ORD50928"/>
    <d v="2026-03-05T00:00:00"/>
    <s v="CUST1054"/>
    <s v="P012"/>
    <x v="0"/>
    <s v="Accessories"/>
    <x v="3"/>
    <x v="11"/>
    <n v="4"/>
    <n v="907.64"/>
    <n v="0"/>
    <x v="925"/>
    <x v="2"/>
    <s v="Credit Card"/>
    <s v="Completed"/>
    <x v="3"/>
    <s v="Completed"/>
    <s v="Store"/>
    <s v="Credit Card"/>
    <x v="0"/>
    <s v="VALID"/>
    <s v="NORMAL"/>
    <s v="Valid"/>
    <n v="3630.56"/>
    <n v="3630.56"/>
  </r>
  <r>
    <s v="ORD50929"/>
    <d v="2024-08-24T00:00:00"/>
    <s v="CUST1259"/>
    <s v="P002"/>
    <x v="9"/>
    <s v="Electronics"/>
    <x v="2"/>
    <x v="13"/>
    <n v="1"/>
    <n v="1272.32"/>
    <n v="0.2"/>
    <x v="926"/>
    <x v="1"/>
    <s v="UPI"/>
    <s v="Completed"/>
    <x v="0"/>
    <s v="Completed"/>
    <s v="Marketplace"/>
    <s v="Upi"/>
    <x v="1"/>
    <s v="VALID"/>
    <s v="NORMAL"/>
    <s v="Valid"/>
    <n v="1272.32"/>
    <n v="1017.856"/>
  </r>
  <r>
    <s v="ORD50930"/>
    <d v="2024-07-19T00:00:00"/>
    <s v="CUST1196"/>
    <s v="P013"/>
    <x v="2"/>
    <s v="Furniture"/>
    <x v="2"/>
    <x v="4"/>
    <n v="3"/>
    <n v="1473.43"/>
    <n v="0.08"/>
    <x v="927"/>
    <x v="1"/>
    <s v="Cash on Delivery"/>
    <s v="Cancelled"/>
    <x v="7"/>
    <s v="Cancelled"/>
    <s v="Marketplace"/>
    <s v="Cash On Delivery"/>
    <x v="2"/>
    <s v="VALID"/>
    <s v="NORMAL"/>
    <s v="Valid"/>
    <n v="4420.29"/>
    <n v="4066.6668"/>
  </r>
  <r>
    <s v="ORD50931"/>
    <d v="2025-03-01T00:00:00"/>
    <s v="CUST1025"/>
    <s v="P006"/>
    <x v="10"/>
    <s v="Furniture"/>
    <x v="1"/>
    <x v="1"/>
    <n v="2"/>
    <n v="6930.62"/>
    <n v="0.1"/>
    <x v="928"/>
    <x v="2"/>
    <s v="Net Banking"/>
    <s v="Completed"/>
    <x v="2"/>
    <s v="Completed"/>
    <s v="Store"/>
    <s v="Net Banking"/>
    <x v="2"/>
    <s v="VALID"/>
    <s v="NORMAL"/>
    <s v="Valid"/>
    <n v="13861.24"/>
    <n v="12475.116"/>
  </r>
  <r>
    <s v="ORD50932"/>
    <d v="2025-05-12T00:00:00"/>
    <s v="CUST1095"/>
    <s v="P001"/>
    <x v="13"/>
    <s v="Electronics"/>
    <x v="1"/>
    <x v="6"/>
    <n v="4"/>
    <n v="60087.71"/>
    <n v="0.03"/>
    <x v="929"/>
    <x v="1"/>
    <s v="UPI"/>
    <s v="Completed"/>
    <x v="7"/>
    <s v="Completed"/>
    <s v="Marketplace"/>
    <s v="Upi"/>
    <x v="1"/>
    <s v="VALID"/>
    <s v="NORMAL"/>
    <s v="Valid"/>
    <n v="240350.84"/>
    <n v="233140.31479999999"/>
  </r>
  <r>
    <s v="ORD50933"/>
    <d v="2024-08-04T00:00:00"/>
    <s v="CUST1166"/>
    <s v="P013"/>
    <x v="2"/>
    <s v="Furniture"/>
    <x v="3"/>
    <x v="9"/>
    <n v="5"/>
    <n v="1575.2"/>
    <n v="0.15"/>
    <x v="930"/>
    <x v="0"/>
    <s v="Cash on Delivery"/>
    <s v="Completed"/>
    <x v="6"/>
    <s v="Completed"/>
    <s v="Online"/>
    <s v="Cash On Delivery"/>
    <x v="2"/>
    <s v="VALID"/>
    <s v="NORMAL"/>
    <s v="Valid"/>
    <n v="7876"/>
    <n v="6694.6"/>
  </r>
  <r>
    <s v="ORD50934"/>
    <d v="2024-10-30T00:00:00"/>
    <s v="CUST1007"/>
    <s v="P015"/>
    <x v="8"/>
    <s v="Accessories"/>
    <x v="1"/>
    <x v="1"/>
    <n v="2"/>
    <n v="669.33"/>
    <n v="0.08"/>
    <x v="931"/>
    <x v="2"/>
    <s v="UPI"/>
    <s v="Completed"/>
    <x v="5"/>
    <s v="Completed"/>
    <s v="Store"/>
    <s v="Upi"/>
    <x v="0"/>
    <s v="VALID"/>
    <s v="NORMAL"/>
    <s v="Valid"/>
    <n v="1338.66"/>
    <n v="1231.5672"/>
  </r>
  <r>
    <s v="ORD50935"/>
    <d v="2024-03-09T00:00:00"/>
    <s v="CUST1048"/>
    <s v="P001"/>
    <x v="13"/>
    <s v="Electronics"/>
    <x v="2"/>
    <x v="5"/>
    <n v="1"/>
    <n v="68233.09"/>
    <n v="0"/>
    <x v="932"/>
    <x v="2"/>
    <s v="Net Banking"/>
    <s v="Completed"/>
    <x v="0"/>
    <s v="Completed"/>
    <s v="Store"/>
    <s v="Net Banking"/>
    <x v="1"/>
    <s v="VALID"/>
    <s v="NORMAL"/>
    <s v="Valid"/>
    <n v="68233.09"/>
    <n v="68233.09"/>
  </r>
  <r>
    <s v="ORD50936"/>
    <d v="2024-11-22T00:00:00"/>
    <s v="CUST1046"/>
    <s v="P014"/>
    <x v="5"/>
    <s v="Electronics"/>
    <x v="3"/>
    <x v="11"/>
    <n v="1"/>
    <n v="2661.97"/>
    <n v="0.15"/>
    <x v="933"/>
    <x v="0"/>
    <s v="Debit Card"/>
    <s v="Completed"/>
    <x v="4"/>
    <s v="Completed"/>
    <s v="Online"/>
    <s v="Debit Card"/>
    <x v="1"/>
    <s v="VALID"/>
    <s v="NORMAL"/>
    <s v="Valid"/>
    <n v="2661.97"/>
    <n v="2262.6745000000001"/>
  </r>
  <r>
    <s v="ORD50937"/>
    <d v="2026-05-09T00:00:00"/>
    <s v="CUST1128"/>
    <s v="P002"/>
    <x v="9"/>
    <s v="Electronics"/>
    <x v="0"/>
    <x v="2"/>
    <n v="5"/>
    <n v="1150.3699999999999"/>
    <n v="0.08"/>
    <x v="934"/>
    <x v="2"/>
    <s v="UPI"/>
    <s v="Cancelled"/>
    <x v="0"/>
    <s v="Cancelled"/>
    <s v="Store"/>
    <s v="Upi"/>
    <x v="1"/>
    <s v="VALID"/>
    <s v="NORMAL"/>
    <s v="Valid"/>
    <n v="5751.8499999999995"/>
    <n v="5291.7019999999993"/>
  </r>
  <r>
    <s v="ORD50938"/>
    <d v="2024-03-01T00:00:00"/>
    <s v="CUST1046"/>
    <s v="P001"/>
    <x v="13"/>
    <s v="Electronics"/>
    <x v="3"/>
    <x v="15"/>
    <n v="1"/>
    <n v="66112.509999999995"/>
    <n v="0.1"/>
    <x v="935"/>
    <x v="1"/>
    <s v="Credit Card"/>
    <s v="Completed"/>
    <x v="4"/>
    <s v="Completed"/>
    <s v="Marketplace"/>
    <s v="Credit Card"/>
    <x v="1"/>
    <s v="VALID"/>
    <s v="NORMAL"/>
    <s v="Valid"/>
    <n v="66112.509999999995"/>
    <n v="59501.258999999991"/>
  </r>
  <r>
    <s v="ORD50939"/>
    <d v="2024-02-20T00:00:00"/>
    <s v="CUST1037"/>
    <s v="P009"/>
    <x v="7"/>
    <s v="Accessories"/>
    <x v="3"/>
    <x v="8"/>
    <n v="4"/>
    <n v="1815.22"/>
    <n v="0.05"/>
    <x v="936"/>
    <x v="0"/>
    <s v="Debit Card"/>
    <s v="Returned"/>
    <x v="1"/>
    <s v="Returned"/>
    <s v="Online"/>
    <s v="Debit Card"/>
    <x v="0"/>
    <s v="VALID"/>
    <s v="NORMAL"/>
    <s v="Valid"/>
    <n v="7260.88"/>
    <n v="6897.8360000000002"/>
  </r>
  <r>
    <s v="ORD50940"/>
    <d v="2026-01-31T00:00:00"/>
    <s v="CUST1001"/>
    <s v="P011"/>
    <x v="1"/>
    <s v="Electronics"/>
    <x v="2"/>
    <x v="16"/>
    <n v="5"/>
    <n v="3445.64"/>
    <n v="0.2"/>
    <x v="937"/>
    <x v="0"/>
    <s v="Credit Card"/>
    <s v="Returned"/>
    <x v="7"/>
    <s v="Returned"/>
    <s v="Online"/>
    <s v="Credit Card"/>
    <x v="1"/>
    <s v="VALID"/>
    <s v="NORMAL"/>
    <s v="Valid"/>
    <n v="17228.2"/>
    <n v="13782.560000000001"/>
  </r>
  <r>
    <s v="ORD50941"/>
    <d v="2025-07-16T00:00:00"/>
    <s v="CUST1068"/>
    <s v="P002"/>
    <x v="9"/>
    <s v="Electronics"/>
    <x v="0"/>
    <x v="14"/>
    <n v="2"/>
    <n v="1286.79"/>
    <n v="0.08"/>
    <x v="938"/>
    <x v="2"/>
    <s v="UPI"/>
    <s v="Cancelled"/>
    <x v="3"/>
    <s v="Cancelled"/>
    <s v="Store"/>
    <s v="Upi"/>
    <x v="1"/>
    <s v="VALID"/>
    <s v="NORMAL"/>
    <s v="Valid"/>
    <n v="2573.58"/>
    <n v="2367.6936000000001"/>
  </r>
  <r>
    <s v="ORD50942"/>
    <d v="2024-12-18T00:00:00"/>
    <s v="CUST1060"/>
    <s v="P011"/>
    <x v="1"/>
    <s v="Electronics"/>
    <x v="3"/>
    <x v="11"/>
    <n v="3"/>
    <n v="2944.21"/>
    <n v="0.2"/>
    <x v="939"/>
    <x v="2"/>
    <s v="Credit Card"/>
    <s v="Completed"/>
    <x v="0"/>
    <s v="Completed"/>
    <s v="Store"/>
    <s v="Credit Card"/>
    <x v="1"/>
    <s v="VALID"/>
    <s v="NORMAL"/>
    <s v="Valid"/>
    <n v="8832.630000000001"/>
    <n v="7066.1040000000012"/>
  </r>
  <r>
    <s v="ORD50943"/>
    <d v="2024-06-10T00:00:00"/>
    <s v="CUST1083"/>
    <s v="P006"/>
    <x v="10"/>
    <s v="Furniture"/>
    <x v="1"/>
    <x v="3"/>
    <n v="1"/>
    <n v="6906.22"/>
    <n v="0.03"/>
    <x v="940"/>
    <x v="0"/>
    <s v="Cash on Delivery"/>
    <s v="Completed"/>
    <x v="4"/>
    <s v="Completed"/>
    <s v="Online"/>
    <s v="Cash On Delivery"/>
    <x v="2"/>
    <s v="VALID"/>
    <s v="NORMAL"/>
    <s v="Valid"/>
    <n v="6906.22"/>
    <n v="6699.0334000000003"/>
  </r>
  <r>
    <s v="ORD50944"/>
    <d v="2024-04-16T00:00:00"/>
    <s v="CUST1077"/>
    <s v="P002"/>
    <x v="9"/>
    <s v="Electronics"/>
    <x v="2"/>
    <x v="13"/>
    <n v="2"/>
    <n v="1243.22"/>
    <n v="0.1"/>
    <x v="941"/>
    <x v="0"/>
    <s v="Credit Card"/>
    <s v="Returned"/>
    <x v="2"/>
    <s v="Returned"/>
    <s v="Online"/>
    <s v="Credit Card"/>
    <x v="1"/>
    <s v="VALID"/>
    <s v="NORMAL"/>
    <s v="Valid"/>
    <n v="2486.44"/>
    <n v="2237.7960000000003"/>
  </r>
  <r>
    <s v="ORD50945"/>
    <d v="2024-09-06T00:00:00"/>
    <s v="CUST1048"/>
    <s v="P015"/>
    <x v="8"/>
    <s v="Accessories"/>
    <x v="0"/>
    <x v="14"/>
    <n v="1"/>
    <n v="693.84"/>
    <n v="0.2"/>
    <x v="942"/>
    <x v="0"/>
    <s v="Net Banking"/>
    <s v="Completed"/>
    <x v="6"/>
    <s v="Completed"/>
    <s v="Online"/>
    <s v="Net Banking"/>
    <x v="0"/>
    <s v="VALID"/>
    <s v="NORMAL"/>
    <s v="Valid"/>
    <n v="693.84"/>
    <n v="555.072"/>
  </r>
  <r>
    <s v="ORD50946"/>
    <d v="2024-03-28T00:00:00"/>
    <s v="CUST1104"/>
    <s v="P007"/>
    <x v="11"/>
    <s v="Stationery"/>
    <x v="0"/>
    <x v="2"/>
    <n v="2"/>
    <n v="460.81"/>
    <n v="0.1"/>
    <x v="943"/>
    <x v="1"/>
    <s v="Credit Card"/>
    <s v="Cancelled"/>
    <x v="5"/>
    <s v="Cancelled"/>
    <s v="Marketplace"/>
    <s v="Credit Card"/>
    <x v="3"/>
    <s v="VALID"/>
    <s v="NORMAL"/>
    <s v="Valid"/>
    <n v="921.62"/>
    <n v="829.45799999999997"/>
  </r>
  <r>
    <s v="ORD50947"/>
    <d v="2026-01-14T00:00:00"/>
    <s v="CUST1188"/>
    <s v="P011"/>
    <x v="1"/>
    <s v="Electronics"/>
    <x v="1"/>
    <x v="3"/>
    <n v="5"/>
    <n v="3127.53"/>
    <n v="0.05"/>
    <x v="944"/>
    <x v="0"/>
    <s v="Cash on Delivery"/>
    <s v="Completed"/>
    <x v="2"/>
    <s v="Completed"/>
    <s v="Online"/>
    <s v="Cash On Delivery"/>
    <x v="1"/>
    <s v="VALID"/>
    <s v="NORMAL"/>
    <s v="Valid"/>
    <n v="15637.650000000001"/>
    <n v="14855.767500000002"/>
  </r>
  <r>
    <s v="ORD50948"/>
    <d v="2024-03-29T00:00:00"/>
    <s v="CUST1079"/>
    <s v="P009"/>
    <x v="7"/>
    <s v="Accessories"/>
    <x v="2"/>
    <x v="4"/>
    <n v="3"/>
    <n v="1657.14"/>
    <n v="0"/>
    <x v="945"/>
    <x v="0"/>
    <s v="Net Banking"/>
    <s v="Completed"/>
    <x v="7"/>
    <s v="Completed"/>
    <s v="Online"/>
    <s v="Net Banking"/>
    <x v="0"/>
    <s v="VALID"/>
    <s v="NORMAL"/>
    <s v="Valid"/>
    <n v="4971.42"/>
    <n v="4971.42"/>
  </r>
  <r>
    <s v="ORD50949"/>
    <d v="2026-04-19T00:00:00"/>
    <s v="CUST1232"/>
    <s v="P006"/>
    <x v="10"/>
    <s v="Furniture"/>
    <x v="3"/>
    <x v="8"/>
    <n v="3"/>
    <n v="7375.54"/>
    <n v="0.03"/>
    <x v="946"/>
    <x v="2"/>
    <s v="Net Banking"/>
    <s v="Completed"/>
    <x v="5"/>
    <s v="Completed"/>
    <s v="Store"/>
    <s v="Net Banking"/>
    <x v="2"/>
    <s v="VALID"/>
    <s v="NORMAL"/>
    <s v="Valid"/>
    <n v="22126.62"/>
    <n v="21462.821400000001"/>
  </r>
  <r>
    <s v="ORD50950"/>
    <d v="2024-11-11T00:00:00"/>
    <s v="CUST1147"/>
    <s v="P001"/>
    <x v="13"/>
    <s v="Electronics"/>
    <x v="0"/>
    <x v="10"/>
    <n v="4"/>
    <n v="64217.48"/>
    <n v="0.2"/>
    <x v="947"/>
    <x v="1"/>
    <s v="Debit Card"/>
    <s v="Cancelled"/>
    <x v="3"/>
    <s v="Cancelled"/>
    <s v="Marketplace"/>
    <s v="Debit Card"/>
    <x v="1"/>
    <s v="VALID"/>
    <s v="NORMAL"/>
    <s v="Valid"/>
    <n v="256869.92"/>
    <n v="205495.93600000002"/>
  </r>
  <r>
    <s v="ORD50951"/>
    <d v="2024-07-24T00:00:00"/>
    <s v="CUST1094"/>
    <s v="P015"/>
    <x v="8"/>
    <s v="Accessories"/>
    <x v="0"/>
    <x v="2"/>
    <n v="4"/>
    <n v="685.61"/>
    <n v="0.1"/>
    <x v="948"/>
    <x v="2"/>
    <s v="UPI"/>
    <s v="Completed"/>
    <x v="5"/>
    <s v="Completed"/>
    <s v="Store"/>
    <s v="Upi"/>
    <x v="0"/>
    <s v="VALID"/>
    <s v="NORMAL"/>
    <s v="Valid"/>
    <n v="2742.44"/>
    <n v="2468.1959999999999"/>
  </r>
  <r>
    <s v="ORD50952"/>
    <d v="2025-04-26T00:00:00"/>
    <m/>
    <s v="P006"/>
    <x v="10"/>
    <s v="Furniture"/>
    <x v="1"/>
    <x v="7"/>
    <n v="4"/>
    <n v="6852.58"/>
    <n v="0.1"/>
    <x v="949"/>
    <x v="0"/>
    <s v="Net Banking"/>
    <s v="Completed"/>
    <x v="1"/>
    <s v="Completed"/>
    <s v="Online"/>
    <s v="Net Banking"/>
    <x v="2"/>
    <s v="VALID"/>
    <s v="NORMAL"/>
    <s v="Valid"/>
    <n v="27410.32"/>
    <n v="24669.288"/>
  </r>
  <r>
    <s v="ORD50953"/>
    <d v="2025-10-07T00:00:00"/>
    <s v="CUST1219"/>
    <s v="P010"/>
    <x v="14"/>
    <s v="Electronics"/>
    <x v="1"/>
    <x v="3"/>
    <n v="4"/>
    <n v="2071.9"/>
    <n v="0"/>
    <x v="950"/>
    <x v="0"/>
    <s v="Debit Card"/>
    <s v="Completed"/>
    <x v="6"/>
    <s v="Completed"/>
    <s v="Online"/>
    <s v="Debit Card"/>
    <x v="1"/>
    <s v="VALID"/>
    <s v="NORMAL"/>
    <s v="Valid"/>
    <n v="8287.6"/>
    <n v="8287.6"/>
  </r>
  <r>
    <s v="ORD50954"/>
    <d v="2024-02-10T00:00:00"/>
    <s v="CUST1255"/>
    <s v="P002"/>
    <x v="9"/>
    <s v="Electronics"/>
    <x v="2"/>
    <x v="13"/>
    <n v="3"/>
    <n v="1132.55"/>
    <n v="0.15"/>
    <x v="951"/>
    <x v="1"/>
    <s v="Cash on Delivery"/>
    <s v="Completed"/>
    <x v="7"/>
    <s v="Completed"/>
    <s v="Marketplace"/>
    <s v="Cash On Delivery"/>
    <x v="1"/>
    <s v="VALID"/>
    <s v="NORMAL"/>
    <s v="Valid"/>
    <n v="3397.6499999999996"/>
    <n v="2888.0024999999996"/>
  </r>
  <r>
    <s v="ORD50955"/>
    <d v="2025-01-19T00:00:00"/>
    <s v="CUST1049"/>
    <s v="P008"/>
    <x v="4"/>
    <s v="Stationery"/>
    <x v="2"/>
    <x v="4"/>
    <n v="3"/>
    <n v="207.58"/>
    <n v="0.08"/>
    <x v="952"/>
    <x v="1"/>
    <s v="Credit Card"/>
    <s v="Completed"/>
    <x v="4"/>
    <s v="Completed"/>
    <s v="Marketplace"/>
    <s v="Credit Card"/>
    <x v="3"/>
    <s v="VALID"/>
    <s v="NORMAL"/>
    <s v="Valid"/>
    <n v="622.74"/>
    <n v="572.92079999999999"/>
  </r>
  <r>
    <s v="ORD50956"/>
    <d v="2024-09-21T00:00:00"/>
    <s v="CUST1128"/>
    <s v="P014"/>
    <x v="5"/>
    <s v="Electronics"/>
    <x v="3"/>
    <x v="8"/>
    <n v="1"/>
    <n v="2590.48"/>
    <n v="0.15"/>
    <x v="953"/>
    <x v="2"/>
    <s v="Credit Card"/>
    <s v="Completed"/>
    <x v="7"/>
    <s v="Completed"/>
    <s v="Store"/>
    <s v="Credit Card"/>
    <x v="1"/>
    <s v="VALID"/>
    <s v="NORMAL"/>
    <s v="Valid"/>
    <n v="2590.48"/>
    <n v="2201.9079999999999"/>
  </r>
  <r>
    <s v="ORD50957"/>
    <d v="2026-04-03T00:00:00"/>
    <s v="CUST1139"/>
    <s v="P004"/>
    <x v="6"/>
    <s v="Electronics"/>
    <x v="2"/>
    <x v="13"/>
    <n v="1"/>
    <n v="12891.24"/>
    <n v="0.1"/>
    <x v="954"/>
    <x v="0"/>
    <s v="Debit Card"/>
    <s v="Completed"/>
    <x v="3"/>
    <s v="Completed"/>
    <s v="Online"/>
    <s v="Debit Card"/>
    <x v="1"/>
    <s v="VALID"/>
    <s v="NORMAL"/>
    <s v="Valid"/>
    <n v="12891.24"/>
    <n v="11602.116"/>
  </r>
  <r>
    <s v="ORD50958"/>
    <d v="2025-02-09T00:00:00"/>
    <s v="CUST1148"/>
    <s v="P014"/>
    <x v="5"/>
    <s v="Electronics"/>
    <x v="3"/>
    <x v="8"/>
    <n v="2"/>
    <n v="2641.38"/>
    <n v="0.08"/>
    <x v="955"/>
    <x v="2"/>
    <s v="UPI"/>
    <s v="Returned"/>
    <x v="3"/>
    <s v="Returned"/>
    <s v="Store"/>
    <s v="Upi"/>
    <x v="1"/>
    <s v="VALID"/>
    <s v="NORMAL"/>
    <s v="Valid"/>
    <n v="5282.76"/>
    <n v="4860.1392000000005"/>
  </r>
  <r>
    <s v="ORD50959"/>
    <d v="2024-05-21T00:00:00"/>
    <s v="CUST1113"/>
    <s v="P005"/>
    <x v="12"/>
    <s v="Furniture"/>
    <x v="3"/>
    <x v="15"/>
    <n v="3"/>
    <n v="10120.06"/>
    <n v="0.08"/>
    <x v="956"/>
    <x v="2"/>
    <s v="Cash on Delivery"/>
    <s v="Cancelled"/>
    <x v="6"/>
    <s v="Cancelled"/>
    <s v="Store"/>
    <s v="Cash On Delivery"/>
    <x v="2"/>
    <s v="VALID"/>
    <s v="NORMAL"/>
    <s v="Valid"/>
    <n v="30360.18"/>
    <n v="27931.365600000001"/>
  </r>
  <r>
    <s v="ORD50960"/>
    <d v="2024-07-24T00:00:00"/>
    <s v="CUST1215"/>
    <s v="P007"/>
    <x v="11"/>
    <s v="Stationery"/>
    <x v="2"/>
    <x v="12"/>
    <n v="1"/>
    <n v="444.29"/>
    <n v="0"/>
    <x v="957"/>
    <x v="0"/>
    <m/>
    <s v="Completed"/>
    <x v="7"/>
    <s v="Completed"/>
    <s v="Online"/>
    <s v=""/>
    <x v="3"/>
    <s v="VALID"/>
    <s v="NORMAL"/>
    <s v="Valid"/>
    <n v="444.29"/>
    <n v="444.29"/>
  </r>
  <r>
    <s v="ORD50961"/>
    <d v="2026-05-30T00:00:00"/>
    <s v="CUST1010"/>
    <s v="P010"/>
    <x v="14"/>
    <s v="Electronics"/>
    <x v="3"/>
    <x v="11"/>
    <n v="1"/>
    <n v="2302.67"/>
    <n v="0.05"/>
    <x v="958"/>
    <x v="0"/>
    <s v="Debit Card"/>
    <s v="Completed"/>
    <x v="1"/>
    <s v="Completed"/>
    <s v="Online"/>
    <s v="Debit Card"/>
    <x v="1"/>
    <s v="VALID"/>
    <s v="NORMAL"/>
    <s v="Valid"/>
    <n v="2302.67"/>
    <n v="2187.5365000000002"/>
  </r>
  <r>
    <s v="ORD50962"/>
    <d v="2026-05-05T00:00:00"/>
    <s v="CUST1046"/>
    <s v="P010"/>
    <x v="14"/>
    <s v="Electronics"/>
    <x v="1"/>
    <x v="3"/>
    <n v="2"/>
    <n v="2157.2800000000002"/>
    <n v="0.1"/>
    <x v="959"/>
    <x v="0"/>
    <s v="Credit Card"/>
    <s v="Completed"/>
    <x v="3"/>
    <s v="Completed"/>
    <s v="Online"/>
    <s v="Credit Card"/>
    <x v="1"/>
    <s v="VALID"/>
    <s v="NORMAL"/>
    <s v="Valid"/>
    <n v="4314.5600000000004"/>
    <n v="3883.1040000000003"/>
  </r>
  <r>
    <s v="ORD50963"/>
    <d v="2024-10-13T00:00:00"/>
    <s v="CUST1240"/>
    <s v="P006"/>
    <x v="10"/>
    <s v="Furniture"/>
    <x v="2"/>
    <x v="4"/>
    <n v="5"/>
    <n v="7373.82"/>
    <n v="0.1"/>
    <x v="960"/>
    <x v="0"/>
    <s v="Cash on Delivery"/>
    <s v="Completed"/>
    <x v="0"/>
    <s v="Completed"/>
    <s v="Online"/>
    <s v="Cash On Delivery"/>
    <x v="2"/>
    <s v="VALID"/>
    <s v="NORMAL"/>
    <s v="Valid"/>
    <n v="36869.1"/>
    <n v="33182.19"/>
  </r>
  <r>
    <s v="ORD50964"/>
    <d v="2024-08-11T00:00:00"/>
    <s v="CUST1118"/>
    <s v="P002"/>
    <x v="9"/>
    <s v="Electronics"/>
    <x v="1"/>
    <x v="16"/>
    <n v="3"/>
    <n v="1114.43"/>
    <n v="0"/>
    <x v="961"/>
    <x v="1"/>
    <s v="Debit Card"/>
    <s v="Completed"/>
    <x v="6"/>
    <s v="Completed"/>
    <s v="Marketplace"/>
    <s v="Debit Card"/>
    <x v="1"/>
    <s v="VALID"/>
    <s v="NORMAL"/>
    <s v="Valid"/>
    <n v="3343.29"/>
    <n v="3343.29"/>
  </r>
  <r>
    <s v="ORD50965"/>
    <d v="2024-06-17T00:00:00"/>
    <s v="CUST1010"/>
    <s v="P002"/>
    <x v="9"/>
    <s v="Electronics"/>
    <x v="3"/>
    <x v="15"/>
    <n v="5"/>
    <n v="1109.3900000000001"/>
    <n v="0.08"/>
    <x v="962"/>
    <x v="2"/>
    <s v="UPI"/>
    <s v="Completed"/>
    <x v="7"/>
    <s v="Completed"/>
    <s v="Store"/>
    <s v="Upi"/>
    <x v="1"/>
    <s v="VALID"/>
    <s v="NORMAL"/>
    <s v="Valid"/>
    <n v="5546.9500000000007"/>
    <n v="5103.1940000000004"/>
  </r>
  <r>
    <s v="ORD50966"/>
    <d v="2025-06-25T00:00:00"/>
    <s v="CUST1173"/>
    <s v="P013"/>
    <x v="2"/>
    <s v="Furniture"/>
    <x v="3"/>
    <x v="11"/>
    <n v="1"/>
    <n v="1658.15"/>
    <n v="0"/>
    <x v="963"/>
    <x v="2"/>
    <s v="Net Banking"/>
    <s v="Completed"/>
    <x v="0"/>
    <s v="Completed"/>
    <s v="Store"/>
    <s v="Net Banking"/>
    <x v="2"/>
    <s v="VALID"/>
    <s v="NORMAL"/>
    <s v="Valid"/>
    <n v="1658.15"/>
    <n v="1658.15"/>
  </r>
  <r>
    <s v="ORD50967"/>
    <d v="2025-01-20T00:00:00"/>
    <s v="CUST1070"/>
    <s v="P001"/>
    <x v="13"/>
    <s v="Electronics"/>
    <x v="2"/>
    <x v="13"/>
    <n v="4"/>
    <n v="63851.28"/>
    <n v="0.1"/>
    <x v="964"/>
    <x v="0"/>
    <s v="Cash on Delivery"/>
    <s v="Returned"/>
    <x v="2"/>
    <s v="Returned"/>
    <s v="Online"/>
    <s v="Cash On Delivery"/>
    <x v="1"/>
    <s v="VALID"/>
    <s v="NORMAL"/>
    <s v="Valid"/>
    <n v="255405.12"/>
    <n v="229864.60800000001"/>
  </r>
  <r>
    <s v="ORD50968"/>
    <d v="2025-05-26T00:00:00"/>
    <s v="CUST1097"/>
    <s v="P012"/>
    <x v="0"/>
    <s v="Accessories"/>
    <x v="0"/>
    <x v="2"/>
    <n v="2"/>
    <n v="827.49"/>
    <n v="0.2"/>
    <x v="965"/>
    <x v="2"/>
    <s v="Net Banking"/>
    <s v="Returned"/>
    <x v="5"/>
    <s v="Returned"/>
    <s v="Store"/>
    <s v="Net Banking"/>
    <x v="0"/>
    <s v="VALID"/>
    <s v="NORMAL"/>
    <s v="Valid"/>
    <n v="1654.98"/>
    <n v="1323.9839999999999"/>
  </r>
  <r>
    <s v="ORD50969"/>
    <d v="2026-02-20T00:00:00"/>
    <s v="CUST1035"/>
    <s v="P014"/>
    <x v="5"/>
    <s v="Electronics"/>
    <x v="1"/>
    <x v="1"/>
    <n v="5"/>
    <n v="2932.62"/>
    <n v="0.1"/>
    <x v="966"/>
    <x v="1"/>
    <s v="Cash on Delivery"/>
    <s v="Completed"/>
    <x v="6"/>
    <s v="Completed"/>
    <s v="Marketplace"/>
    <s v="Cash On Delivery"/>
    <x v="1"/>
    <s v="VALID"/>
    <s v="NORMAL"/>
    <s v="Valid"/>
    <n v="14663.099999999999"/>
    <n v="13196.789999999999"/>
  </r>
  <r>
    <s v="ORD50970"/>
    <d v="2024-09-11T00:00:00"/>
    <s v="CUST1220"/>
    <s v="P007"/>
    <x v="11"/>
    <s v="Stationery"/>
    <x v="1"/>
    <x v="7"/>
    <n v="5"/>
    <n v="449.97"/>
    <n v="0.03"/>
    <x v="967"/>
    <x v="2"/>
    <s v="UPI"/>
    <s v="Completed"/>
    <x v="0"/>
    <s v="Completed"/>
    <s v="Store"/>
    <s v="Upi"/>
    <x v="3"/>
    <s v="VALID"/>
    <s v="NORMAL"/>
    <s v="Valid"/>
    <n v="2249.8500000000004"/>
    <n v="2182.3545000000004"/>
  </r>
  <r>
    <s v="ORD50971"/>
    <d v="2026-02-07T00:00:00"/>
    <s v="CUST1221"/>
    <s v="P002"/>
    <x v="9"/>
    <s v="Electronics"/>
    <x v="3"/>
    <x v="11"/>
    <n v="4"/>
    <n v="1171.08"/>
    <n v="0.08"/>
    <x v="968"/>
    <x v="1"/>
    <s v="Cash on Delivery"/>
    <s v="Completed"/>
    <x v="1"/>
    <s v="Completed"/>
    <s v="Marketplace"/>
    <s v="Cash On Delivery"/>
    <x v="1"/>
    <s v="VALID"/>
    <s v="NORMAL"/>
    <s v="Valid"/>
    <n v="4684.32"/>
    <n v="4309.5743999999995"/>
  </r>
  <r>
    <s v="ORD50972"/>
    <d v="2026-02-10T00:00:00"/>
    <s v="CUST1003"/>
    <s v="P001"/>
    <x v="13"/>
    <s v="Electronics"/>
    <x v="1"/>
    <x v="7"/>
    <n v="5"/>
    <n v="66995.34"/>
    <n v="0.03"/>
    <x v="969"/>
    <x v="0"/>
    <s v="Debit Card"/>
    <s v="Completed"/>
    <x v="0"/>
    <s v="Completed"/>
    <s v="Online"/>
    <s v="Debit Card"/>
    <x v="1"/>
    <s v="VALID"/>
    <s v="NORMAL"/>
    <s v="Valid"/>
    <n v="334976.69999999995"/>
    <n v="324927.39899999998"/>
  </r>
  <r>
    <s v="ORD50973"/>
    <d v="2026-03-14T00:00:00"/>
    <s v="CUST1061"/>
    <s v="P008"/>
    <x v="4"/>
    <s v="Stationery"/>
    <x v="0"/>
    <x v="14"/>
    <n v="4"/>
    <n v="215.72"/>
    <n v="0.2"/>
    <x v="970"/>
    <x v="1"/>
    <s v="Credit Card"/>
    <s v="Completed"/>
    <x v="7"/>
    <s v="Completed"/>
    <s v="Marketplace"/>
    <s v="Credit Card"/>
    <x v="3"/>
    <s v="VALID"/>
    <s v="NORMAL"/>
    <s v="Valid"/>
    <n v="862.88"/>
    <n v="690.30399999999997"/>
  </r>
  <r>
    <s v="ORD50974"/>
    <d v="2025-06-28T00:00:00"/>
    <s v="CUST1068"/>
    <s v="P006"/>
    <x v="10"/>
    <s v="Furniture"/>
    <x v="3"/>
    <x v="9"/>
    <n v="5"/>
    <n v="7291.06"/>
    <n v="0.15"/>
    <x v="971"/>
    <x v="0"/>
    <s v="Credit Card"/>
    <s v="Completed"/>
    <x v="3"/>
    <s v="Completed"/>
    <s v="Online"/>
    <s v="Credit Card"/>
    <x v="2"/>
    <s v="VALID"/>
    <s v="NORMAL"/>
    <s v="Valid"/>
    <n v="36455.300000000003"/>
    <n v="30987.005000000005"/>
  </r>
  <r>
    <s v="ORD50975"/>
    <d v="2024-03-14T00:00:00"/>
    <s v="CUST1123"/>
    <s v="P015"/>
    <x v="8"/>
    <s v="Accessories"/>
    <x v="2"/>
    <x v="4"/>
    <n v="3"/>
    <n v="727.58"/>
    <n v="0.08"/>
    <x v="972"/>
    <x v="2"/>
    <s v="Credit Card"/>
    <s v="Completed"/>
    <x v="7"/>
    <s v="Completed"/>
    <s v="Store"/>
    <s v="Credit Card"/>
    <x v="0"/>
    <s v="VALID"/>
    <s v="NORMAL"/>
    <s v="Valid"/>
    <n v="2182.7400000000002"/>
    <n v="2008.1208000000001"/>
  </r>
  <r>
    <s v="ORD50976"/>
    <d v="2024-11-03T00:00:00"/>
    <s v="CUST1259"/>
    <s v="P007"/>
    <x v="11"/>
    <s v="Stationery"/>
    <x v="3"/>
    <x v="15"/>
    <n v="3"/>
    <n v="476.86"/>
    <n v="0.1"/>
    <x v="973"/>
    <x v="0"/>
    <s v="Cash on Delivery"/>
    <s v="Completed"/>
    <x v="3"/>
    <s v="Completed"/>
    <s v="Online"/>
    <s v="Cash On Delivery"/>
    <x v="3"/>
    <s v="VALID"/>
    <s v="NORMAL"/>
    <s v="Valid"/>
    <n v="1430.58"/>
    <n v="1287.5219999999999"/>
  </r>
  <r>
    <s v="ORD50977"/>
    <d v="2025-01-10T00:00:00"/>
    <s v="CUST1249"/>
    <s v="P005"/>
    <x v="12"/>
    <s v="Furniture"/>
    <x v="1"/>
    <x v="7"/>
    <n v="4"/>
    <n v="9845.1200000000008"/>
    <n v="0.2"/>
    <x v="974"/>
    <x v="2"/>
    <s v="Net Banking"/>
    <s v="Cancelled"/>
    <x v="5"/>
    <s v="Cancelled"/>
    <s v="Store"/>
    <s v="Net Banking"/>
    <x v="2"/>
    <s v="VALID"/>
    <s v="NORMAL"/>
    <s v="Valid"/>
    <n v="39380.480000000003"/>
    <n v="31504.384000000002"/>
  </r>
  <r>
    <s v="ORD50978"/>
    <d v="2025-12-05T00:00:00"/>
    <s v="CUST1204"/>
    <s v="P010"/>
    <x v="14"/>
    <s v="Electronics"/>
    <x v="1"/>
    <x v="1"/>
    <m/>
    <n v="2176.48"/>
    <n v="0.15"/>
    <x v="975"/>
    <x v="1"/>
    <s v="Debit Card"/>
    <s v="Completed"/>
    <x v="1"/>
    <s v="Completed"/>
    <s v="Marketplace"/>
    <s v="Debit Card"/>
    <x v="1"/>
    <s v="INVALID"/>
    <s v="NORMAL"/>
    <s v="Valid"/>
    <n v="0"/>
    <n v="0"/>
  </r>
  <r>
    <s v="ORD50979"/>
    <d v="2025-01-18T00:00:00"/>
    <s v="CUST1123"/>
    <s v="P015"/>
    <x v="8"/>
    <s v="Accessories"/>
    <x v="3"/>
    <x v="11"/>
    <n v="3"/>
    <n v="683"/>
    <n v="0.15"/>
    <x v="976"/>
    <x v="2"/>
    <s v="Cash on Delivery"/>
    <s v="Completed"/>
    <x v="3"/>
    <s v="Completed"/>
    <s v="Store"/>
    <s v="Cash On Delivery"/>
    <x v="0"/>
    <s v="VALID"/>
    <s v="NORMAL"/>
    <s v="Valid"/>
    <n v="2049"/>
    <n v="1741.65"/>
  </r>
  <r>
    <s v="ORD50980"/>
    <d v="2024-04-27T00:00:00"/>
    <s v="CUST1062"/>
    <s v="P015"/>
    <x v="8"/>
    <s v="Accessories"/>
    <x v="1"/>
    <x v="6"/>
    <n v="5"/>
    <n v="692.45"/>
    <n v="0.05"/>
    <x v="977"/>
    <x v="2"/>
    <s v="Debit Card"/>
    <s v="Completed"/>
    <x v="0"/>
    <s v="Completed"/>
    <s v="Store"/>
    <s v="Debit Card"/>
    <x v="0"/>
    <s v="VALID"/>
    <s v="NORMAL"/>
    <s v="Valid"/>
    <n v="3462.25"/>
    <n v="3289.1374999999998"/>
  </r>
  <r>
    <s v="ORD50981"/>
    <d v="2025-02-21T00:00:00"/>
    <s v="CUST1254"/>
    <s v="P014"/>
    <x v="5"/>
    <s v="Electronics"/>
    <x v="2"/>
    <x v="4"/>
    <n v="1"/>
    <n v="2891.31"/>
    <n v="0.05"/>
    <x v="978"/>
    <x v="0"/>
    <s v="Net Banking"/>
    <s v="Completed"/>
    <x v="1"/>
    <s v="Completed"/>
    <s v="Online"/>
    <s v="Net Banking"/>
    <x v="1"/>
    <s v="VALID"/>
    <s v="NORMAL"/>
    <s v="Valid"/>
    <n v="2891.31"/>
    <n v="2746.7444999999998"/>
  </r>
  <r>
    <s v="ORD50982"/>
    <d v="2024-09-27T00:00:00"/>
    <s v="CUST1134"/>
    <s v="P011"/>
    <x v="1"/>
    <s v="Electronics"/>
    <x v="1"/>
    <x v="7"/>
    <n v="2"/>
    <n v="3180.96"/>
    <n v="0.05"/>
    <x v="979"/>
    <x v="0"/>
    <s v="Cash on Delivery"/>
    <s v="Completed"/>
    <x v="0"/>
    <s v="Completed"/>
    <s v="Online"/>
    <s v="Cash On Delivery"/>
    <x v="1"/>
    <s v="VALID"/>
    <s v="NORMAL"/>
    <s v="Valid"/>
    <n v="6361.92"/>
    <n v="6043.8240000000005"/>
  </r>
  <r>
    <s v="ORD50983"/>
    <d v="2025-01-29T00:00:00"/>
    <s v="CUST1229"/>
    <s v="P012"/>
    <x v="0"/>
    <s v="Accessories"/>
    <x v="0"/>
    <x v="0"/>
    <n v="1"/>
    <n v="819.5"/>
    <n v="0.03"/>
    <x v="980"/>
    <x v="0"/>
    <s v="Cash on Delivery"/>
    <s v="Returned"/>
    <x v="3"/>
    <s v="Returned"/>
    <s v="Online"/>
    <s v="Cash On Delivery"/>
    <x v="0"/>
    <s v="VALID"/>
    <s v="NORMAL"/>
    <s v="Valid"/>
    <n v="819.5"/>
    <n v="794.91499999999996"/>
  </r>
  <r>
    <s v="ORD50984"/>
    <d v="2024-07-02T00:00:00"/>
    <s v="CUST1052"/>
    <s v="P007"/>
    <x v="11"/>
    <s v="Stationery"/>
    <x v="3"/>
    <x v="11"/>
    <n v="3"/>
    <n v="436.96"/>
    <n v="0.1"/>
    <x v="981"/>
    <x v="2"/>
    <s v="Net Banking"/>
    <s v="Completed"/>
    <x v="6"/>
    <s v="Completed"/>
    <s v="Store"/>
    <s v="Net Banking"/>
    <x v="3"/>
    <s v="VALID"/>
    <s v="NORMAL"/>
    <s v="Valid"/>
    <n v="1310.8799999999999"/>
    <n v="1179.7919999999999"/>
  </r>
  <r>
    <s v="ORD50985"/>
    <d v="2025-02-23T00:00:00"/>
    <s v="CUST1145"/>
    <s v="P012"/>
    <x v="0"/>
    <s v="Accessories"/>
    <x v="2"/>
    <x v="4"/>
    <n v="1"/>
    <n v="892.66"/>
    <n v="0"/>
    <x v="982"/>
    <x v="0"/>
    <s v="Credit Card"/>
    <s v="Completed"/>
    <x v="4"/>
    <s v="Completed"/>
    <s v="Online"/>
    <s v="Credit Card"/>
    <x v="0"/>
    <s v="VALID"/>
    <s v="NORMAL"/>
    <s v="Valid"/>
    <n v="892.66"/>
    <n v="892.66"/>
  </r>
  <r>
    <s v="ORD50986"/>
    <d v="2024-01-03T00:00:00"/>
    <s v="CUST1166"/>
    <s v="P002"/>
    <x v="9"/>
    <s v="Electronics"/>
    <x v="0"/>
    <x v="2"/>
    <n v="1"/>
    <n v="1243.05"/>
    <n v="0.03"/>
    <x v="983"/>
    <x v="0"/>
    <s v="Credit Card"/>
    <s v="Completed"/>
    <x v="0"/>
    <s v="Completed"/>
    <s v="Online"/>
    <s v="Credit Card"/>
    <x v="1"/>
    <s v="VALID"/>
    <s v="NORMAL"/>
    <s v="Valid"/>
    <n v="1243.05"/>
    <n v="1205.7584999999999"/>
  </r>
  <r>
    <s v="ORD50987"/>
    <d v="2024-04-28T00:00:00"/>
    <s v="CUST1198"/>
    <s v="P004"/>
    <x v="6"/>
    <s v="Electronics"/>
    <x v="2"/>
    <x v="13"/>
    <n v="1"/>
    <n v="12368.01"/>
    <n v="0.05"/>
    <x v="984"/>
    <x v="1"/>
    <s v="Debit Card"/>
    <s v="Completed"/>
    <x v="5"/>
    <s v="Completed"/>
    <s v="Marketplace"/>
    <s v="Debit Card"/>
    <x v="1"/>
    <s v="VALID"/>
    <s v="NORMAL"/>
    <s v="Valid"/>
    <n v="12368.01"/>
    <n v="11749.6095"/>
  </r>
  <r>
    <s v="ORD50988"/>
    <d v="2024-05-23T00:00:00"/>
    <s v="CUST1160"/>
    <s v="P002"/>
    <x v="9"/>
    <s v="Electronics"/>
    <x v="2"/>
    <x v="12"/>
    <n v="2"/>
    <n v="1272.58"/>
    <n v="0.03"/>
    <x v="985"/>
    <x v="0"/>
    <s v="Credit Card"/>
    <s v="Completed"/>
    <x v="7"/>
    <s v="Completed"/>
    <s v="Online"/>
    <s v="Credit Card"/>
    <x v="1"/>
    <s v="VALID"/>
    <s v="NORMAL"/>
    <s v="Valid"/>
    <n v="2545.16"/>
    <n v="2468.8051999999998"/>
  </r>
  <r>
    <s v="ORD50989"/>
    <d v="2025-09-25T00:00:00"/>
    <s v="CUST1021"/>
    <s v="P011"/>
    <x v="1"/>
    <s v="Electronics"/>
    <x v="2"/>
    <x v="13"/>
    <n v="4"/>
    <n v="2955.53"/>
    <n v="0.03"/>
    <x v="986"/>
    <x v="0"/>
    <s v="Credit Card"/>
    <s v="Completed"/>
    <x v="2"/>
    <s v="Completed"/>
    <s v="Online"/>
    <s v="Credit Card"/>
    <x v="1"/>
    <s v="VALID"/>
    <s v="NORMAL"/>
    <s v="Valid"/>
    <n v="11822.12"/>
    <n v="11467.456400000001"/>
  </r>
  <r>
    <s v="ORD50990"/>
    <d v="2025-03-01T00:00:00"/>
    <s v="CUST1083"/>
    <s v="P014"/>
    <x v="5"/>
    <s v="Electronics"/>
    <x v="3"/>
    <x v="11"/>
    <n v="5"/>
    <n v="2773.85"/>
    <n v="0.05"/>
    <x v="987"/>
    <x v="2"/>
    <s v="Cash on Delivery"/>
    <s v="Completed"/>
    <x v="7"/>
    <s v="Completed"/>
    <s v="Store"/>
    <s v="Cash On Delivery"/>
    <x v="1"/>
    <s v="VALID"/>
    <s v="NORMAL"/>
    <s v="Valid"/>
    <n v="13869.25"/>
    <n v="13175.7875"/>
  </r>
  <r>
    <s v="ORD50991"/>
    <d v="2025-08-10T00:00:00"/>
    <s v="CUST1082"/>
    <s v="P006"/>
    <x v="10"/>
    <s v="Furniture"/>
    <x v="3"/>
    <x v="11"/>
    <n v="3"/>
    <n v="7608.19"/>
    <n v="0.2"/>
    <x v="988"/>
    <x v="2"/>
    <s v="Net Banking"/>
    <s v="Completed"/>
    <x v="0"/>
    <s v="Completed"/>
    <s v="Store"/>
    <s v="Net Banking"/>
    <x v="2"/>
    <s v="VALID"/>
    <s v="NORMAL"/>
    <s v="Valid"/>
    <n v="22824.57"/>
    <n v="18259.655999999999"/>
  </r>
  <r>
    <s v="ORD50992"/>
    <d v="2026-04-10T00:00:00"/>
    <s v="CUST1005"/>
    <s v="P010"/>
    <x v="14"/>
    <s v="Electronics"/>
    <x v="1"/>
    <x v="6"/>
    <n v="5"/>
    <n v="2103.41"/>
    <n v="0.15"/>
    <x v="989"/>
    <x v="0"/>
    <s v="Net Banking"/>
    <s v="Completed"/>
    <x v="3"/>
    <s v="Completed"/>
    <s v="Online"/>
    <s v="Net Banking"/>
    <x v="1"/>
    <s v="VALID"/>
    <s v="NORMAL"/>
    <s v="Valid"/>
    <n v="10517.05"/>
    <n v="8939.4925000000003"/>
  </r>
  <r>
    <s v="ORD50993"/>
    <d v="2024-01-09T00:00:00"/>
    <s v="CUST1077"/>
    <s v="P011"/>
    <x v="1"/>
    <s v="Electronics"/>
    <x v="2"/>
    <x v="4"/>
    <n v="4"/>
    <n v="3089.74"/>
    <n v="0"/>
    <x v="990"/>
    <x v="2"/>
    <m/>
    <s v="Completed"/>
    <x v="1"/>
    <s v="Completed"/>
    <s v="Store"/>
    <s v=""/>
    <x v="1"/>
    <s v="VALID"/>
    <s v="NORMAL"/>
    <s v="Valid"/>
    <n v="12358.96"/>
    <n v="12358.96"/>
  </r>
  <r>
    <s v="ORD50994"/>
    <d v="2025-08-31T00:00:00"/>
    <s v="CUST1211"/>
    <s v="P015"/>
    <x v="8"/>
    <s v="Accessories"/>
    <x v="0"/>
    <x v="14"/>
    <n v="4"/>
    <n v="725.07"/>
    <n v="0.08"/>
    <x v="991"/>
    <x v="0"/>
    <s v="Net Banking"/>
    <s v="Returned"/>
    <x v="2"/>
    <s v="Returned"/>
    <s v="Online"/>
    <s v="Net Banking"/>
    <x v="0"/>
    <s v="VALID"/>
    <s v="NORMAL"/>
    <s v="Valid"/>
    <n v="2900.28"/>
    <n v="2668.2576000000004"/>
  </r>
  <r>
    <s v="ORD50995"/>
    <d v="2024-05-25T00:00:00"/>
    <s v="CUST1070"/>
    <s v="P012"/>
    <x v="0"/>
    <s v="Accessories"/>
    <x v="2"/>
    <x v="13"/>
    <n v="4"/>
    <n v="857.61"/>
    <n v="0.1"/>
    <x v="992"/>
    <x v="1"/>
    <s v="Credit Card"/>
    <s v="Completed"/>
    <x v="6"/>
    <s v="Completed"/>
    <s v="Marketplace"/>
    <s v="Credit Card"/>
    <x v="0"/>
    <s v="VALID"/>
    <s v="NORMAL"/>
    <s v="Valid"/>
    <n v="3430.44"/>
    <n v="3087.3960000000002"/>
  </r>
  <r>
    <s v="ORD50996"/>
    <d v="2025-11-02T00:00:00"/>
    <s v="CUST1017"/>
    <s v="P010"/>
    <x v="14"/>
    <s v="Electronics"/>
    <x v="1"/>
    <x v="7"/>
    <n v="4"/>
    <n v="2165.34"/>
    <n v="0.2"/>
    <x v="993"/>
    <x v="1"/>
    <s v="Cash on Delivery"/>
    <s v="Cancelled"/>
    <x v="7"/>
    <s v="Cancelled"/>
    <s v="Marketplace"/>
    <s v="Cash On Delivery"/>
    <x v="1"/>
    <s v="VALID"/>
    <s v="NORMAL"/>
    <s v="Valid"/>
    <n v="8661.36"/>
    <n v="6929.0880000000006"/>
  </r>
  <r>
    <s v="ORD50997"/>
    <d v="2025-06-09T00:00:00"/>
    <s v="CUST1206"/>
    <s v="P002"/>
    <x v="9"/>
    <s v="Electronics"/>
    <x v="3"/>
    <x v="9"/>
    <n v="1"/>
    <n v="1185.3399999999999"/>
    <n v="0.2"/>
    <x v="994"/>
    <x v="0"/>
    <s v="Debit Card"/>
    <s v="Completed"/>
    <x v="0"/>
    <s v="Completed"/>
    <s v="Online"/>
    <s v="Debit Card"/>
    <x v="1"/>
    <s v="VALID"/>
    <s v="NORMAL"/>
    <s v="Valid"/>
    <n v="1185.3399999999999"/>
    <n v="948.27199999999993"/>
  </r>
  <r>
    <s v="ORD50998"/>
    <d v="2025-11-21T00:00:00"/>
    <s v="CUST1002"/>
    <s v="P002"/>
    <x v="9"/>
    <s v="Electronics"/>
    <x v="2"/>
    <x v="4"/>
    <n v="5"/>
    <n v="1245.1099999999999"/>
    <n v="0.2"/>
    <x v="995"/>
    <x v="1"/>
    <s v="Cash on Delivery"/>
    <s v="Returned"/>
    <x v="1"/>
    <s v="Returned"/>
    <s v="Marketplace"/>
    <s v="Cash On Delivery"/>
    <x v="1"/>
    <s v="VALID"/>
    <s v="NORMAL"/>
    <s v="Valid"/>
    <n v="6225.5499999999993"/>
    <n v="4980.4399999999996"/>
  </r>
  <r>
    <s v="ORD50999"/>
    <d v="2024-01-13T00:00:00"/>
    <s v="CUST1258"/>
    <s v="P010"/>
    <x v="14"/>
    <s v="Electronics"/>
    <x v="2"/>
    <x v="12"/>
    <n v="1"/>
    <n v="2115.87"/>
    <n v="0.03"/>
    <x v="996"/>
    <x v="2"/>
    <s v="Credit Card"/>
    <s v="Returned"/>
    <x v="7"/>
    <s v="Returned"/>
    <s v="Store"/>
    <s v="Credit Card"/>
    <x v="1"/>
    <s v="VALID"/>
    <s v="NORMAL"/>
    <s v="Valid"/>
    <n v="2115.87"/>
    <n v="2052.3939"/>
  </r>
  <r>
    <s v="ORD51000"/>
    <d v="2024-05-26T00:00:00"/>
    <s v="CUST1066"/>
    <s v="P005"/>
    <x v="12"/>
    <s v="Furniture"/>
    <x v="1"/>
    <x v="1"/>
    <n v="1"/>
    <n v="9411.81"/>
    <n v="0"/>
    <x v="997"/>
    <x v="0"/>
    <s v="Credit Card"/>
    <s v="Completed"/>
    <x v="7"/>
    <s v="Completed"/>
    <s v="Online"/>
    <s v="Credit Card"/>
    <x v="2"/>
    <s v="VALID"/>
    <s v="NORMAL"/>
    <s v="Valid"/>
    <n v="9411.81"/>
    <n v="9411.81"/>
  </r>
  <r>
    <s v="ORD51001"/>
    <d v="2025-09-06T00:00:00"/>
    <s v="CUST1151"/>
    <s v="P014"/>
    <x v="5"/>
    <s v="Electronics"/>
    <x v="3"/>
    <x v="15"/>
    <n v="2"/>
    <n v="2969.1"/>
    <n v="0.03"/>
    <x v="998"/>
    <x v="1"/>
    <s v="UPI"/>
    <s v="Completed"/>
    <x v="5"/>
    <s v="Completed"/>
    <s v="Marketplace"/>
    <s v="Upi"/>
    <x v="1"/>
    <s v="VALID"/>
    <s v="NORMAL"/>
    <s v="Valid"/>
    <n v="5938.2"/>
    <n v="5760.0540000000001"/>
  </r>
  <r>
    <s v="ORD51002"/>
    <d v="2027-12-31T00:00:00"/>
    <s v="CUST1198"/>
    <s v="P004"/>
    <x v="6"/>
    <s v="Electronics"/>
    <x v="3"/>
    <x v="15"/>
    <n v="4"/>
    <n v="12650.71"/>
    <n v="0.1"/>
    <x v="999"/>
    <x v="0"/>
    <s v="UPI"/>
    <s v="Cancelled"/>
    <x v="2"/>
    <s v="Cancelled"/>
    <s v="Online"/>
    <s v="Upi"/>
    <x v="1"/>
    <s v="VALID"/>
    <s v="NORMAL"/>
    <s v="Valid"/>
    <n v="50602.84"/>
    <n v="45542.555999999997"/>
  </r>
  <r>
    <s v="ORD51003"/>
    <d v="2024-07-06T00:00:00"/>
    <s v="CUST1123"/>
    <s v="P012"/>
    <x v="0"/>
    <s v="Accessories"/>
    <x v="3"/>
    <x v="15"/>
    <n v="1"/>
    <n v="881.5"/>
    <n v="0"/>
    <x v="1000"/>
    <x v="2"/>
    <s v="Net Banking"/>
    <s v="Completed"/>
    <x v="1"/>
    <s v="Completed"/>
    <s v="Store"/>
    <s v="Net Banking"/>
    <x v="0"/>
    <s v="VALID"/>
    <s v="NORMAL"/>
    <s v="Valid"/>
    <n v="881.5"/>
    <n v="881.5"/>
  </r>
  <r>
    <s v="ORD51004"/>
    <d v="2024-10-04T00:00:00"/>
    <s v="CUST1235"/>
    <s v="P001"/>
    <x v="13"/>
    <s v="Electronics"/>
    <x v="1"/>
    <x v="6"/>
    <n v="2"/>
    <n v="60262.36"/>
    <n v="0.08"/>
    <x v="1001"/>
    <x v="0"/>
    <s v="Credit Card"/>
    <s v="Completed"/>
    <x v="5"/>
    <s v="Completed"/>
    <s v="Online"/>
    <s v="Credit Card"/>
    <x v="1"/>
    <s v="VALID"/>
    <s v="NORMAL"/>
    <s v="Valid"/>
    <n v="120524.72"/>
    <n v="110882.7424"/>
  </r>
  <r>
    <s v="ORD51005"/>
    <d v="2024-06-21T00:00:00"/>
    <s v="CUST1134"/>
    <s v="P005"/>
    <x v="12"/>
    <s v="Furniture"/>
    <x v="2"/>
    <x v="13"/>
    <n v="1"/>
    <n v="8867.08"/>
    <n v="0"/>
    <x v="1002"/>
    <x v="0"/>
    <s v="Debit Card"/>
    <s v="Returned"/>
    <x v="1"/>
    <s v="Returned"/>
    <s v="Online"/>
    <s v="Debit Card"/>
    <x v="2"/>
    <s v="VALID"/>
    <s v="NORMAL"/>
    <s v="Valid"/>
    <n v="8867.08"/>
    <n v="8867.08"/>
  </r>
  <r>
    <s v="ORD51006"/>
    <d v="2025-10-04T00:00:00"/>
    <s v="CUST1121"/>
    <s v="P012"/>
    <x v="0"/>
    <s v="Accessories"/>
    <x v="3"/>
    <x v="11"/>
    <n v="3"/>
    <n v="805.34"/>
    <n v="0.08"/>
    <x v="1003"/>
    <x v="1"/>
    <s v="Debit Card"/>
    <s v="Completed"/>
    <x v="7"/>
    <s v="Completed"/>
    <s v="Marketplace"/>
    <s v="Debit Card"/>
    <x v="0"/>
    <s v="VALID"/>
    <s v="NORMAL"/>
    <s v="Valid"/>
    <n v="2416.02"/>
    <n v="2222.7384000000002"/>
  </r>
  <r>
    <s v="ORD51007"/>
    <d v="2026-04-24T00:00:00"/>
    <s v="CUST1065"/>
    <s v="P012"/>
    <x v="0"/>
    <s v="Accessories"/>
    <x v="2"/>
    <x v="12"/>
    <n v="5"/>
    <n v="907.53"/>
    <n v="0.03"/>
    <x v="1004"/>
    <x v="2"/>
    <s v="Net Banking"/>
    <s v="Completed"/>
    <x v="4"/>
    <s v="Completed"/>
    <s v="Store"/>
    <s v="Net Banking"/>
    <x v="0"/>
    <s v="VALID"/>
    <s v="NORMAL"/>
    <s v="Valid"/>
    <n v="4537.6499999999996"/>
    <n v="4401.5204999999996"/>
  </r>
  <r>
    <s v="ORD51008"/>
    <d v="2026-02-10T00:00:00"/>
    <s v="CUST1246"/>
    <s v="P015"/>
    <x v="8"/>
    <s v="Accessories"/>
    <x v="3"/>
    <x v="9"/>
    <n v="1"/>
    <n v="724.82"/>
    <n v="0.08"/>
    <x v="1005"/>
    <x v="0"/>
    <s v="Cash on Delivery"/>
    <s v="Completed"/>
    <x v="2"/>
    <s v="Completed"/>
    <s v="Online"/>
    <s v="Cash On Delivery"/>
    <x v="0"/>
    <s v="VALID"/>
    <s v="NORMAL"/>
    <s v="Valid"/>
    <n v="724.82"/>
    <n v="666.83440000000007"/>
  </r>
  <r>
    <s v="ORD51009"/>
    <d v="2024-03-17T00:00:00"/>
    <s v="CUST1042"/>
    <s v="P013"/>
    <x v="2"/>
    <s v="Furniture"/>
    <x v="1"/>
    <x v="1"/>
    <n v="1"/>
    <n v="1569.53"/>
    <n v="0.15"/>
    <x v="1006"/>
    <x v="1"/>
    <s v="Net Banking"/>
    <s v="Completed"/>
    <x v="7"/>
    <s v="Completed"/>
    <s v="Marketplace"/>
    <s v="Net Banking"/>
    <x v="2"/>
    <s v="VALID"/>
    <s v="NORMAL"/>
    <s v="Valid"/>
    <n v="1569.53"/>
    <n v="1334.1005"/>
  </r>
  <r>
    <s v="ORD51010"/>
    <d v="2026-03-09T00:00:00"/>
    <s v="CUST1029"/>
    <s v="P010"/>
    <x v="14"/>
    <s v="Electronics"/>
    <x v="3"/>
    <x v="11"/>
    <n v="1"/>
    <n v="2148.16"/>
    <n v="0.08"/>
    <x v="1007"/>
    <x v="2"/>
    <s v="Cash on Delivery"/>
    <s v="Completed"/>
    <x v="3"/>
    <s v="Completed"/>
    <s v="Store"/>
    <s v="Cash On Delivery"/>
    <x v="1"/>
    <s v="VALID"/>
    <s v="NORMAL"/>
    <s v="Valid"/>
    <n v="2148.16"/>
    <n v="1976.3071999999997"/>
  </r>
  <r>
    <s v="ORD51011"/>
    <d v="2026-04-29T00:00:00"/>
    <s v="CUST1131"/>
    <s v="P011"/>
    <x v="1"/>
    <s v="Electronics"/>
    <x v="0"/>
    <x v="2"/>
    <n v="3"/>
    <n v="3259.69"/>
    <n v="0.15"/>
    <x v="1008"/>
    <x v="1"/>
    <s v="Credit Card"/>
    <s v="Cancelled"/>
    <x v="4"/>
    <s v="Cancelled"/>
    <s v="Marketplace"/>
    <s v="Credit Card"/>
    <x v="1"/>
    <s v="VALID"/>
    <s v="NORMAL"/>
    <s v="Valid"/>
    <n v="9779.07"/>
    <n v="8312.209499999999"/>
  </r>
  <r>
    <s v="ORD51012"/>
    <d v="2025-04-30T00:00:00"/>
    <s v="CUST1060"/>
    <s v="P014"/>
    <x v="5"/>
    <s v="Electronics"/>
    <x v="0"/>
    <x v="14"/>
    <n v="2"/>
    <n v="2770.04"/>
    <n v="0.1"/>
    <x v="1009"/>
    <x v="0"/>
    <s v="Debit Card"/>
    <s v="Returned"/>
    <x v="6"/>
    <s v="Returned"/>
    <s v="Online"/>
    <s v="Debit Card"/>
    <x v="1"/>
    <s v="VALID"/>
    <s v="NORMAL"/>
    <s v="Valid"/>
    <n v="5540.08"/>
    <n v="4986.0720000000001"/>
  </r>
  <r>
    <s v="ORD51013"/>
    <d v="2025-01-12T00:00:00"/>
    <s v="CUST1214"/>
    <s v="P015"/>
    <x v="8"/>
    <s v="Accessories"/>
    <x v="3"/>
    <x v="8"/>
    <n v="5"/>
    <n v="711.4"/>
    <n v="0.05"/>
    <x v="1010"/>
    <x v="1"/>
    <s v="Credit Card"/>
    <s v="Completed"/>
    <x v="1"/>
    <s v="Completed"/>
    <s v="Marketplace"/>
    <s v="Credit Card"/>
    <x v="0"/>
    <s v="VALID"/>
    <s v="NORMAL"/>
    <s v="Valid"/>
    <n v="3557"/>
    <n v="3379.15"/>
  </r>
  <r>
    <s v="ORD51014"/>
    <d v="2025-03-12T00:00:00"/>
    <s v="CUST1222"/>
    <s v="P012"/>
    <x v="0"/>
    <s v="Accessories"/>
    <x v="2"/>
    <x v="4"/>
    <n v="3"/>
    <n v="913.48"/>
    <n v="0"/>
    <x v="1011"/>
    <x v="0"/>
    <s v="Debit Card"/>
    <s v="Cancelled"/>
    <x v="1"/>
    <s v="Cancelled"/>
    <s v="Online"/>
    <s v="Debit Card"/>
    <x v="0"/>
    <s v="VALID"/>
    <s v="NORMAL"/>
    <s v="Valid"/>
    <n v="2740.44"/>
    <n v="2740.44"/>
  </r>
  <r>
    <s v="ORD51015"/>
    <d v="2025-11-09T00:00:00"/>
    <s v="CUST1209"/>
    <s v="P011"/>
    <x v="1"/>
    <s v="Electronics"/>
    <x v="2"/>
    <x v="4"/>
    <n v="3"/>
    <n v="3455.75"/>
    <n v="0.05"/>
    <x v="1012"/>
    <x v="2"/>
    <s v="Net Banking"/>
    <s v="Completed"/>
    <x v="5"/>
    <s v="Completed"/>
    <s v="Store"/>
    <s v="Net Banking"/>
    <x v="1"/>
    <s v="VALID"/>
    <s v="NORMAL"/>
    <s v="Valid"/>
    <n v="10367.25"/>
    <n v="9848.8875000000007"/>
  </r>
  <r>
    <s v="ORD51016"/>
    <d v="2024-08-31T00:00:00"/>
    <s v="CUST1221"/>
    <s v="P007"/>
    <x v="11"/>
    <s v="Stationery"/>
    <x v="3"/>
    <x v="11"/>
    <n v="1"/>
    <n v="415.25"/>
    <n v="0.05"/>
    <x v="1013"/>
    <x v="1"/>
    <s v="Credit Card"/>
    <s v="Completed"/>
    <x v="2"/>
    <s v="Completed"/>
    <s v="Marketplace"/>
    <s v="Credit Card"/>
    <x v="3"/>
    <s v="VALID"/>
    <s v="NORMAL"/>
    <s v="Valid"/>
    <n v="415.25"/>
    <n v="394.48750000000001"/>
  </r>
  <r>
    <s v="ORD51017"/>
    <d v="2026-01-21T00:00:00"/>
    <s v="CUST1226"/>
    <s v="P011"/>
    <x v="1"/>
    <s v="Electronics"/>
    <x v="3"/>
    <x v="8"/>
    <n v="1"/>
    <n v="3057.21"/>
    <n v="0.1"/>
    <x v="1014"/>
    <x v="0"/>
    <s v="Credit Card"/>
    <s v="Completed"/>
    <x v="3"/>
    <s v="Completed"/>
    <s v="Online"/>
    <s v="Credit Card"/>
    <x v="1"/>
    <s v="VALID"/>
    <s v="NORMAL"/>
    <s v="Valid"/>
    <n v="3057.21"/>
    <n v="2751.489"/>
  </r>
  <r>
    <s v="ORD51018"/>
    <d v="2025-10-14T00:00:00"/>
    <s v="CUST1048"/>
    <s v="P007"/>
    <x v="11"/>
    <s v="Stationery"/>
    <x v="2"/>
    <x v="4"/>
    <n v="3"/>
    <n v="422.04"/>
    <n v="0.08"/>
    <x v="1015"/>
    <x v="1"/>
    <s v="UPI"/>
    <s v="Completed"/>
    <x v="3"/>
    <s v="Completed"/>
    <s v="Marketplace"/>
    <s v="Upi"/>
    <x v="3"/>
    <s v="VALID"/>
    <s v="NORMAL"/>
    <s v="Valid"/>
    <n v="1266.1200000000001"/>
    <n v="1164.8304000000001"/>
  </r>
  <r>
    <s v="ORD51019"/>
    <d v="2024-06-14T00:00:00"/>
    <s v="CUST1070"/>
    <s v="P013"/>
    <x v="2"/>
    <s v="Furniture"/>
    <x v="1"/>
    <x v="1"/>
    <n v="2"/>
    <n v="1678.98"/>
    <n v="0"/>
    <x v="1016"/>
    <x v="0"/>
    <s v="Credit Card"/>
    <s v="Completed"/>
    <x v="4"/>
    <s v="Completed"/>
    <s v="Online"/>
    <s v="Credit Card"/>
    <x v="2"/>
    <s v="VALID"/>
    <s v="NORMAL"/>
    <s v="Valid"/>
    <n v="3357.96"/>
    <n v="3357.96"/>
  </r>
  <r>
    <s v="ORD51020"/>
    <d v="2025-01-25T00:00:00"/>
    <s v="CUST1136"/>
    <s v="P010"/>
    <x v="14"/>
    <s v="Electronics"/>
    <x v="3"/>
    <x v="8"/>
    <n v="2"/>
    <n v="2249.92"/>
    <n v="0.2"/>
    <x v="1017"/>
    <x v="2"/>
    <s v="Credit Card"/>
    <s v="Completed"/>
    <x v="0"/>
    <s v="Completed"/>
    <s v="Store"/>
    <s v="Credit Card"/>
    <x v="1"/>
    <s v="VALID"/>
    <s v="NORMAL"/>
    <s v="Valid"/>
    <n v="4499.84"/>
    <n v="3599.8720000000003"/>
  </r>
  <r>
    <s v="ORD51021"/>
    <d v="2025-08-27T00:00:00"/>
    <s v="CUST1230"/>
    <s v="P011"/>
    <x v="1"/>
    <s v="Electronics"/>
    <x v="0"/>
    <x v="0"/>
    <n v="1"/>
    <n v="3240.66"/>
    <n v="0.1"/>
    <x v="1018"/>
    <x v="1"/>
    <s v="Debit Card"/>
    <s v="Completed"/>
    <x v="3"/>
    <s v="Completed"/>
    <s v="Marketplace"/>
    <s v="Debit Card"/>
    <x v="1"/>
    <s v="VALID"/>
    <s v="NORMAL"/>
    <s v="Valid"/>
    <n v="3240.66"/>
    <n v="2916.5940000000001"/>
  </r>
  <r>
    <s v="ORD51022"/>
    <d v="2024-04-21T00:00:00"/>
    <s v="CUST1170"/>
    <s v="P014"/>
    <x v="5"/>
    <s v="Electronics"/>
    <x v="0"/>
    <x v="0"/>
    <n v="2"/>
    <n v="2748.94"/>
    <n v="0.75"/>
    <x v="1019"/>
    <x v="1"/>
    <s v="Cash on Delivery"/>
    <s v="Completed"/>
    <x v="2"/>
    <s v="Completed"/>
    <s v="Marketplace"/>
    <s v="Cash On Delivery"/>
    <x v="1"/>
    <s v="VALID"/>
    <s v="NORMAL"/>
    <s v="Valid"/>
    <n v="5497.88"/>
    <n v="1374.4700000000003"/>
  </r>
  <r>
    <s v="ORD51023"/>
    <d v="2025-11-14T00:00:00"/>
    <s v="CUST1026"/>
    <s v="P006"/>
    <x v="10"/>
    <s v="Furniture"/>
    <x v="0"/>
    <x v="10"/>
    <n v="4"/>
    <n v="6706.94"/>
    <n v="0"/>
    <x v="1020"/>
    <x v="0"/>
    <s v="Cash on Delivery"/>
    <s v="Returned"/>
    <x v="2"/>
    <s v="Returned"/>
    <s v="Online"/>
    <s v="Cash On Delivery"/>
    <x v="2"/>
    <s v="VALID"/>
    <s v="NORMAL"/>
    <s v="Valid"/>
    <n v="26827.759999999998"/>
    <n v="26827.759999999998"/>
  </r>
  <r>
    <s v="ORD51024"/>
    <d v="2024-10-10T00:00:00"/>
    <s v="CUST1131"/>
    <s v="P012"/>
    <x v="0"/>
    <s v="Accessories"/>
    <x v="0"/>
    <x v="14"/>
    <n v="3"/>
    <n v="873.05"/>
    <n v="0.2"/>
    <x v="1021"/>
    <x v="0"/>
    <s v="Debit Card"/>
    <s v="Returned"/>
    <x v="3"/>
    <s v="Returned"/>
    <s v="Online"/>
    <s v="Debit Card"/>
    <x v="0"/>
    <s v="VALID"/>
    <s v="NORMAL"/>
    <s v="Valid"/>
    <n v="2619.1499999999996"/>
    <n v="2095.3199999999997"/>
  </r>
  <r>
    <s v="ORD51025"/>
    <d v="2024-05-01T00:00:00"/>
    <s v="CUST1205"/>
    <s v="P009"/>
    <x v="7"/>
    <s v="Accessories"/>
    <x v="1"/>
    <x v="16"/>
    <n v="5"/>
    <n v="1778.18"/>
    <n v="0.08"/>
    <x v="1022"/>
    <x v="0"/>
    <s v="Net Banking"/>
    <s v="Returned"/>
    <x v="1"/>
    <s v="Returned"/>
    <s v="Online"/>
    <s v="Net Banking"/>
    <x v="0"/>
    <s v="VALID"/>
    <s v="NORMAL"/>
    <s v="Valid"/>
    <n v="8890.9"/>
    <n v="8179.6279999999997"/>
  </r>
  <r>
    <s v="ORD51026"/>
    <d v="2024-05-03T00:00:00"/>
    <s v="CUST1206"/>
    <s v="P013"/>
    <x v="2"/>
    <s v="Furniture"/>
    <x v="1"/>
    <x v="3"/>
    <n v="5"/>
    <n v="1655.2"/>
    <n v="0.03"/>
    <x v="1023"/>
    <x v="1"/>
    <s v="Debit Card"/>
    <s v="Completed"/>
    <x v="2"/>
    <s v="Completed"/>
    <s v="Marketplace"/>
    <s v="Debit Card"/>
    <x v="2"/>
    <s v="VALID"/>
    <s v="NORMAL"/>
    <s v="Valid"/>
    <n v="8276"/>
    <n v="8027.72"/>
  </r>
  <r>
    <s v="ORD51027"/>
    <d v="2026-03-19T00:00:00"/>
    <s v="CUST1084"/>
    <s v="P013"/>
    <x v="2"/>
    <s v="Furniture"/>
    <x v="3"/>
    <x v="9"/>
    <n v="2"/>
    <n v="1602.56"/>
    <n v="0.03"/>
    <x v="1024"/>
    <x v="2"/>
    <s v="Net Banking"/>
    <s v="Cancelled"/>
    <x v="4"/>
    <s v="Cancelled"/>
    <s v="Store"/>
    <s v="Net Banking"/>
    <x v="2"/>
    <s v="VALID"/>
    <s v="NORMAL"/>
    <s v="Valid"/>
    <n v="3205.12"/>
    <n v="3108.9663999999998"/>
  </r>
  <r>
    <s v="ORD51028"/>
    <d v="2024-05-05T00:00:00"/>
    <s v="CUST1027"/>
    <s v="P006"/>
    <x v="10"/>
    <s v="Furniture"/>
    <x v="2"/>
    <x v="13"/>
    <n v="5"/>
    <n v="6665.54"/>
    <n v="0.2"/>
    <x v="1025"/>
    <x v="2"/>
    <s v="Net Banking"/>
    <s v="Completed"/>
    <x v="5"/>
    <s v="Completed"/>
    <s v="Store"/>
    <s v="Net Banking"/>
    <x v="2"/>
    <s v="VALID"/>
    <s v="NORMAL"/>
    <s v="Valid"/>
    <n v="33327.699999999997"/>
    <n v="26662.159999999996"/>
  </r>
  <r>
    <s v="ORD51029"/>
    <d v="2025-03-25T00:00:00"/>
    <s v="CUST1058"/>
    <s v="P009"/>
    <x v="7"/>
    <s v="Accessories"/>
    <x v="3"/>
    <x v="11"/>
    <n v="5"/>
    <n v="1757.61"/>
    <n v="0.08"/>
    <x v="1026"/>
    <x v="1"/>
    <m/>
    <s v="Returned"/>
    <x v="1"/>
    <s v="Returned"/>
    <s v="Marketplace"/>
    <s v=""/>
    <x v="0"/>
    <s v="VALID"/>
    <s v="NORMAL"/>
    <s v="Valid"/>
    <n v="8788.0499999999993"/>
    <n v="8085.0059999999994"/>
  </r>
  <r>
    <s v="ORD51030"/>
    <d v="2025-05-23T00:00:00"/>
    <s v="CUST1051"/>
    <s v="P007"/>
    <x v="11"/>
    <s v="Stationery"/>
    <x v="2"/>
    <x v="4"/>
    <n v="3"/>
    <n v="418.23"/>
    <n v="0.08"/>
    <x v="1027"/>
    <x v="1"/>
    <s v="Cash on Delivery"/>
    <s v="Completed"/>
    <x v="3"/>
    <s v="Completed"/>
    <s v="Marketplace"/>
    <s v="Cash On Delivery"/>
    <x v="3"/>
    <s v="VALID"/>
    <s v="NORMAL"/>
    <s v="Valid"/>
    <n v="1254.69"/>
    <n v="1154.3148000000001"/>
  </r>
  <r>
    <s v="ORD51031"/>
    <d v="2024-01-24T00:00:00"/>
    <s v="CUST1033"/>
    <s v="P005"/>
    <x v="12"/>
    <s v="Furniture"/>
    <x v="0"/>
    <x v="14"/>
    <n v="2"/>
    <n v="9837.1200000000008"/>
    <n v="0.08"/>
    <x v="1028"/>
    <x v="2"/>
    <s v="Cash on Delivery"/>
    <s v="Completed"/>
    <x v="1"/>
    <s v="Completed"/>
    <s v="Store"/>
    <s v="Cash On Delivery"/>
    <x v="2"/>
    <s v="VALID"/>
    <s v="NORMAL"/>
    <s v="Valid"/>
    <n v="19674.240000000002"/>
    <n v="18100.300800000001"/>
  </r>
  <r>
    <s v="ORD51032"/>
    <d v="2025-07-22T00:00:00"/>
    <s v="CUST1232"/>
    <s v="P008"/>
    <x v="4"/>
    <s v="Stationery"/>
    <x v="1"/>
    <x v="1"/>
    <n v="1"/>
    <n v="218.54"/>
    <n v="0"/>
    <x v="1029"/>
    <x v="2"/>
    <s v="UPI"/>
    <s v="Completed"/>
    <x v="7"/>
    <s v="Completed"/>
    <s v="Store"/>
    <s v="Upi"/>
    <x v="3"/>
    <s v="VALID"/>
    <s v="NORMAL"/>
    <s v="Valid"/>
    <n v="218.54"/>
    <n v="218.54"/>
  </r>
  <r>
    <s v="ORD51033"/>
    <d v="2025-06-16T00:00:00"/>
    <s v="CUST1041"/>
    <s v="P010"/>
    <x v="14"/>
    <s v="Electronics"/>
    <x v="2"/>
    <x v="4"/>
    <n v="1"/>
    <n v="2325.4299999999998"/>
    <n v="0.03"/>
    <x v="1030"/>
    <x v="0"/>
    <s v="UPI"/>
    <s v="Completed"/>
    <x v="4"/>
    <s v="Completed"/>
    <s v="Online"/>
    <s v="Upi"/>
    <x v="1"/>
    <s v="VALID"/>
    <s v="NORMAL"/>
    <s v="Valid"/>
    <n v="2325.4299999999998"/>
    <n v="2255.6670999999997"/>
  </r>
  <r>
    <s v="ORD51034"/>
    <d v="2025-07-25T00:00:00"/>
    <s v="CUST1137"/>
    <s v="P006"/>
    <x v="10"/>
    <s v="Furniture"/>
    <x v="1"/>
    <x v="7"/>
    <n v="4"/>
    <n v="7592.34"/>
    <n v="0.15"/>
    <x v="1031"/>
    <x v="2"/>
    <s v="Debit Card"/>
    <s v="Returned"/>
    <x v="3"/>
    <s v="Returned"/>
    <s v="Store"/>
    <s v="Debit Card"/>
    <x v="2"/>
    <s v="VALID"/>
    <s v="NORMAL"/>
    <s v="Valid"/>
    <n v="30369.360000000001"/>
    <n v="25813.956000000002"/>
  </r>
  <r>
    <s v="ORD51035"/>
    <d v="2024-01-20T00:00:00"/>
    <s v="CUST1034"/>
    <s v="P006"/>
    <x v="10"/>
    <s v="Furniture"/>
    <x v="2"/>
    <x v="5"/>
    <n v="3"/>
    <n v="7112.4"/>
    <n v="0"/>
    <x v="1032"/>
    <x v="2"/>
    <s v="Credit Card"/>
    <s v="Completed"/>
    <x v="1"/>
    <s v="Completed"/>
    <s v="Store"/>
    <s v="Credit Card"/>
    <x v="2"/>
    <s v="VALID"/>
    <s v="NORMAL"/>
    <s v="Valid"/>
    <n v="21337.199999999997"/>
    <n v="21337.199999999997"/>
  </r>
  <r>
    <s v="ORD51036"/>
    <d v="2024-09-07T00:00:00"/>
    <s v="CUST1142"/>
    <s v="P003"/>
    <x v="3"/>
    <s v="Electronics"/>
    <x v="1"/>
    <x v="7"/>
    <n v="1"/>
    <n v="1888.18"/>
    <n v="0.1"/>
    <x v="1033"/>
    <x v="1"/>
    <s v="Cash on Delivery"/>
    <s v="Completed"/>
    <x v="6"/>
    <s v="Completed"/>
    <s v="Marketplace"/>
    <s v="Cash On Delivery"/>
    <x v="1"/>
    <s v="VALID"/>
    <s v="NORMAL"/>
    <s v="Valid"/>
    <n v="1888.18"/>
    <n v="1699.3620000000001"/>
  </r>
  <r>
    <s v="ORD51037"/>
    <d v="2025-02-25T00:00:00"/>
    <s v="CUST1004"/>
    <s v="P002"/>
    <x v="9"/>
    <s v="Electronics"/>
    <x v="0"/>
    <x v="0"/>
    <n v="5"/>
    <n v="1218.5899999999999"/>
    <n v="0"/>
    <x v="1034"/>
    <x v="1"/>
    <s v="Credit Card"/>
    <s v="Completed"/>
    <x v="1"/>
    <s v="Completed"/>
    <s v="Marketplace"/>
    <s v="Credit Card"/>
    <x v="1"/>
    <s v="VALID"/>
    <s v="NORMAL"/>
    <s v="Valid"/>
    <n v="6092.95"/>
    <n v="6092.95"/>
  </r>
  <r>
    <s v="ORD51038"/>
    <d v="2025-06-29T00:00:00"/>
    <s v="CUST1250"/>
    <s v="P003"/>
    <x v="3"/>
    <s v="Electronics"/>
    <x v="2"/>
    <x v="5"/>
    <n v="2"/>
    <n v="1658.44"/>
    <n v="0"/>
    <x v="1035"/>
    <x v="2"/>
    <s v="UPI"/>
    <s v="Completed"/>
    <x v="7"/>
    <s v="Completed"/>
    <s v="Store"/>
    <s v="Upi"/>
    <x v="1"/>
    <s v="VALID"/>
    <s v="NORMAL"/>
    <s v="Valid"/>
    <n v="3316.88"/>
    <n v="3316.88"/>
  </r>
  <r>
    <s v="ORD51039"/>
    <d v="2024-03-20T00:00:00"/>
    <s v="CUST1180"/>
    <s v="P008"/>
    <x v="4"/>
    <s v="Stationery"/>
    <x v="1"/>
    <x v="1"/>
    <n v="3"/>
    <n v="202.99"/>
    <n v="0"/>
    <x v="1036"/>
    <x v="0"/>
    <s v="UPI"/>
    <s v="Cancelled"/>
    <x v="7"/>
    <s v="Cancelled"/>
    <s v="Online"/>
    <s v="Upi"/>
    <x v="3"/>
    <s v="VALID"/>
    <s v="NORMAL"/>
    <s v="Valid"/>
    <n v="608.97"/>
    <n v="608.97"/>
  </r>
  <r>
    <s v="ORD51040"/>
    <d v="2026-04-09T00:00:00"/>
    <s v="CUST1077"/>
    <s v="P008"/>
    <x v="4"/>
    <s v="Stationery"/>
    <x v="2"/>
    <x v="4"/>
    <n v="5"/>
    <n v="230.52"/>
    <n v="0"/>
    <x v="1037"/>
    <x v="0"/>
    <s v="Debit Card"/>
    <s v="Returned"/>
    <x v="2"/>
    <s v="Returned"/>
    <s v="Online"/>
    <s v="Debit Card"/>
    <x v="3"/>
    <s v="VALID"/>
    <s v="NORMAL"/>
    <s v="Valid"/>
    <n v="1152.6000000000001"/>
    <n v="1152.6000000000001"/>
  </r>
  <r>
    <s v="ORD51041"/>
    <d v="2026-06-01T00:00:00"/>
    <s v="CUST1237"/>
    <s v="P001"/>
    <x v="13"/>
    <s v="Electronics"/>
    <x v="2"/>
    <x v="12"/>
    <n v="3"/>
    <n v="66850.039999999994"/>
    <n v="0.1"/>
    <x v="1038"/>
    <x v="0"/>
    <s v="Cash on Delivery"/>
    <s v="Completed"/>
    <x v="4"/>
    <s v="Completed"/>
    <s v="Online"/>
    <s v="Cash On Delivery"/>
    <x v="1"/>
    <s v="VALID"/>
    <s v="NORMAL"/>
    <s v="Valid"/>
    <n v="200550.12"/>
    <n v="180495.10800000001"/>
  </r>
  <r>
    <s v="ORD51042"/>
    <d v="2026-01-28T00:00:00"/>
    <s v="CUST1011"/>
    <s v="P006"/>
    <x v="10"/>
    <s v="Furniture"/>
    <x v="2"/>
    <x v="13"/>
    <n v="3"/>
    <n v="7075.48"/>
    <n v="0.15"/>
    <x v="1039"/>
    <x v="0"/>
    <s v="Debit Card"/>
    <s v="Returned"/>
    <x v="3"/>
    <s v="Returned"/>
    <s v="Online"/>
    <s v="Debit Card"/>
    <x v="2"/>
    <s v="VALID"/>
    <s v="NORMAL"/>
    <s v="Valid"/>
    <n v="21226.44"/>
    <n v="18042.473999999998"/>
  </r>
  <r>
    <s v="ORD51043"/>
    <d v="2026-04-11T00:00:00"/>
    <s v="CUST1101"/>
    <s v="P015"/>
    <x v="8"/>
    <s v="Accessories"/>
    <x v="3"/>
    <x v="11"/>
    <n v="3"/>
    <n v="688.23"/>
    <n v="0.08"/>
    <x v="1040"/>
    <x v="2"/>
    <s v="Credit Card"/>
    <s v="Completed"/>
    <x v="7"/>
    <s v="Completed"/>
    <s v="Store"/>
    <s v="Credit Card"/>
    <x v="0"/>
    <s v="VALID"/>
    <s v="NORMAL"/>
    <s v="Valid"/>
    <n v="2064.69"/>
    <n v="1899.5147999999999"/>
  </r>
  <r>
    <s v="ORD51044"/>
    <d v="2025-10-21T00:00:00"/>
    <s v="CUST1077"/>
    <s v="P005"/>
    <x v="12"/>
    <s v="Furniture"/>
    <x v="2"/>
    <x v="5"/>
    <n v="1"/>
    <n v="9677.7999999999993"/>
    <n v="0.05"/>
    <x v="1041"/>
    <x v="2"/>
    <m/>
    <s v="Completed"/>
    <x v="7"/>
    <s v="Completed"/>
    <s v="Store"/>
    <s v=""/>
    <x v="2"/>
    <s v="VALID"/>
    <s v="NORMAL"/>
    <s v="Valid"/>
    <n v="9677.7999999999993"/>
    <n v="9193.91"/>
  </r>
  <r>
    <s v="ORD51045"/>
    <d v="2024-03-27T00:00:00"/>
    <s v="CUST1198"/>
    <s v="P007"/>
    <x v="11"/>
    <s v="Stationery"/>
    <x v="0"/>
    <x v="10"/>
    <n v="4"/>
    <n v="474.93"/>
    <n v="0.1"/>
    <x v="1042"/>
    <x v="2"/>
    <s v="Net Banking"/>
    <s v="Completed"/>
    <x v="4"/>
    <s v="Completed"/>
    <s v="Store"/>
    <s v="Net Banking"/>
    <x v="3"/>
    <s v="VALID"/>
    <s v="NORMAL"/>
    <s v="Valid"/>
    <n v="1899.72"/>
    <n v="1709.748"/>
  </r>
  <r>
    <s v="ORD51046"/>
    <d v="2025-10-13T00:00:00"/>
    <s v="CUST1133"/>
    <s v="P010"/>
    <x v="14"/>
    <s v="Electronics"/>
    <x v="0"/>
    <x v="2"/>
    <n v="1"/>
    <n v="2219.54"/>
    <n v="0.1"/>
    <x v="1043"/>
    <x v="1"/>
    <s v="UPI"/>
    <s v="Completed"/>
    <x v="7"/>
    <s v="Completed"/>
    <s v="Marketplace"/>
    <s v="Upi"/>
    <x v="1"/>
    <s v="VALID"/>
    <s v="NORMAL"/>
    <s v="Valid"/>
    <n v="2219.54"/>
    <n v="1997.586"/>
  </r>
  <r>
    <s v="ORD51047"/>
    <d v="2026-05-18T00:00:00"/>
    <s v="CUST1173"/>
    <s v="P003"/>
    <x v="3"/>
    <s v="Electronics"/>
    <x v="2"/>
    <x v="4"/>
    <n v="3"/>
    <n v="1798"/>
    <n v="0.05"/>
    <x v="1044"/>
    <x v="2"/>
    <s v="UPI"/>
    <s v="Returned"/>
    <x v="1"/>
    <s v="Returned"/>
    <s v="Store"/>
    <s v="Upi"/>
    <x v="1"/>
    <s v="VALID"/>
    <s v="NORMAL"/>
    <s v="Valid"/>
    <n v="5394"/>
    <n v="5124.3"/>
  </r>
  <r>
    <s v="ORD51048"/>
    <d v="2025-12-05T00:00:00"/>
    <s v="CUST1223"/>
    <s v="P012"/>
    <x v="0"/>
    <s v="Accessories"/>
    <x v="0"/>
    <x v="2"/>
    <n v="1"/>
    <n v="839.71"/>
    <n v="0.2"/>
    <x v="1045"/>
    <x v="1"/>
    <s v="UPI"/>
    <s v="Completed"/>
    <x v="1"/>
    <s v="Completed"/>
    <s v="Marketplace"/>
    <s v="Upi"/>
    <x v="0"/>
    <s v="VALID"/>
    <s v="NORMAL"/>
    <s v="Valid"/>
    <n v="839.71"/>
    <n v="671.76800000000003"/>
  </r>
  <r>
    <s v="ORD51049"/>
    <d v="2024-03-12T00:00:00"/>
    <s v="CUST1131"/>
    <s v="P006"/>
    <x v="10"/>
    <s v="Furniture"/>
    <x v="3"/>
    <x v="15"/>
    <n v="1"/>
    <n v="6845.48"/>
    <n v="0.15"/>
    <x v="1046"/>
    <x v="2"/>
    <s v="Debit Card"/>
    <s v="Completed"/>
    <x v="4"/>
    <s v="Completed"/>
    <s v="Store"/>
    <s v="Debit Card"/>
    <x v="2"/>
    <s v="VALID"/>
    <s v="NORMAL"/>
    <s v="Valid"/>
    <n v="6845.48"/>
    <n v="5818.6579999999994"/>
  </r>
  <r>
    <s v="ORD51050"/>
    <d v="2024-04-22T00:00:00"/>
    <s v="CUST1084"/>
    <s v="P001"/>
    <x v="13"/>
    <s v="Electronics"/>
    <x v="1"/>
    <x v="1"/>
    <n v="2"/>
    <n v="69539.09"/>
    <n v="0.1"/>
    <x v="1047"/>
    <x v="2"/>
    <s v="UPI"/>
    <s v="Cancelled"/>
    <x v="8"/>
    <s v="Cancelled"/>
    <s v="Store"/>
    <s v="Upi"/>
    <x v="1"/>
    <s v="VALID"/>
    <s v="NORMAL"/>
    <s v="Valid"/>
    <n v="139078.18"/>
    <n v="125170.36199999999"/>
  </r>
  <r>
    <s v="ORD51051"/>
    <d v="2024-12-04T00:00:00"/>
    <s v="CUST1224"/>
    <s v="P009"/>
    <x v="7"/>
    <s v="Accessories"/>
    <x v="0"/>
    <x v="0"/>
    <n v="1"/>
    <n v="1834.55"/>
    <n v="0.1"/>
    <x v="1048"/>
    <x v="1"/>
    <s v="Net Banking"/>
    <s v="Completed"/>
    <x v="7"/>
    <s v="Completed"/>
    <s v="Marketplace"/>
    <s v="Net Banking"/>
    <x v="0"/>
    <s v="VALID"/>
    <s v="NORMAL"/>
    <s v="Valid"/>
    <n v="1834.55"/>
    <n v="1651.095"/>
  </r>
  <r>
    <s v="ORD51052"/>
    <d v="2025-07-17T00:00:00"/>
    <s v="CUST1238"/>
    <s v="P002"/>
    <x v="9"/>
    <s v="Electronics"/>
    <x v="2"/>
    <x v="5"/>
    <n v="4"/>
    <n v="1180.94"/>
    <n v="0.2"/>
    <x v="1049"/>
    <x v="0"/>
    <s v="UPI"/>
    <s v="Completed"/>
    <x v="0"/>
    <s v="Completed"/>
    <s v="Online"/>
    <s v="Upi"/>
    <x v="1"/>
    <s v="VALID"/>
    <s v="NORMAL"/>
    <s v="Valid"/>
    <n v="4723.76"/>
    <n v="3779.0080000000003"/>
  </r>
  <r>
    <s v="ORD51053"/>
    <d v="2024-11-13T00:00:00"/>
    <s v="CUST1183"/>
    <s v="P015"/>
    <x v="8"/>
    <s v="Accessories"/>
    <x v="1"/>
    <x v="6"/>
    <n v="5"/>
    <n v="754.95"/>
    <n v="0.15"/>
    <x v="1050"/>
    <x v="1"/>
    <s v="UPI"/>
    <s v="Completed"/>
    <x v="1"/>
    <s v="Completed"/>
    <s v="Marketplace"/>
    <s v="Upi"/>
    <x v="0"/>
    <s v="VALID"/>
    <s v="NORMAL"/>
    <s v="Valid"/>
    <n v="3774.75"/>
    <n v="3208.5374999999999"/>
  </r>
  <r>
    <s v="ORD51054"/>
    <d v="2025-07-02T00:00:00"/>
    <s v="CUST1152"/>
    <s v="P012"/>
    <x v="0"/>
    <s v="Accessories"/>
    <x v="3"/>
    <x v="11"/>
    <n v="4"/>
    <n v="838.79"/>
    <n v="0.03"/>
    <x v="1051"/>
    <x v="2"/>
    <s v="Cash on Delivery"/>
    <s v="Completed"/>
    <x v="5"/>
    <s v="Completed"/>
    <s v="Store"/>
    <s v="Cash On Delivery"/>
    <x v="0"/>
    <s v="VALID"/>
    <s v="NORMAL"/>
    <s v="Valid"/>
    <n v="3355.16"/>
    <n v="3254.5052000000001"/>
  </r>
  <r>
    <s v="ORD51055"/>
    <d v="2026-01-30T00:00:00"/>
    <s v="CUST1107"/>
    <s v="P006"/>
    <x v="10"/>
    <s v="Furniture"/>
    <x v="0"/>
    <x v="0"/>
    <n v="4"/>
    <n v="6784.71"/>
    <n v="0.08"/>
    <x v="1052"/>
    <x v="2"/>
    <s v="Net Banking"/>
    <s v="Completed"/>
    <x v="2"/>
    <s v="Completed"/>
    <s v="Store"/>
    <s v="Net Banking"/>
    <x v="2"/>
    <s v="VALID"/>
    <s v="NORMAL"/>
    <s v="Valid"/>
    <n v="27138.84"/>
    <n v="24967.732800000002"/>
  </r>
  <r>
    <s v="ORD51056"/>
    <d v="2024-10-26T00:00:00"/>
    <s v="CUST1217"/>
    <s v="P009"/>
    <x v="7"/>
    <s v="Accessories"/>
    <x v="3"/>
    <x v="15"/>
    <n v="2"/>
    <n v="1718.62"/>
    <n v="0"/>
    <x v="1053"/>
    <x v="2"/>
    <s v="UPI"/>
    <s v="Completed"/>
    <x v="1"/>
    <s v="Completed"/>
    <s v="Store"/>
    <s v="Upi"/>
    <x v="0"/>
    <s v="VALID"/>
    <s v="NORMAL"/>
    <s v="Valid"/>
    <n v="3437.24"/>
    <n v="3437.24"/>
  </r>
  <r>
    <s v="ORD51057"/>
    <d v="2025-02-26T00:00:00"/>
    <s v="CUST1135"/>
    <s v="P008"/>
    <x v="4"/>
    <s v="Stationery"/>
    <x v="2"/>
    <x v="13"/>
    <n v="2"/>
    <n v="203.93"/>
    <n v="0.03"/>
    <x v="1054"/>
    <x v="2"/>
    <s v="Net Banking"/>
    <s v="Completed"/>
    <x v="7"/>
    <s v="Completed"/>
    <s v="Store"/>
    <s v="Net Banking"/>
    <x v="3"/>
    <s v="VALID"/>
    <s v="NORMAL"/>
    <s v="Valid"/>
    <n v="407.86"/>
    <n v="395.62420000000003"/>
  </r>
  <r>
    <s v="ORD51058"/>
    <d v="2025-09-13T00:00:00"/>
    <s v="CUST1037"/>
    <s v="P006"/>
    <x v="10"/>
    <s v="Furniture"/>
    <x v="0"/>
    <x v="0"/>
    <n v="2"/>
    <n v="7027.36"/>
    <n v="0.08"/>
    <x v="1055"/>
    <x v="2"/>
    <s v="Debit Card"/>
    <s v="Returned"/>
    <x v="4"/>
    <s v="Returned"/>
    <s v="Store"/>
    <s v="Debit Card"/>
    <x v="2"/>
    <s v="VALID"/>
    <s v="NORMAL"/>
    <s v="Valid"/>
    <n v="14054.72"/>
    <n v="12930.3424"/>
  </r>
  <r>
    <s v="ORD51059"/>
    <d v="2026-03-30T00:00:00"/>
    <s v="CUST1029"/>
    <s v="P005"/>
    <x v="12"/>
    <s v="Furniture"/>
    <x v="0"/>
    <x v="2"/>
    <n v="4"/>
    <n v="8835.59"/>
    <n v="0.2"/>
    <x v="1056"/>
    <x v="2"/>
    <s v="Debit Card"/>
    <s v="Completed"/>
    <x v="4"/>
    <s v="Completed"/>
    <s v="Store"/>
    <s v="Debit Card"/>
    <x v="2"/>
    <s v="VALID"/>
    <s v="NORMAL"/>
    <s v="Valid"/>
    <n v="35342.36"/>
    <n v="28273.887999999999"/>
  </r>
  <r>
    <s v="ORD51060"/>
    <d v="2026-01-01T00:00:00"/>
    <s v="CUST1183"/>
    <s v="P011"/>
    <x v="1"/>
    <s v="Electronics"/>
    <x v="1"/>
    <x v="1"/>
    <n v="4"/>
    <n v="3161.9"/>
    <n v="0.2"/>
    <x v="1057"/>
    <x v="1"/>
    <s v="Net Banking"/>
    <s v="Completed"/>
    <x v="0"/>
    <s v="Completed"/>
    <s v="Marketplace"/>
    <s v="Net Banking"/>
    <x v="1"/>
    <s v="VALID"/>
    <s v="NORMAL"/>
    <s v="Valid"/>
    <n v="12647.6"/>
    <n v="10118.08"/>
  </r>
  <r>
    <s v="ORD51061"/>
    <d v="2024-09-09T00:00:00"/>
    <s v="CUST1017"/>
    <s v="P010"/>
    <x v="14"/>
    <s v="Electronics"/>
    <x v="2"/>
    <x v="5"/>
    <n v="2"/>
    <n v="2097.92"/>
    <n v="0.2"/>
    <x v="1058"/>
    <x v="0"/>
    <s v="UPI"/>
    <s v="Completed"/>
    <x v="6"/>
    <s v="Completed"/>
    <s v="Online"/>
    <s v="Upi"/>
    <x v="1"/>
    <s v="VALID"/>
    <s v="NORMAL"/>
    <s v="Valid"/>
    <n v="4195.84"/>
    <n v="3356.672"/>
  </r>
  <r>
    <s v="ORD51062"/>
    <d v="2026-04-24T00:00:00"/>
    <s v="CUST1107"/>
    <s v="P009"/>
    <x v="7"/>
    <s v="Accessories"/>
    <x v="3"/>
    <x v="9"/>
    <n v="5"/>
    <n v="1928.87"/>
    <n v="0.1"/>
    <x v="1059"/>
    <x v="1"/>
    <s v="Debit Card"/>
    <s v="Cancelled"/>
    <x v="0"/>
    <s v="Cancelled"/>
    <s v="Marketplace"/>
    <s v="Debit Card"/>
    <x v="0"/>
    <s v="VALID"/>
    <s v="NORMAL"/>
    <s v="Valid"/>
    <n v="9644.3499999999985"/>
    <n v="8679.9149999999991"/>
  </r>
  <r>
    <s v="ORD51063"/>
    <d v="2026-02-04T00:00:00"/>
    <s v="CUST1213"/>
    <s v="P005"/>
    <x v="12"/>
    <s v="Furniture"/>
    <x v="3"/>
    <x v="15"/>
    <n v="3"/>
    <n v="9872.94"/>
    <n v="0.1"/>
    <x v="1060"/>
    <x v="1"/>
    <s v="Cash on Delivery"/>
    <s v="Returned"/>
    <x v="0"/>
    <s v="Returned"/>
    <s v="Marketplace"/>
    <s v="Cash On Delivery"/>
    <x v="2"/>
    <s v="VALID"/>
    <s v="NORMAL"/>
    <s v="Valid"/>
    <n v="29618.82"/>
    <n v="26656.937999999998"/>
  </r>
  <r>
    <s v="ORD51064"/>
    <d v="2024-12-03T00:00:00"/>
    <s v="CUST1110"/>
    <s v="P007"/>
    <x v="11"/>
    <s v="Stationery"/>
    <x v="0"/>
    <x v="14"/>
    <n v="2"/>
    <n v="462"/>
    <m/>
    <x v="1061"/>
    <x v="0"/>
    <s v="Net Banking"/>
    <s v="Cancelled"/>
    <x v="5"/>
    <s v="Cancelled"/>
    <s v="Online"/>
    <s v="Net Banking"/>
    <x v="3"/>
    <s v="VALID"/>
    <s v="NORMAL"/>
    <s v="Valid"/>
    <n v="924"/>
    <n v="924"/>
  </r>
  <r>
    <s v="ORD51065"/>
    <d v="2026-04-21T00:00:00"/>
    <s v="CUST1073"/>
    <s v="P006"/>
    <x v="10"/>
    <s v="Furniture"/>
    <x v="3"/>
    <x v="8"/>
    <n v="4"/>
    <n v="7308.94"/>
    <n v="0"/>
    <x v="1062"/>
    <x v="1"/>
    <s v="UPI"/>
    <s v="Cancelled"/>
    <x v="7"/>
    <s v="Cancelled"/>
    <s v="Marketplace"/>
    <s v="Upi"/>
    <x v="2"/>
    <s v="VALID"/>
    <s v="NORMAL"/>
    <s v="Valid"/>
    <n v="29235.759999999998"/>
    <n v="29235.759999999998"/>
  </r>
  <r>
    <s v="ORD51066"/>
    <d v="2025-01-18T00:00:00"/>
    <s v="CUST1089"/>
    <s v="P007"/>
    <x v="11"/>
    <s v="Stationery"/>
    <x v="0"/>
    <x v="10"/>
    <n v="3"/>
    <n v="426.17"/>
    <n v="0.05"/>
    <x v="1063"/>
    <x v="2"/>
    <s v="Cash on Delivery"/>
    <s v="Completed"/>
    <x v="1"/>
    <s v="Completed"/>
    <s v="Store"/>
    <s v="Cash On Delivery"/>
    <x v="3"/>
    <s v="VALID"/>
    <s v="NORMAL"/>
    <s v="Valid"/>
    <n v="1278.51"/>
    <n v="1214.5844999999999"/>
  </r>
  <r>
    <s v="ORD51067"/>
    <d v="2024-02-14T00:00:00"/>
    <s v="CUST1188"/>
    <s v="P015"/>
    <x v="8"/>
    <s v="Accessories"/>
    <x v="0"/>
    <x v="10"/>
    <n v="2"/>
    <n v="708.28"/>
    <n v="0.05"/>
    <x v="1064"/>
    <x v="1"/>
    <s v="Net Banking"/>
    <s v="Completed"/>
    <x v="4"/>
    <s v="Completed"/>
    <s v="Marketplace"/>
    <s v="Net Banking"/>
    <x v="0"/>
    <s v="VALID"/>
    <s v="NORMAL"/>
    <s v="Valid"/>
    <n v="1416.56"/>
    <n v="1345.732"/>
  </r>
  <r>
    <s v="ORD51068"/>
    <d v="2025-10-06T00:00:00"/>
    <s v="CUST1228"/>
    <s v="P001"/>
    <x v="13"/>
    <s v="Electronics"/>
    <x v="1"/>
    <x v="1"/>
    <n v="5"/>
    <n v="60505.63"/>
    <n v="0.08"/>
    <x v="1065"/>
    <x v="0"/>
    <s v="Net Banking"/>
    <s v="Returned"/>
    <x v="3"/>
    <s v="Returned"/>
    <s v="Online"/>
    <s v="Net Banking"/>
    <x v="1"/>
    <s v="VALID"/>
    <s v="NORMAL"/>
    <s v="Valid"/>
    <n v="302528.14999999997"/>
    <n v="278325.89799999999"/>
  </r>
  <r>
    <s v="ORD51069"/>
    <d v="2025-04-07T00:00:00"/>
    <s v="CUST1100"/>
    <s v="P009"/>
    <x v="7"/>
    <s v="Accessories"/>
    <x v="2"/>
    <x v="4"/>
    <n v="3"/>
    <n v="1878.88"/>
    <n v="0.2"/>
    <x v="1066"/>
    <x v="1"/>
    <s v="Cash on Delivery"/>
    <s v="Cancelled"/>
    <x v="5"/>
    <s v="Cancelled"/>
    <s v="Marketplace"/>
    <s v="Cash On Delivery"/>
    <x v="0"/>
    <s v="VALID"/>
    <s v="NORMAL"/>
    <s v="Valid"/>
    <n v="5636.64"/>
    <n v="4509.3119999999999"/>
  </r>
  <r>
    <s v="ORD51070"/>
    <d v="2025-10-14T00:00:00"/>
    <s v="CUST1099"/>
    <s v="P013"/>
    <x v="2"/>
    <s v="Furniture"/>
    <x v="1"/>
    <x v="6"/>
    <n v="5"/>
    <n v="1719.57"/>
    <n v="0.1"/>
    <x v="1067"/>
    <x v="1"/>
    <s v="Net Banking"/>
    <s v="Completed"/>
    <x v="0"/>
    <s v="Completed"/>
    <s v="Marketplace"/>
    <s v="Net Banking"/>
    <x v="2"/>
    <s v="VALID"/>
    <s v="NORMAL"/>
    <s v="Valid"/>
    <n v="8597.85"/>
    <n v="7738.0650000000005"/>
  </r>
  <r>
    <s v="ORD51071"/>
    <d v="2024-01-30T00:00:00"/>
    <s v="CUST1144"/>
    <s v="P008"/>
    <x v="4"/>
    <s v="Stationery"/>
    <x v="2"/>
    <x v="5"/>
    <n v="2"/>
    <n v="215.24"/>
    <n v="0.2"/>
    <x v="1068"/>
    <x v="1"/>
    <s v="Credit Card"/>
    <s v="Completed"/>
    <x v="1"/>
    <s v="Completed"/>
    <s v="Marketplace"/>
    <s v="Credit Card"/>
    <x v="3"/>
    <s v="VALID"/>
    <s v="NORMAL"/>
    <s v="Valid"/>
    <n v="430.48"/>
    <n v="344.38400000000001"/>
  </r>
  <r>
    <s v="ORD51072"/>
    <d v="2024-06-09T00:00:00"/>
    <s v="CUST1243"/>
    <s v="P012"/>
    <x v="0"/>
    <s v="Accessories"/>
    <x v="0"/>
    <x v="14"/>
    <n v="3"/>
    <n v="795.04"/>
    <n v="0.05"/>
    <x v="1069"/>
    <x v="0"/>
    <s v="Debit Card"/>
    <s v="Returned"/>
    <x v="2"/>
    <s v="Returned"/>
    <s v="Online"/>
    <s v="Debit Card"/>
    <x v="0"/>
    <s v="VALID"/>
    <s v="NORMAL"/>
    <s v="Valid"/>
    <n v="2385.12"/>
    <n v="2265.864"/>
  </r>
  <r>
    <s v="ORD51073"/>
    <d v="2025-04-22T00:00:00"/>
    <s v="CUST1202"/>
    <s v="P009"/>
    <x v="7"/>
    <s v="Accessories"/>
    <x v="1"/>
    <x v="7"/>
    <n v="3"/>
    <n v="1760.13"/>
    <n v="0.15"/>
    <x v="1070"/>
    <x v="0"/>
    <s v="Cash on Delivery"/>
    <s v="Returned"/>
    <x v="1"/>
    <s v="Returned"/>
    <s v="Online"/>
    <s v="Cash On Delivery"/>
    <x v="0"/>
    <s v="VALID"/>
    <s v="NORMAL"/>
    <s v="Valid"/>
    <n v="5280.39"/>
    <n v="4488.3315000000002"/>
  </r>
  <r>
    <s v="ORD51074"/>
    <d v="2025-05-26T00:00:00"/>
    <s v="CUST1197"/>
    <s v="P013"/>
    <x v="2"/>
    <s v="Furniture"/>
    <x v="3"/>
    <x v="15"/>
    <n v="4"/>
    <n v="1522.37"/>
    <n v="0.15"/>
    <x v="1071"/>
    <x v="0"/>
    <s v="Net Banking"/>
    <s v="Completed"/>
    <x v="5"/>
    <s v="Completed"/>
    <s v="Online"/>
    <s v="Net Banking"/>
    <x v="2"/>
    <s v="VALID"/>
    <s v="NORMAL"/>
    <s v="Valid"/>
    <n v="6089.48"/>
    <n v="5176.058"/>
  </r>
  <r>
    <s v="ORD51075"/>
    <d v="2024-02-09T00:00:00"/>
    <s v="CUST1200"/>
    <s v="P015"/>
    <x v="8"/>
    <s v="Accessories"/>
    <x v="0"/>
    <x v="2"/>
    <n v="2"/>
    <n v="679.49"/>
    <n v="0.05"/>
    <x v="1072"/>
    <x v="2"/>
    <s v="UPI"/>
    <s v="Completed"/>
    <x v="6"/>
    <s v="Completed"/>
    <s v="Store"/>
    <s v="Upi"/>
    <x v="0"/>
    <s v="VALID"/>
    <s v="NORMAL"/>
    <s v="Valid"/>
    <n v="1358.98"/>
    <n v="1291.0309999999999"/>
  </r>
  <r>
    <s v="ORD51076"/>
    <d v="2024-02-19T00:00:00"/>
    <s v="CUST1019"/>
    <s v="P002"/>
    <x v="9"/>
    <s v="Electronics"/>
    <x v="3"/>
    <x v="9"/>
    <n v="3"/>
    <n v="1128.56"/>
    <n v="0"/>
    <x v="1073"/>
    <x v="1"/>
    <s v="Cash on Delivery"/>
    <s v="Completed"/>
    <x v="7"/>
    <s v="Completed"/>
    <s v="Marketplace"/>
    <s v="Cash On Delivery"/>
    <x v="1"/>
    <s v="VALID"/>
    <s v="NORMAL"/>
    <s v="Valid"/>
    <n v="3385.68"/>
    <n v="3385.68"/>
  </r>
  <r>
    <s v="ORD51077"/>
    <d v="2025-12-06T00:00:00"/>
    <s v="CUST1192"/>
    <s v="P012"/>
    <x v="0"/>
    <s v="Accessories"/>
    <x v="3"/>
    <x v="15"/>
    <n v="5"/>
    <n v="835.23"/>
    <n v="0.2"/>
    <x v="1074"/>
    <x v="1"/>
    <s v="Debit Card"/>
    <s v="Cancelled"/>
    <x v="3"/>
    <s v="Cancelled"/>
    <s v="Marketplace"/>
    <s v="Debit Card"/>
    <x v="0"/>
    <s v="VALID"/>
    <s v="NORMAL"/>
    <s v="Valid"/>
    <n v="4176.1499999999996"/>
    <n v="3340.9199999999996"/>
  </r>
  <r>
    <s v="ORD51078"/>
    <d v="2025-11-08T00:00:00"/>
    <s v="CUST1001"/>
    <s v="P002"/>
    <x v="9"/>
    <s v="Electronics"/>
    <x v="1"/>
    <x v="3"/>
    <n v="3"/>
    <n v="1205.49"/>
    <n v="0.1"/>
    <x v="1075"/>
    <x v="1"/>
    <s v="Debit Card"/>
    <s v="Returned"/>
    <x v="6"/>
    <s v="Returned"/>
    <s v="Marketplace"/>
    <s v="Debit Card"/>
    <x v="1"/>
    <s v="VALID"/>
    <s v="NORMAL"/>
    <s v="Valid"/>
    <n v="3616.4700000000003"/>
    <n v="3254.8230000000003"/>
  </r>
  <r>
    <s v="ORD51079"/>
    <d v="2024-04-18T00:00:00"/>
    <s v="CUST1138"/>
    <s v="P001"/>
    <x v="13"/>
    <s v="Electronics"/>
    <x v="2"/>
    <x v="4"/>
    <n v="1"/>
    <n v="60565.56"/>
    <n v="0.1"/>
    <x v="1076"/>
    <x v="1"/>
    <s v="Debit Card"/>
    <s v="Completed"/>
    <x v="3"/>
    <s v="Completed"/>
    <s v="Marketplace"/>
    <s v="Debit Card"/>
    <x v="1"/>
    <s v="VALID"/>
    <s v="NORMAL"/>
    <s v="Valid"/>
    <n v="60565.56"/>
    <n v="54509.004000000001"/>
  </r>
  <r>
    <s v="ORD51080"/>
    <d v="2025-10-16T00:00:00"/>
    <s v="CUST1137"/>
    <s v="P012"/>
    <x v="0"/>
    <s v="Accessories"/>
    <x v="3"/>
    <x v="11"/>
    <n v="5"/>
    <n v="833.89"/>
    <n v="0.2"/>
    <x v="1077"/>
    <x v="2"/>
    <s v="UPI"/>
    <s v="Completed"/>
    <x v="7"/>
    <s v="Completed"/>
    <s v="Store"/>
    <s v="Upi"/>
    <x v="0"/>
    <s v="VALID"/>
    <s v="NORMAL"/>
    <s v="Valid"/>
    <n v="4169.45"/>
    <n v="3335.56"/>
  </r>
  <r>
    <s v="ORD51081"/>
    <d v="2025-04-10T00:00:00"/>
    <s v="CUST1088"/>
    <s v="P015"/>
    <x v="8"/>
    <s v="Accessories"/>
    <x v="0"/>
    <x v="14"/>
    <n v="5"/>
    <n v="698.06"/>
    <n v="0.15"/>
    <x v="1078"/>
    <x v="0"/>
    <s v="Credit Card"/>
    <s v="Completed"/>
    <x v="1"/>
    <s v="Completed"/>
    <s v="Online"/>
    <s v="Credit Card"/>
    <x v="0"/>
    <s v="VALID"/>
    <s v="NORMAL"/>
    <s v="Valid"/>
    <n v="3490.2999999999997"/>
    <n v="2966.7549999999997"/>
  </r>
  <r>
    <s v="ORD51082"/>
    <d v="2025-06-30T00:00:00"/>
    <s v="CUST1211"/>
    <s v="P002"/>
    <x v="9"/>
    <s v="Electronics"/>
    <x v="2"/>
    <x v="5"/>
    <n v="4"/>
    <n v="1276.74"/>
    <n v="0.1"/>
    <x v="1079"/>
    <x v="2"/>
    <s v="Credit Card"/>
    <s v="Completed"/>
    <x v="2"/>
    <s v="Completed"/>
    <s v="Store"/>
    <s v="Credit Card"/>
    <x v="1"/>
    <s v="VALID"/>
    <s v="NORMAL"/>
    <s v="Valid"/>
    <n v="5106.96"/>
    <n v="4596.2640000000001"/>
  </r>
  <r>
    <s v="ORD51083"/>
    <d v="2025-02-19T00:00:00"/>
    <s v="CUST1163"/>
    <s v="P002"/>
    <x v="9"/>
    <s v="Electronics"/>
    <x v="0"/>
    <x v="2"/>
    <n v="1"/>
    <n v="1123.72"/>
    <n v="0.08"/>
    <x v="1080"/>
    <x v="1"/>
    <s v="Credit Card"/>
    <s v="Returned"/>
    <x v="2"/>
    <s v="Returned"/>
    <s v="Marketplace"/>
    <s v="Credit Card"/>
    <x v="1"/>
    <s v="VALID"/>
    <s v="NORMAL"/>
    <s v="Valid"/>
    <n v="1123.72"/>
    <n v="1033.8224"/>
  </r>
  <r>
    <s v="ORD51084"/>
    <d v="2026-04-25T00:00:00"/>
    <s v="CUST1119"/>
    <s v="P002"/>
    <x v="9"/>
    <s v="Electronics"/>
    <x v="0"/>
    <x v="0"/>
    <n v="1"/>
    <n v="1120.3800000000001"/>
    <n v="0.03"/>
    <x v="1081"/>
    <x v="0"/>
    <s v="Cash on Delivery"/>
    <s v="Returned"/>
    <x v="5"/>
    <s v="Returned"/>
    <s v="Online"/>
    <s v="Cash On Delivery"/>
    <x v="1"/>
    <s v="VALID"/>
    <s v="NORMAL"/>
    <s v="Valid"/>
    <n v="1120.3800000000001"/>
    <n v="1086.7686000000001"/>
  </r>
  <r>
    <s v="ORD51085"/>
    <d v="2024-05-20T00:00:00"/>
    <s v="CUST1133"/>
    <s v="P006"/>
    <x v="10"/>
    <s v="Furniture"/>
    <x v="2"/>
    <x v="4"/>
    <n v="2"/>
    <n v="6960.02"/>
    <n v="0.05"/>
    <x v="1082"/>
    <x v="1"/>
    <s v="Credit Card"/>
    <s v="Completed"/>
    <x v="7"/>
    <s v="Completed"/>
    <s v="Marketplace"/>
    <s v="Credit Card"/>
    <x v="2"/>
    <s v="VALID"/>
    <s v="NORMAL"/>
    <s v="Valid"/>
    <n v="13920.04"/>
    <n v="13224.038"/>
  </r>
  <r>
    <s v="ORD51086"/>
    <d v="2024-12-02T00:00:00"/>
    <s v="CUST1083"/>
    <s v="P015"/>
    <x v="8"/>
    <s v="Accessories"/>
    <x v="2"/>
    <x v="4"/>
    <n v="1"/>
    <n v="686.88"/>
    <n v="0"/>
    <x v="1083"/>
    <x v="1"/>
    <s v="UPI"/>
    <s v="Returned"/>
    <x v="7"/>
    <s v="Returned"/>
    <s v="Marketplace"/>
    <s v="Upi"/>
    <x v="0"/>
    <s v="VALID"/>
    <s v="NORMAL"/>
    <s v="Valid"/>
    <n v="686.88"/>
    <n v="686.88"/>
  </r>
  <r>
    <s v="ORD51087"/>
    <d v="2024-10-06T00:00:00"/>
    <s v="CUST1004"/>
    <s v="P007"/>
    <x v="11"/>
    <s v="Stationery"/>
    <x v="2"/>
    <x v="5"/>
    <n v="1"/>
    <n v="433.68"/>
    <n v="0.2"/>
    <x v="1084"/>
    <x v="0"/>
    <s v="Credit Card"/>
    <s v="Completed"/>
    <x v="2"/>
    <s v="Completed"/>
    <s v="Online"/>
    <s v="Credit Card"/>
    <x v="3"/>
    <s v="VALID"/>
    <s v="NORMAL"/>
    <s v="Valid"/>
    <n v="433.68"/>
    <n v="346.94400000000002"/>
  </r>
  <r>
    <s v="ORD51088"/>
    <d v="2026-01-08T00:00:00"/>
    <s v="CUST1004"/>
    <s v="P014"/>
    <x v="5"/>
    <s v="Electronics"/>
    <x v="0"/>
    <x v="14"/>
    <n v="3"/>
    <n v="2767.3"/>
    <n v="0.2"/>
    <x v="1085"/>
    <x v="0"/>
    <s v="Net Banking"/>
    <s v="Cancelled"/>
    <x v="2"/>
    <s v="Cancelled"/>
    <s v="Online"/>
    <s v="Net Banking"/>
    <x v="1"/>
    <s v="VALID"/>
    <s v="NORMAL"/>
    <s v="Valid"/>
    <n v="8301.9000000000015"/>
    <n v="6641.5200000000013"/>
  </r>
  <r>
    <s v="ORD51089"/>
    <d v="2025-07-12T00:00:00"/>
    <s v="CUST1208"/>
    <s v="P005"/>
    <x v="12"/>
    <s v="Furniture"/>
    <x v="2"/>
    <x v="4"/>
    <n v="3"/>
    <n v="9441.9599999999991"/>
    <n v="0.03"/>
    <x v="1086"/>
    <x v="0"/>
    <s v="Debit Card"/>
    <s v="Returned"/>
    <x v="3"/>
    <s v="Returned"/>
    <s v="Online"/>
    <s v="Debit Card"/>
    <x v="2"/>
    <s v="VALID"/>
    <s v="NORMAL"/>
    <s v="Valid"/>
    <n v="28325.879999999997"/>
    <n v="27476.103599999999"/>
  </r>
  <r>
    <s v="ORD51090"/>
    <d v="2024-04-15T00:00:00"/>
    <s v="CUST1103"/>
    <s v="P005"/>
    <x v="12"/>
    <s v="Furniture"/>
    <x v="1"/>
    <x v="3"/>
    <n v="4"/>
    <n v="10015.120000000001"/>
    <n v="0.15"/>
    <x v="1087"/>
    <x v="1"/>
    <s v="Credit Card"/>
    <s v="Returned"/>
    <x v="0"/>
    <s v="Returned"/>
    <s v="Marketplace"/>
    <s v="Credit Card"/>
    <x v="2"/>
    <s v="VALID"/>
    <s v="NORMAL"/>
    <s v="Valid"/>
    <n v="40060.480000000003"/>
    <n v="34051.408000000003"/>
  </r>
  <r>
    <s v="ORD51091"/>
    <d v="2025-10-28T00:00:00"/>
    <s v="CUST1071"/>
    <s v="P012"/>
    <x v="0"/>
    <s v="Accessories"/>
    <x v="3"/>
    <x v="15"/>
    <n v="4"/>
    <n v="806.63"/>
    <n v="0.03"/>
    <x v="1088"/>
    <x v="0"/>
    <s v="Credit Card"/>
    <s v="Completed"/>
    <x v="0"/>
    <s v="Completed"/>
    <s v="Online"/>
    <s v="Credit Card"/>
    <x v="0"/>
    <s v="VALID"/>
    <s v="NORMAL"/>
    <s v="Valid"/>
    <n v="3226.52"/>
    <n v="3129.7244000000001"/>
  </r>
  <r>
    <s v="ORD51092"/>
    <d v="2025-06-07T00:00:00"/>
    <s v="CUST1010"/>
    <s v="P009"/>
    <x v="7"/>
    <s v="Accessories"/>
    <x v="1"/>
    <x v="1"/>
    <n v="3"/>
    <n v="1850.73"/>
    <n v="0.15"/>
    <x v="1089"/>
    <x v="2"/>
    <s v="Debit Card"/>
    <s v="Completed"/>
    <x v="1"/>
    <s v="Completed"/>
    <s v="Store"/>
    <s v="Debit Card"/>
    <x v="0"/>
    <s v="VALID"/>
    <s v="NORMAL"/>
    <s v="Valid"/>
    <n v="5552.1900000000005"/>
    <n v="4719.3615000000009"/>
  </r>
  <r>
    <s v="ORD51093"/>
    <d v="2024-03-12T00:00:00"/>
    <s v="CUST1089"/>
    <s v="P004"/>
    <x v="6"/>
    <s v="Electronics"/>
    <x v="1"/>
    <x v="3"/>
    <n v="1"/>
    <n v="12012.23"/>
    <n v="0.15"/>
    <x v="1090"/>
    <x v="2"/>
    <s v="Cash on Delivery"/>
    <s v="Completed"/>
    <x v="6"/>
    <s v="Completed"/>
    <s v="Store"/>
    <s v="Cash On Delivery"/>
    <x v="1"/>
    <s v="VALID"/>
    <s v="NORMAL"/>
    <s v="Valid"/>
    <n v="12012.23"/>
    <n v="10210.395499999999"/>
  </r>
  <r>
    <s v="ORD51094"/>
    <d v="2024-09-03T00:00:00"/>
    <s v="CUST1042"/>
    <s v="P006"/>
    <x v="10"/>
    <s v="Furniture"/>
    <x v="3"/>
    <x v="9"/>
    <n v="5"/>
    <n v="7278.55"/>
    <n v="0.1"/>
    <x v="1091"/>
    <x v="2"/>
    <s v="UPI"/>
    <s v="Returned"/>
    <x v="5"/>
    <s v="Returned"/>
    <s v="Store"/>
    <s v="Upi"/>
    <x v="2"/>
    <s v="VALID"/>
    <s v="NORMAL"/>
    <s v="Valid"/>
    <n v="36392.75"/>
    <n v="32753.474999999999"/>
  </r>
  <r>
    <s v="ORD51095"/>
    <d v="2025-05-28T00:00:00"/>
    <s v="CUST1139"/>
    <s v="P009"/>
    <x v="7"/>
    <s v="Accessories"/>
    <x v="0"/>
    <x v="14"/>
    <n v="4"/>
    <n v="1888.28"/>
    <n v="0"/>
    <x v="1092"/>
    <x v="1"/>
    <s v="Debit Card"/>
    <s v="Completed"/>
    <x v="3"/>
    <s v="Completed"/>
    <s v="Marketplace"/>
    <s v="Debit Card"/>
    <x v="0"/>
    <s v="VALID"/>
    <s v="NORMAL"/>
    <s v="Valid"/>
    <n v="7553.12"/>
    <n v="7553.12"/>
  </r>
  <r>
    <s v="ORD51096"/>
    <d v="2025-09-21T00:00:00"/>
    <s v="CUST1168"/>
    <s v="P014"/>
    <x v="5"/>
    <s v="Electronics"/>
    <x v="3"/>
    <x v="11"/>
    <n v="2"/>
    <n v="2754.82"/>
    <n v="0.1"/>
    <x v="1093"/>
    <x v="0"/>
    <s v="Cash on Delivery"/>
    <s v="Completed"/>
    <x v="6"/>
    <s v="Completed"/>
    <s v="Online"/>
    <s v="Cash On Delivery"/>
    <x v="1"/>
    <s v="VALID"/>
    <s v="NORMAL"/>
    <s v="Valid"/>
    <n v="5509.64"/>
    <n v="4958.6760000000004"/>
  </r>
  <r>
    <s v="ORD51097"/>
    <d v="2024-07-17T00:00:00"/>
    <s v="CUST1083"/>
    <s v="P005"/>
    <x v="12"/>
    <s v="Furniture"/>
    <x v="1"/>
    <x v="3"/>
    <n v="5"/>
    <n v="9437.44"/>
    <n v="0.2"/>
    <x v="1094"/>
    <x v="1"/>
    <s v="Debit Card"/>
    <s v="Completed"/>
    <x v="5"/>
    <s v="Completed"/>
    <s v="Marketplace"/>
    <s v="Debit Card"/>
    <x v="2"/>
    <s v="VALID"/>
    <s v="NORMAL"/>
    <s v="Valid"/>
    <n v="47187.200000000004"/>
    <n v="37749.760000000002"/>
  </r>
  <r>
    <s v="ORD51098"/>
    <d v="2025-02-14T00:00:00"/>
    <s v="CUST1007"/>
    <s v="P007"/>
    <x v="11"/>
    <s v="Stationery"/>
    <x v="0"/>
    <x v="10"/>
    <n v="5"/>
    <n v="444.41"/>
    <n v="0"/>
    <x v="1095"/>
    <x v="2"/>
    <s v="Net Banking"/>
    <s v="Completed"/>
    <x v="2"/>
    <s v="Completed"/>
    <s v="Store"/>
    <s v="Net Banking"/>
    <x v="3"/>
    <s v="VALID"/>
    <s v="NORMAL"/>
    <s v="Valid"/>
    <n v="2222.0500000000002"/>
    <n v="2222.0500000000002"/>
  </r>
  <r>
    <s v="ORD51099"/>
    <d v="2025-03-21T00:00:00"/>
    <s v="CUST1041"/>
    <s v="P004"/>
    <x v="6"/>
    <s v="Electronics"/>
    <x v="2"/>
    <x v="13"/>
    <n v="4"/>
    <n v="12344.04"/>
    <n v="0.15"/>
    <x v="1096"/>
    <x v="1"/>
    <s v="Credit Card"/>
    <s v="Cancelled"/>
    <x v="3"/>
    <s v="Cancelled"/>
    <s v="Marketplace"/>
    <s v="Credit Card"/>
    <x v="1"/>
    <s v="VALID"/>
    <s v="NORMAL"/>
    <s v="Valid"/>
    <n v="49376.160000000003"/>
    <n v="41969.736000000004"/>
  </r>
  <r>
    <s v="ORD51100"/>
    <d v="2024-03-27T00:00:00"/>
    <s v="CUST1091"/>
    <s v="P012"/>
    <x v="0"/>
    <s v="Accessories"/>
    <x v="1"/>
    <x v="3"/>
    <n v="3"/>
    <n v="828.14"/>
    <n v="0.15"/>
    <x v="1097"/>
    <x v="2"/>
    <s v="Net Banking"/>
    <s v="Completed"/>
    <x v="7"/>
    <s v="Completed"/>
    <s v="Store"/>
    <s v="Net Banking"/>
    <x v="0"/>
    <s v="VALID"/>
    <s v="NORMAL"/>
    <s v="Valid"/>
    <n v="2484.42"/>
    <n v="2111.7570000000001"/>
  </r>
  <r>
    <s v="ORD51101"/>
    <d v="2024-07-10T00:00:00"/>
    <s v="CUST1260"/>
    <s v="P009"/>
    <x v="7"/>
    <s v="Accessories"/>
    <x v="3"/>
    <x v="15"/>
    <n v="4"/>
    <n v="1822.62"/>
    <n v="0"/>
    <x v="1098"/>
    <x v="1"/>
    <s v="UPI"/>
    <s v="Cancelled"/>
    <x v="3"/>
    <s v="Cancelled"/>
    <s v="Marketplace"/>
    <s v="Upi"/>
    <x v="0"/>
    <s v="VALID"/>
    <s v="NORMAL"/>
    <s v="Valid"/>
    <n v="7290.48"/>
    <n v="7290.48"/>
  </r>
  <r>
    <s v="ORD51102"/>
    <d v="2026-02-19T00:00:00"/>
    <s v="CUST1258"/>
    <s v="P013"/>
    <x v="2"/>
    <s v="Furniture"/>
    <x v="1"/>
    <x v="7"/>
    <n v="3"/>
    <n v="1514.36"/>
    <n v="0.03"/>
    <x v="1099"/>
    <x v="2"/>
    <s v="Debit Card"/>
    <s v="Completed"/>
    <x v="7"/>
    <s v="Completed"/>
    <s v="Store"/>
    <s v="Debit Card"/>
    <x v="2"/>
    <s v="VALID"/>
    <s v="NORMAL"/>
    <s v="Valid"/>
    <n v="4543.08"/>
    <n v="4406.7875999999997"/>
  </r>
  <r>
    <s v="ORD51103"/>
    <d v="2025-01-23T00:00:00"/>
    <s v="CUST1109"/>
    <s v="P012"/>
    <x v="0"/>
    <s v="Accessories"/>
    <x v="3"/>
    <x v="8"/>
    <n v="5"/>
    <n v="879.64"/>
    <n v="0"/>
    <x v="1100"/>
    <x v="0"/>
    <s v="Debit Card"/>
    <s v="Completed"/>
    <x v="3"/>
    <s v="Completed"/>
    <s v="Online"/>
    <s v="Debit Card"/>
    <x v="0"/>
    <s v="VALID"/>
    <s v="NORMAL"/>
    <s v="Valid"/>
    <n v="4398.2"/>
    <n v="4398.2"/>
  </r>
  <r>
    <s v="ORD51104"/>
    <d v="2024-01-20T00:00:00"/>
    <s v="CUST1049"/>
    <s v="P003"/>
    <x v="3"/>
    <s v="Electronics"/>
    <x v="0"/>
    <x v="14"/>
    <n v="2"/>
    <n v="1867.81"/>
    <n v="0.08"/>
    <x v="1101"/>
    <x v="1"/>
    <s v="Credit Card"/>
    <s v="Completed"/>
    <x v="4"/>
    <s v="Completed"/>
    <s v="Marketplace"/>
    <s v="Credit Card"/>
    <x v="1"/>
    <s v="VALID"/>
    <s v="NORMAL"/>
    <s v="Valid"/>
    <n v="3735.62"/>
    <n v="3436.7703999999999"/>
  </r>
  <r>
    <s v="ORD51105"/>
    <d v="2024-11-24T00:00:00"/>
    <s v="CUST1240"/>
    <s v="P002"/>
    <x v="9"/>
    <s v="Electronics"/>
    <x v="1"/>
    <x v="1"/>
    <n v="5"/>
    <n v="1166.42"/>
    <n v="0.2"/>
    <x v="1102"/>
    <x v="0"/>
    <s v="Cash on Delivery"/>
    <s v="Completed"/>
    <x v="3"/>
    <s v="Completed"/>
    <s v="Online"/>
    <s v="Cash On Delivery"/>
    <x v="1"/>
    <s v="VALID"/>
    <s v="NORMAL"/>
    <s v="Valid"/>
    <n v="5832.1"/>
    <n v="4665.68"/>
  </r>
  <r>
    <s v="ORD51106"/>
    <d v="2025-09-21T00:00:00"/>
    <s v="CUST1259"/>
    <s v="P006"/>
    <x v="10"/>
    <s v="Furniture"/>
    <x v="2"/>
    <x v="13"/>
    <n v="2"/>
    <n v="7088.02"/>
    <n v="0"/>
    <x v="1103"/>
    <x v="2"/>
    <s v="Credit Card"/>
    <s v="Completed"/>
    <x v="2"/>
    <s v="Completed"/>
    <s v="Store"/>
    <s v="Credit Card"/>
    <x v="2"/>
    <s v="VALID"/>
    <s v="NORMAL"/>
    <s v="Valid"/>
    <n v="14176.04"/>
    <n v="14176.04"/>
  </r>
  <r>
    <s v="ORD51107"/>
    <d v="2025-05-28T00:00:00"/>
    <s v="CUST1071"/>
    <s v="P010"/>
    <x v="14"/>
    <s v="Electronics"/>
    <x v="2"/>
    <x v="5"/>
    <n v="3"/>
    <n v="2218.96"/>
    <n v="0.08"/>
    <x v="1104"/>
    <x v="2"/>
    <s v="Credit Card"/>
    <s v="Cancelled"/>
    <x v="1"/>
    <s v="Cancelled"/>
    <s v="Store"/>
    <s v="Credit Card"/>
    <x v="1"/>
    <s v="VALID"/>
    <s v="NORMAL"/>
    <s v="Valid"/>
    <n v="6656.88"/>
    <n v="6124.3296"/>
  </r>
  <r>
    <s v="ORD51108"/>
    <d v="2026-05-21T00:00:00"/>
    <s v="CUST1204"/>
    <s v="P010"/>
    <x v="14"/>
    <s v="Electronics"/>
    <x v="3"/>
    <x v="8"/>
    <n v="3"/>
    <n v="2272.09"/>
    <n v="0.2"/>
    <x v="1105"/>
    <x v="0"/>
    <s v="Credit Card"/>
    <s v="Completed"/>
    <x v="1"/>
    <s v="Completed"/>
    <s v="Online"/>
    <s v="Credit Card"/>
    <x v="1"/>
    <s v="VALID"/>
    <s v="NORMAL"/>
    <s v="Valid"/>
    <n v="6816.27"/>
    <n v="5453.0160000000005"/>
  </r>
  <r>
    <s v="ORD51109"/>
    <d v="2026-03-12T00:00:00"/>
    <s v="CUST1158"/>
    <s v="P001"/>
    <x v="13"/>
    <s v="Electronics"/>
    <x v="0"/>
    <x v="14"/>
    <n v="5"/>
    <n v="63984.22"/>
    <n v="0.2"/>
    <x v="1106"/>
    <x v="2"/>
    <s v="UPI"/>
    <s v="Completed"/>
    <x v="5"/>
    <s v="Completed"/>
    <s v="Store"/>
    <s v="Upi"/>
    <x v="1"/>
    <s v="VALID"/>
    <s v="NORMAL"/>
    <s v="Valid"/>
    <n v="319921.09999999998"/>
    <n v="255936.87999999998"/>
  </r>
  <r>
    <s v="ORD51110"/>
    <d v="2024-06-07T00:00:00"/>
    <s v="CUST1245"/>
    <s v="P006"/>
    <x v="10"/>
    <s v="Furniture"/>
    <x v="0"/>
    <x v="14"/>
    <n v="3"/>
    <n v="7530.71"/>
    <n v="0.08"/>
    <x v="1107"/>
    <x v="1"/>
    <s v="Net Banking"/>
    <s v="Completed"/>
    <x v="6"/>
    <s v="Completed"/>
    <s v="Marketplace"/>
    <s v="Net Banking"/>
    <x v="2"/>
    <s v="VALID"/>
    <s v="NORMAL"/>
    <s v="Valid"/>
    <n v="22592.13"/>
    <n v="20784.759600000001"/>
  </r>
  <r>
    <s v="ORD51111"/>
    <d v="2026-03-03T00:00:00"/>
    <s v="CUST1187"/>
    <s v="P002"/>
    <x v="9"/>
    <s v="Electronics"/>
    <x v="1"/>
    <x v="6"/>
    <n v="4"/>
    <n v="1156.83"/>
    <n v="0.2"/>
    <x v="1108"/>
    <x v="0"/>
    <s v="Credit Card"/>
    <s v="Completed"/>
    <x v="3"/>
    <s v="Completed"/>
    <s v="Online"/>
    <s v="Credit Card"/>
    <x v="1"/>
    <s v="VALID"/>
    <s v="NORMAL"/>
    <s v="Valid"/>
    <n v="4627.32"/>
    <n v="3701.8559999999998"/>
  </r>
  <r>
    <s v="ORD51112"/>
    <d v="2024-06-29T00:00:00"/>
    <s v="CUST1184"/>
    <s v="P003"/>
    <x v="3"/>
    <s v="Electronics"/>
    <x v="0"/>
    <x v="0"/>
    <n v="4"/>
    <n v="1845.87"/>
    <n v="0"/>
    <x v="1109"/>
    <x v="1"/>
    <s v="UPI"/>
    <s v="Completed"/>
    <x v="1"/>
    <s v="Completed"/>
    <s v="Marketplace"/>
    <s v="Upi"/>
    <x v="1"/>
    <s v="VALID"/>
    <s v="NORMAL"/>
    <s v="Valid"/>
    <n v="7383.48"/>
    <n v="7383.48"/>
  </r>
  <r>
    <s v="ORD51113"/>
    <d v="2026-02-16T00:00:00"/>
    <s v="CUST1079"/>
    <s v="P003"/>
    <x v="3"/>
    <s v="Electronics"/>
    <x v="1"/>
    <x v="3"/>
    <n v="5"/>
    <n v="1719.95"/>
    <n v="0.2"/>
    <x v="1110"/>
    <x v="0"/>
    <s v="Net Banking"/>
    <s v="Completed"/>
    <x v="6"/>
    <s v="Completed"/>
    <s v="Online"/>
    <s v="Net Banking"/>
    <x v="1"/>
    <s v="VALID"/>
    <s v="NORMAL"/>
    <s v="Valid"/>
    <n v="8599.75"/>
    <n v="6879.8"/>
  </r>
  <r>
    <s v="ORD51114"/>
    <d v="2025-07-06T00:00:00"/>
    <s v="CUST1214"/>
    <s v="P009"/>
    <x v="7"/>
    <s v="Accessories"/>
    <x v="1"/>
    <x v="1"/>
    <n v="5"/>
    <n v="1836.28"/>
    <n v="0.05"/>
    <x v="1111"/>
    <x v="2"/>
    <s v="Cash on Delivery"/>
    <s v="Returned"/>
    <x v="7"/>
    <s v="Returned"/>
    <s v="Store"/>
    <s v="Cash On Delivery"/>
    <x v="0"/>
    <s v="VALID"/>
    <s v="NORMAL"/>
    <s v="Valid"/>
    <n v="9181.4"/>
    <n v="8722.33"/>
  </r>
  <r>
    <s v="ORD51115"/>
    <d v="2024-04-04T00:00:00"/>
    <m/>
    <s v="P005"/>
    <x v="12"/>
    <s v="Furniture"/>
    <x v="2"/>
    <x v="12"/>
    <n v="4"/>
    <n v="9447.4699999999993"/>
    <n v="0.1"/>
    <x v="1112"/>
    <x v="1"/>
    <s v="UPI"/>
    <s v="Returned"/>
    <x v="4"/>
    <s v="Returned"/>
    <s v="Marketplace"/>
    <s v="Upi"/>
    <x v="2"/>
    <s v="VALID"/>
    <s v="NORMAL"/>
    <s v="Valid"/>
    <n v="37789.879999999997"/>
    <n v="34010.892"/>
  </r>
  <r>
    <s v="ORD51116"/>
    <d v="2024-06-28T00:00:00"/>
    <s v="CUST1134"/>
    <s v="P013"/>
    <x v="2"/>
    <s v="Furniture"/>
    <x v="1"/>
    <x v="7"/>
    <n v="5"/>
    <n v="1608.91"/>
    <n v="0.1"/>
    <x v="1113"/>
    <x v="0"/>
    <s v="Cash on Delivery"/>
    <s v="Completed"/>
    <x v="7"/>
    <s v="Completed"/>
    <s v="Online"/>
    <s v="Cash On Delivery"/>
    <x v="2"/>
    <s v="VALID"/>
    <s v="NORMAL"/>
    <s v="Valid"/>
    <n v="8044.55"/>
    <n v="7240.0950000000003"/>
  </r>
  <r>
    <s v="ORD51117"/>
    <d v="2025-09-02T00:00:00"/>
    <s v="CUST1117"/>
    <s v="P009"/>
    <x v="7"/>
    <s v="Accessories"/>
    <x v="0"/>
    <x v="2"/>
    <n v="1"/>
    <n v="1917.52"/>
    <n v="0.05"/>
    <x v="1114"/>
    <x v="1"/>
    <s v="Credit Card"/>
    <s v="Completed"/>
    <x v="6"/>
    <s v="Completed"/>
    <s v="Marketplace"/>
    <s v="Credit Card"/>
    <x v="0"/>
    <s v="VALID"/>
    <s v="NORMAL"/>
    <s v="Valid"/>
    <n v="1917.52"/>
    <n v="1821.644"/>
  </r>
  <r>
    <s v="ORD51118"/>
    <d v="2026-03-17T00:00:00"/>
    <s v="CUST1197"/>
    <s v="P008"/>
    <x v="4"/>
    <s v="Stationery"/>
    <x v="1"/>
    <x v="7"/>
    <n v="5"/>
    <n v="203.19"/>
    <n v="0.08"/>
    <x v="1115"/>
    <x v="0"/>
    <s v="UPI"/>
    <s v="Returned"/>
    <x v="1"/>
    <s v="Returned"/>
    <s v="Online"/>
    <s v="Upi"/>
    <x v="3"/>
    <s v="VALID"/>
    <s v="NORMAL"/>
    <s v="Valid"/>
    <n v="1015.95"/>
    <n v="934.67399999999998"/>
  </r>
  <r>
    <s v="ORD51119"/>
    <d v="2024-10-25T00:00:00"/>
    <s v="CUST1094"/>
    <s v="P010"/>
    <x v="14"/>
    <s v="Electronics"/>
    <x v="2"/>
    <x v="12"/>
    <n v="5"/>
    <n v="2326.73"/>
    <n v="0.1"/>
    <x v="1116"/>
    <x v="1"/>
    <s v="Credit Card"/>
    <s v="Completed"/>
    <x v="5"/>
    <s v="Completed"/>
    <s v="Marketplace"/>
    <s v="Credit Card"/>
    <x v="1"/>
    <s v="VALID"/>
    <s v="NORMAL"/>
    <s v="Valid"/>
    <n v="11633.65"/>
    <n v="10470.285"/>
  </r>
  <r>
    <s v="ORD51120"/>
    <d v="2024-08-06T00:00:00"/>
    <m/>
    <s v="P013"/>
    <x v="2"/>
    <s v="Furniture"/>
    <x v="0"/>
    <x v="14"/>
    <n v="2"/>
    <n v="1572.46"/>
    <n v="0.15"/>
    <x v="1117"/>
    <x v="2"/>
    <s v="Net Banking"/>
    <s v="Completed"/>
    <x v="0"/>
    <s v="Completed"/>
    <s v="Store"/>
    <s v="Net Banking"/>
    <x v="2"/>
    <s v="VALID"/>
    <s v="NORMAL"/>
    <s v="Valid"/>
    <n v="3144.92"/>
    <n v="2673.1820000000002"/>
  </r>
  <r>
    <s v="ORD51121"/>
    <d v="2024-05-25T00:00:00"/>
    <s v="CUST1042"/>
    <s v="P011"/>
    <x v="1"/>
    <s v="Electronics"/>
    <x v="3"/>
    <x v="11"/>
    <n v="1"/>
    <n v="3011.96"/>
    <n v="0.15"/>
    <x v="1118"/>
    <x v="1"/>
    <s v="UPI"/>
    <s v="Returned"/>
    <x v="1"/>
    <s v="Returned"/>
    <s v="Marketplace"/>
    <s v="Upi"/>
    <x v="1"/>
    <s v="VALID"/>
    <s v="NORMAL"/>
    <s v="Valid"/>
    <n v="3011.96"/>
    <n v="2560.1660000000002"/>
  </r>
  <r>
    <s v="ORD51122"/>
    <d v="2025-12-28T00:00:00"/>
    <s v="CUST1049"/>
    <s v="P015"/>
    <x v="8"/>
    <s v="Accessories"/>
    <x v="3"/>
    <x v="9"/>
    <n v="2"/>
    <n v="664.97"/>
    <n v="0.1"/>
    <x v="1119"/>
    <x v="0"/>
    <s v="Credit Card"/>
    <s v="Completed"/>
    <x v="6"/>
    <s v="Completed"/>
    <s v="Online"/>
    <s v="Credit Card"/>
    <x v="0"/>
    <s v="VALID"/>
    <s v="NORMAL"/>
    <s v="Valid"/>
    <n v="1329.94"/>
    <n v="1196.9460000000001"/>
  </r>
  <r>
    <s v="ORD51123"/>
    <d v="2025-12-27T00:00:00"/>
    <s v="CUST1256"/>
    <s v="P003"/>
    <x v="3"/>
    <s v="Electronics"/>
    <x v="0"/>
    <x v="0"/>
    <n v="4"/>
    <n v="1853.87"/>
    <n v="0.1"/>
    <x v="1120"/>
    <x v="0"/>
    <s v="Net Banking"/>
    <s v="Returned"/>
    <x v="3"/>
    <s v="Returned"/>
    <s v="Online"/>
    <s v="Net Banking"/>
    <x v="1"/>
    <s v="VALID"/>
    <s v="NORMAL"/>
    <s v="Valid"/>
    <n v="7415.48"/>
    <n v="6673.9319999999998"/>
  </r>
  <r>
    <s v="ORD51124"/>
    <d v="2025-08-09T00:00:00"/>
    <s v="CUST1242"/>
    <s v="P004"/>
    <x v="6"/>
    <s v="Electronics"/>
    <x v="2"/>
    <x v="13"/>
    <n v="4"/>
    <n v="13258.09"/>
    <n v="0.1"/>
    <x v="1121"/>
    <x v="2"/>
    <s v="Debit Card"/>
    <s v="Cancelled"/>
    <x v="3"/>
    <s v="Cancelled"/>
    <s v="Store"/>
    <s v="Debit Card"/>
    <x v="1"/>
    <s v="VALID"/>
    <s v="NORMAL"/>
    <s v="Valid"/>
    <n v="53032.36"/>
    <n v="47729.123999999996"/>
  </r>
  <r>
    <s v="ORD51125"/>
    <d v="2024-01-28T00:00:00"/>
    <s v="CUST1033"/>
    <s v="P002"/>
    <x v="9"/>
    <s v="Electronics"/>
    <x v="1"/>
    <x v="6"/>
    <n v="4"/>
    <n v="1179.76"/>
    <n v="0.15"/>
    <x v="1122"/>
    <x v="2"/>
    <s v="Debit Card"/>
    <s v="Completed"/>
    <x v="4"/>
    <s v="Completed"/>
    <s v="Store"/>
    <s v="Debit Card"/>
    <x v="1"/>
    <s v="VALID"/>
    <s v="NORMAL"/>
    <s v="Valid"/>
    <n v="4719.04"/>
    <n v="4011.1840000000002"/>
  </r>
  <r>
    <s v="ORD51126"/>
    <d v="2025-01-02T00:00:00"/>
    <s v="CUST1217"/>
    <s v="P011"/>
    <x v="1"/>
    <s v="Electronics"/>
    <x v="0"/>
    <x v="2"/>
    <n v="2"/>
    <n v="3032.33"/>
    <n v="0.05"/>
    <x v="1123"/>
    <x v="0"/>
    <s v="Cash on Delivery"/>
    <s v="Completed"/>
    <x v="3"/>
    <s v="Completed"/>
    <s v="Online"/>
    <s v="Cash On Delivery"/>
    <x v="1"/>
    <s v="VALID"/>
    <s v="NORMAL"/>
    <s v="Valid"/>
    <n v="6064.66"/>
    <n v="5761.4269999999997"/>
  </r>
  <r>
    <s v="ORD51127"/>
    <d v="2025-08-31T00:00:00"/>
    <s v="CUST1010"/>
    <s v="P005"/>
    <x v="12"/>
    <s v="Furniture"/>
    <x v="3"/>
    <x v="15"/>
    <n v="1"/>
    <n v="9337.18"/>
    <n v="0.15"/>
    <x v="1124"/>
    <x v="1"/>
    <s v="Cash on Delivery"/>
    <s v="Cancelled"/>
    <x v="7"/>
    <s v="Cancelled"/>
    <s v="Marketplace"/>
    <s v="Cash On Delivery"/>
    <x v="2"/>
    <s v="VALID"/>
    <s v="NORMAL"/>
    <s v="Valid"/>
    <n v="9337.18"/>
    <n v="7936.6030000000001"/>
  </r>
  <r>
    <s v="ORD51128"/>
    <d v="2024-11-14T00:00:00"/>
    <s v="CUST1165"/>
    <s v="P003"/>
    <x v="3"/>
    <s v="Electronics"/>
    <x v="1"/>
    <x v="1"/>
    <n v="2"/>
    <n v="1735.72"/>
    <n v="0.08"/>
    <x v="1125"/>
    <x v="2"/>
    <s v="Credit Card"/>
    <s v="Completed"/>
    <x v="5"/>
    <s v="Completed"/>
    <s v="Store"/>
    <s v="Credit Card"/>
    <x v="1"/>
    <s v="VALID"/>
    <s v="NORMAL"/>
    <s v="Valid"/>
    <n v="3471.44"/>
    <n v="3193.7248"/>
  </r>
  <r>
    <s v="ORD51129"/>
    <d v="2025-01-29T00:00:00"/>
    <s v="CUST1102"/>
    <s v="P006"/>
    <x v="10"/>
    <s v="Furniture"/>
    <x v="2"/>
    <x v="5"/>
    <n v="4"/>
    <n v="7662.79"/>
    <n v="0.08"/>
    <x v="1126"/>
    <x v="2"/>
    <s v="Cash on Delivery"/>
    <s v="Completed"/>
    <x v="4"/>
    <s v="Completed"/>
    <s v="Store"/>
    <s v="Cash On Delivery"/>
    <x v="2"/>
    <s v="VALID"/>
    <s v="NORMAL"/>
    <s v="Valid"/>
    <n v="30651.16"/>
    <n v="28199.067200000001"/>
  </r>
  <r>
    <s v="ORD51130"/>
    <d v="2024-04-30T00:00:00"/>
    <m/>
    <s v="P011"/>
    <x v="1"/>
    <s v="Electronics"/>
    <x v="1"/>
    <x v="3"/>
    <n v="1"/>
    <n v="3089.95"/>
    <n v="0.08"/>
    <x v="1127"/>
    <x v="0"/>
    <s v="UPI"/>
    <s v="Completed"/>
    <x v="1"/>
    <s v="Completed"/>
    <s v="Online"/>
    <s v="Upi"/>
    <x v="1"/>
    <s v="VALID"/>
    <s v="NORMAL"/>
    <s v="Valid"/>
    <n v="3089.95"/>
    <n v="2842.7539999999999"/>
  </r>
  <r>
    <s v="ORD51131"/>
    <d v="2025-10-25T00:00:00"/>
    <s v="CUST1124"/>
    <s v="P009"/>
    <x v="7"/>
    <s v="Accessories"/>
    <x v="3"/>
    <x v="9"/>
    <n v="2"/>
    <n v="1732.12"/>
    <n v="0.15"/>
    <x v="1128"/>
    <x v="0"/>
    <s v="UPI"/>
    <s v="Completed"/>
    <x v="7"/>
    <s v="Completed"/>
    <s v="Online"/>
    <s v="Upi"/>
    <x v="0"/>
    <s v="VALID"/>
    <s v="NORMAL"/>
    <s v="Valid"/>
    <n v="3464.24"/>
    <n v="2944.6039999999998"/>
  </r>
  <r>
    <s v="ORD51132"/>
    <d v="2024-05-23T00:00:00"/>
    <s v="CUST1232"/>
    <s v="P009"/>
    <x v="7"/>
    <s v="Accessories"/>
    <x v="1"/>
    <x v="1"/>
    <n v="4"/>
    <n v="1796.82"/>
    <n v="0.1"/>
    <x v="1129"/>
    <x v="1"/>
    <s v="Net Banking"/>
    <s v="Completed"/>
    <x v="2"/>
    <s v="Completed"/>
    <s v="Marketplace"/>
    <s v="Net Banking"/>
    <x v="0"/>
    <s v="VALID"/>
    <s v="NORMAL"/>
    <s v="Valid"/>
    <n v="7187.28"/>
    <n v="6468.5519999999997"/>
  </r>
  <r>
    <s v="ORD51133"/>
    <d v="2024-01-16T00:00:00"/>
    <s v="CUST1125"/>
    <s v="P005"/>
    <x v="12"/>
    <s v="Furniture"/>
    <x v="2"/>
    <x v="12"/>
    <n v="4"/>
    <n v="9910.5400000000009"/>
    <n v="0.1"/>
    <x v="1130"/>
    <x v="1"/>
    <s v="Credit Card"/>
    <s v="Cancelled"/>
    <x v="3"/>
    <s v="Cancelled"/>
    <s v="Marketplace"/>
    <s v="Credit Card"/>
    <x v="2"/>
    <s v="VALID"/>
    <s v="NORMAL"/>
    <s v="Valid"/>
    <n v="39642.160000000003"/>
    <n v="35677.944000000003"/>
  </r>
  <r>
    <s v="ORD51134"/>
    <d v="2024-06-16T00:00:00"/>
    <s v="CUST1115"/>
    <s v="P003"/>
    <x v="3"/>
    <s v="Electronics"/>
    <x v="3"/>
    <x v="15"/>
    <n v="5"/>
    <n v="1881.66"/>
    <n v="0.03"/>
    <x v="1131"/>
    <x v="1"/>
    <s v="Cash on Delivery"/>
    <s v="Completed"/>
    <x v="1"/>
    <s v="Completed"/>
    <s v="Marketplace"/>
    <s v="Cash On Delivery"/>
    <x v="1"/>
    <s v="VALID"/>
    <s v="NORMAL"/>
    <s v="Valid"/>
    <n v="9408.3000000000011"/>
    <n v="9126.0510000000013"/>
  </r>
  <r>
    <s v="ORD51135"/>
    <d v="2024-02-09T00:00:00"/>
    <s v="CUST1214"/>
    <s v="P013"/>
    <x v="2"/>
    <s v="Furniture"/>
    <x v="1"/>
    <x v="7"/>
    <n v="3"/>
    <n v="1612.38"/>
    <n v="0"/>
    <x v="1132"/>
    <x v="0"/>
    <s v="UPI"/>
    <s v="Completed"/>
    <x v="5"/>
    <s v="Completed"/>
    <s v="Online"/>
    <s v="Upi"/>
    <x v="2"/>
    <s v="VALID"/>
    <s v="NORMAL"/>
    <s v="Valid"/>
    <n v="4837.1400000000003"/>
    <n v="4837.1400000000003"/>
  </r>
  <r>
    <s v="ORD51136"/>
    <d v="2026-05-22T00:00:00"/>
    <s v="CUST1161"/>
    <s v="P007"/>
    <x v="11"/>
    <s v="Stationery"/>
    <x v="2"/>
    <x v="13"/>
    <n v="3"/>
    <n v="439.65"/>
    <n v="0.05"/>
    <x v="1133"/>
    <x v="2"/>
    <s v="Cash on Delivery"/>
    <s v="Completed"/>
    <x v="4"/>
    <s v="Completed"/>
    <s v="Store"/>
    <s v="Cash On Delivery"/>
    <x v="3"/>
    <s v="VALID"/>
    <s v="NORMAL"/>
    <s v="Valid"/>
    <n v="1318.9499999999998"/>
    <n v="1253.0024999999998"/>
  </r>
  <r>
    <s v="ORD51137"/>
    <d v="2025-04-25T00:00:00"/>
    <s v="CUST1143"/>
    <s v="P002"/>
    <x v="9"/>
    <s v="Electronics"/>
    <x v="3"/>
    <x v="9"/>
    <n v="4"/>
    <n v="1128.68"/>
    <n v="0.05"/>
    <x v="1134"/>
    <x v="0"/>
    <s v="Debit Card"/>
    <s v="Completed"/>
    <x v="5"/>
    <s v="Completed"/>
    <s v="Online"/>
    <s v="Debit Card"/>
    <x v="1"/>
    <s v="VALID"/>
    <s v="NORMAL"/>
    <s v="Valid"/>
    <n v="4514.72"/>
    <n v="4288.9840000000004"/>
  </r>
  <r>
    <s v="ORD51138"/>
    <d v="2024-08-25T00:00:00"/>
    <s v="CUST1231"/>
    <s v="P004"/>
    <x v="6"/>
    <s v="Electronics"/>
    <x v="3"/>
    <x v="15"/>
    <n v="1"/>
    <n v="12976.64"/>
    <n v="0.03"/>
    <x v="1135"/>
    <x v="1"/>
    <s v="Cash on Delivery"/>
    <s v="Completed"/>
    <x v="3"/>
    <s v="Completed"/>
    <s v="Marketplace"/>
    <s v="Cash On Delivery"/>
    <x v="1"/>
    <s v="VALID"/>
    <s v="NORMAL"/>
    <s v="Valid"/>
    <n v="12976.64"/>
    <n v="12587.3408"/>
  </r>
  <r>
    <s v="ORD51139"/>
    <d v="2025-08-15T00:00:00"/>
    <s v="CUST1201"/>
    <s v="P005"/>
    <x v="12"/>
    <s v="Furniture"/>
    <x v="0"/>
    <x v="10"/>
    <n v="5"/>
    <n v="9556.7800000000007"/>
    <n v="0.03"/>
    <x v="1136"/>
    <x v="0"/>
    <s v="UPI"/>
    <s v="Completed"/>
    <x v="0"/>
    <s v="Completed"/>
    <s v="Online"/>
    <s v="Upi"/>
    <x v="2"/>
    <s v="VALID"/>
    <s v="NORMAL"/>
    <s v="Valid"/>
    <n v="47783.9"/>
    <n v="46350.383000000002"/>
  </r>
  <r>
    <s v="ORD51140"/>
    <d v="2025-04-15T00:00:00"/>
    <s v="CUST1195"/>
    <s v="P004"/>
    <x v="6"/>
    <s v="Electronics"/>
    <x v="0"/>
    <x v="14"/>
    <n v="5"/>
    <n v="13418.8"/>
    <n v="0"/>
    <x v="1137"/>
    <x v="1"/>
    <s v="Debit Card"/>
    <s v="Completed"/>
    <x v="2"/>
    <s v="Completed"/>
    <s v="Marketplace"/>
    <s v="Debit Card"/>
    <x v="1"/>
    <s v="VALID"/>
    <s v="NORMAL"/>
    <s v="Valid"/>
    <n v="67094"/>
    <n v="67094"/>
  </r>
  <r>
    <s v="ORD51141"/>
    <d v="2026-01-09T00:00:00"/>
    <s v="CUST1025"/>
    <s v="P012"/>
    <x v="0"/>
    <s v="Accessories"/>
    <x v="2"/>
    <x v="12"/>
    <n v="4"/>
    <n v="862.92"/>
    <n v="0.15"/>
    <x v="1138"/>
    <x v="2"/>
    <s v="Credit Card"/>
    <s v="Returned"/>
    <x v="3"/>
    <s v="Returned"/>
    <s v="Store"/>
    <s v="Credit Card"/>
    <x v="0"/>
    <s v="VALID"/>
    <s v="NORMAL"/>
    <s v="Valid"/>
    <n v="3451.68"/>
    <n v="2933.9279999999999"/>
  </r>
  <r>
    <s v="ORD51142"/>
    <d v="2024-07-06T00:00:00"/>
    <s v="CUST1040"/>
    <s v="P002"/>
    <x v="9"/>
    <s v="Electronics"/>
    <x v="1"/>
    <x v="6"/>
    <n v="4"/>
    <n v="1122.53"/>
    <n v="0.08"/>
    <x v="1139"/>
    <x v="2"/>
    <s v="UPI"/>
    <s v="Completed"/>
    <x v="1"/>
    <s v="Completed"/>
    <s v="Store"/>
    <s v="Upi"/>
    <x v="1"/>
    <s v="VALID"/>
    <s v="NORMAL"/>
    <s v="Valid"/>
    <n v="4490.12"/>
    <n v="4130.9103999999998"/>
  </r>
  <r>
    <s v="ORD51143"/>
    <d v="2025-09-29T00:00:00"/>
    <s v="CUST1049"/>
    <s v="P008"/>
    <x v="4"/>
    <s v="Stationery"/>
    <x v="3"/>
    <x v="8"/>
    <n v="4"/>
    <n v="237.34"/>
    <m/>
    <x v="1140"/>
    <x v="0"/>
    <s v="Credit Card"/>
    <s v="Completed"/>
    <x v="5"/>
    <s v="Completed"/>
    <s v="Online"/>
    <s v="Credit Card"/>
    <x v="3"/>
    <s v="VALID"/>
    <s v="NORMAL"/>
    <s v="Valid"/>
    <n v="949.36"/>
    <n v="949.36"/>
  </r>
  <r>
    <s v="ORD51144"/>
    <d v="2026-04-27T00:00:00"/>
    <s v="CUST1167"/>
    <s v="P014"/>
    <x v="5"/>
    <s v="Electronics"/>
    <x v="1"/>
    <x v="6"/>
    <n v="3"/>
    <n v="2896.54"/>
    <n v="0.1"/>
    <x v="1141"/>
    <x v="1"/>
    <s v="UPI"/>
    <s v="Completed"/>
    <x v="3"/>
    <s v="Completed"/>
    <s v="Marketplace"/>
    <s v="Upi"/>
    <x v="1"/>
    <s v="VALID"/>
    <s v="NORMAL"/>
    <s v="Valid"/>
    <n v="8689.619999999999"/>
    <n v="7820.6579999999994"/>
  </r>
  <r>
    <s v="ORD51145"/>
    <d v="2026-06-27T00:00:00"/>
    <s v="CUST1059"/>
    <s v="P002"/>
    <x v="9"/>
    <s v="Electronics"/>
    <x v="2"/>
    <x v="13"/>
    <n v="2"/>
    <n v="1279.94"/>
    <n v="0"/>
    <x v="1142"/>
    <x v="1"/>
    <s v="Net Banking"/>
    <s v="Cancelled"/>
    <x v="6"/>
    <s v="Cancelled"/>
    <s v="Marketplace"/>
    <s v="Net Banking"/>
    <x v="1"/>
    <s v="VALID"/>
    <s v="NORMAL"/>
    <s v="Valid"/>
    <n v="2559.88"/>
    <n v="2559.88"/>
  </r>
  <r>
    <s v="ORD51146"/>
    <d v="2025-10-13T00:00:00"/>
    <s v="CUST1197"/>
    <s v="P012"/>
    <x v="0"/>
    <s v="Accessories"/>
    <x v="3"/>
    <x v="8"/>
    <n v="4"/>
    <n v="870.93"/>
    <n v="0"/>
    <x v="1143"/>
    <x v="2"/>
    <s v="Credit Card"/>
    <s v="Completed"/>
    <x v="3"/>
    <s v="Completed"/>
    <s v="Store"/>
    <s v="Credit Card"/>
    <x v="0"/>
    <s v="VALID"/>
    <s v="NORMAL"/>
    <s v="Valid"/>
    <n v="3483.72"/>
    <n v="3483.72"/>
  </r>
  <r>
    <s v="ORD51147"/>
    <d v="2024-11-06T00:00:00"/>
    <s v="CUST1082"/>
    <s v="P008"/>
    <x v="4"/>
    <s v="Stationery"/>
    <x v="0"/>
    <x v="0"/>
    <n v="2"/>
    <n v="217.13"/>
    <n v="0.1"/>
    <x v="1144"/>
    <x v="2"/>
    <s v="Net Banking"/>
    <s v="Returned"/>
    <x v="1"/>
    <s v="Returned"/>
    <s v="Store"/>
    <s v="Net Banking"/>
    <x v="3"/>
    <s v="VALID"/>
    <s v="NORMAL"/>
    <s v="Valid"/>
    <n v="434.26"/>
    <n v="390.834"/>
  </r>
  <r>
    <s v="ORD51148"/>
    <d v="2025-05-06T00:00:00"/>
    <s v="CUST1093"/>
    <s v="P008"/>
    <x v="4"/>
    <s v="Stationery"/>
    <x v="0"/>
    <x v="14"/>
    <n v="4"/>
    <n v="206.4"/>
    <n v="0.15"/>
    <x v="1145"/>
    <x v="2"/>
    <s v="Debit Card"/>
    <s v="Completed"/>
    <x v="7"/>
    <s v="Completed"/>
    <s v="Store"/>
    <s v="Debit Card"/>
    <x v="3"/>
    <s v="VALID"/>
    <s v="NORMAL"/>
    <s v="Valid"/>
    <n v="825.6"/>
    <n v="701.76"/>
  </r>
  <r>
    <s v="ORD51149"/>
    <d v="2025-11-06T00:00:00"/>
    <s v="CUST1248"/>
    <s v="P001"/>
    <x v="13"/>
    <s v="Electronics"/>
    <x v="0"/>
    <x v="14"/>
    <n v="5"/>
    <n v="59836.21"/>
    <m/>
    <x v="1146"/>
    <x v="0"/>
    <s v="UPI"/>
    <s v="Completed"/>
    <x v="5"/>
    <s v="Completed"/>
    <s v="Online"/>
    <s v="Upi"/>
    <x v="1"/>
    <s v="VALID"/>
    <s v="NORMAL"/>
    <s v="Valid"/>
    <n v="299181.05"/>
    <n v="299181.05"/>
  </r>
  <r>
    <s v="ORD51150"/>
    <d v="2025-12-13T00:00:00"/>
    <s v="CUST1095"/>
    <s v="P005"/>
    <x v="12"/>
    <s v="Furniture"/>
    <x v="0"/>
    <x v="10"/>
    <n v="2"/>
    <n v="9977.24"/>
    <n v="0.03"/>
    <x v="1147"/>
    <x v="1"/>
    <s v="Debit Card"/>
    <s v="Completed"/>
    <x v="3"/>
    <s v="Completed"/>
    <s v="Marketplace"/>
    <s v="Debit Card"/>
    <x v="2"/>
    <s v="VALID"/>
    <s v="NORMAL"/>
    <s v="Valid"/>
    <n v="19954.48"/>
    <n v="19355.845600000001"/>
  </r>
  <r>
    <s v="ORD51151"/>
    <d v="2025-02-11T00:00:00"/>
    <s v="CUST1072"/>
    <s v="P008"/>
    <x v="4"/>
    <s v="Stationery"/>
    <x v="3"/>
    <x v="9"/>
    <n v="3"/>
    <n v="217.34"/>
    <n v="0.08"/>
    <x v="1148"/>
    <x v="1"/>
    <s v="Debit Card"/>
    <s v="Completed"/>
    <x v="1"/>
    <s v="Completed"/>
    <s v="Marketplace"/>
    <s v="Debit Card"/>
    <x v="3"/>
    <s v="VALID"/>
    <s v="NORMAL"/>
    <s v="Valid"/>
    <n v="652.02"/>
    <n v="599.85839999999996"/>
  </r>
  <r>
    <s v="ORD51152"/>
    <d v="2026-04-15T00:00:00"/>
    <s v="CUST1016"/>
    <s v="P001"/>
    <x v="13"/>
    <s v="Electronics"/>
    <x v="0"/>
    <x v="2"/>
    <n v="1"/>
    <n v="62853.35"/>
    <n v="0.15"/>
    <x v="1149"/>
    <x v="2"/>
    <s v="Credit Card"/>
    <s v="Returned"/>
    <x v="4"/>
    <s v="Returned"/>
    <s v="Store"/>
    <s v="Credit Card"/>
    <x v="1"/>
    <s v="VALID"/>
    <s v="NORMAL"/>
    <s v="Valid"/>
    <n v="62853.35"/>
    <n v="53425.347500000003"/>
  </r>
  <r>
    <s v="ORD51153"/>
    <d v="2025-03-03T00:00:00"/>
    <s v="CUST1247"/>
    <s v="P003"/>
    <x v="3"/>
    <s v="Electronics"/>
    <x v="3"/>
    <x v="9"/>
    <n v="1"/>
    <n v="1943.99"/>
    <n v="0.03"/>
    <x v="1150"/>
    <x v="1"/>
    <s v="UPI"/>
    <s v="Completed"/>
    <x v="4"/>
    <s v="Completed"/>
    <s v="Marketplace"/>
    <s v="Upi"/>
    <x v="1"/>
    <s v="VALID"/>
    <s v="NORMAL"/>
    <s v="Valid"/>
    <n v="1943.99"/>
    <n v="1885.6703"/>
  </r>
  <r>
    <s v="ORD51154"/>
    <d v="2026-03-30T00:00:00"/>
    <s v="CUST1142"/>
    <s v="P011"/>
    <x v="1"/>
    <s v="Electronics"/>
    <x v="0"/>
    <x v="14"/>
    <n v="5"/>
    <n v="3201.17"/>
    <n v="0.05"/>
    <x v="1151"/>
    <x v="2"/>
    <s v="UPI"/>
    <s v="Completed"/>
    <x v="7"/>
    <s v="Completed"/>
    <s v="Store"/>
    <s v="Upi"/>
    <x v="1"/>
    <s v="VALID"/>
    <s v="NORMAL"/>
    <s v="Valid"/>
    <n v="16005.85"/>
    <n v="15205.557500000001"/>
  </r>
  <r>
    <s v="ORD51155"/>
    <d v="2025-06-03T00:00:00"/>
    <s v="CUST1116"/>
    <s v="P011"/>
    <x v="1"/>
    <s v="Electronics"/>
    <x v="0"/>
    <x v="14"/>
    <n v="1"/>
    <n v="3216.66"/>
    <n v="0.05"/>
    <x v="1152"/>
    <x v="1"/>
    <s v="Credit Card"/>
    <s v="Returned"/>
    <x v="0"/>
    <s v="Returned"/>
    <s v="Marketplace"/>
    <s v="Credit Card"/>
    <x v="1"/>
    <s v="VALID"/>
    <s v="NORMAL"/>
    <s v="Valid"/>
    <n v="3216.66"/>
    <n v="3055.8269999999998"/>
  </r>
  <r>
    <s v="ORD51156"/>
    <d v="2026-02-12T00:00:00"/>
    <s v="CUST1183"/>
    <s v="P012"/>
    <x v="0"/>
    <s v="Accessories"/>
    <x v="0"/>
    <x v="14"/>
    <n v="1"/>
    <n v="864.03"/>
    <n v="0.1"/>
    <x v="1153"/>
    <x v="0"/>
    <s v="UPI"/>
    <s v="Cancelled"/>
    <x v="0"/>
    <s v="Cancelled"/>
    <s v="Online"/>
    <s v="Upi"/>
    <x v="0"/>
    <s v="VALID"/>
    <s v="NORMAL"/>
    <s v="Valid"/>
    <n v="864.03"/>
    <n v="777.62699999999995"/>
  </r>
  <r>
    <s v="ORD51157"/>
    <d v="2025-03-11T00:00:00"/>
    <s v="CUST1227"/>
    <s v="P011"/>
    <x v="1"/>
    <s v="Electronics"/>
    <x v="1"/>
    <x v="3"/>
    <n v="3"/>
    <n v="3288.29"/>
    <n v="0"/>
    <x v="1154"/>
    <x v="2"/>
    <s v="Net Banking"/>
    <s v="Completed"/>
    <x v="5"/>
    <s v="Completed"/>
    <s v="Store"/>
    <s v="Net Banking"/>
    <x v="1"/>
    <s v="VALID"/>
    <s v="NORMAL"/>
    <s v="Valid"/>
    <n v="9864.869999999999"/>
    <n v="9864.869999999999"/>
  </r>
  <r>
    <s v="ORD51158"/>
    <d v="2024-02-23T00:00:00"/>
    <s v="CUST1076"/>
    <s v="P009"/>
    <x v="7"/>
    <s v="Accessories"/>
    <x v="2"/>
    <x v="5"/>
    <n v="1"/>
    <n v="1704.06"/>
    <n v="0.08"/>
    <x v="1155"/>
    <x v="0"/>
    <s v="Credit Card"/>
    <s v="Completed"/>
    <x v="6"/>
    <s v="Completed"/>
    <s v="Online"/>
    <s v="Credit Card"/>
    <x v="0"/>
    <s v="VALID"/>
    <s v="NORMAL"/>
    <s v="Valid"/>
    <n v="1704.06"/>
    <n v="1567.7351999999998"/>
  </r>
  <r>
    <s v="ORD51159"/>
    <d v="2025-09-21T00:00:00"/>
    <s v="CUST1045"/>
    <s v="P012"/>
    <x v="0"/>
    <s v="Accessories"/>
    <x v="0"/>
    <x v="2"/>
    <n v="2"/>
    <n v="797.08"/>
    <n v="0.2"/>
    <x v="1156"/>
    <x v="0"/>
    <s v="Credit Card"/>
    <s v="Completed"/>
    <x v="0"/>
    <s v="Completed"/>
    <s v="Online"/>
    <s v="Credit Card"/>
    <x v="0"/>
    <s v="VALID"/>
    <s v="NORMAL"/>
    <s v="Valid"/>
    <n v="1594.16"/>
    <n v="1275.328"/>
  </r>
  <r>
    <s v="ORD51160"/>
    <d v="2024-02-11T00:00:00"/>
    <s v="CUST1088"/>
    <s v="P004"/>
    <x v="6"/>
    <s v="Electronics"/>
    <x v="2"/>
    <x v="4"/>
    <n v="4"/>
    <n v="12515.01"/>
    <n v="0.2"/>
    <x v="1157"/>
    <x v="0"/>
    <s v="UPI"/>
    <s v="Completed"/>
    <x v="1"/>
    <s v="Completed"/>
    <s v="Online"/>
    <s v="Upi"/>
    <x v="1"/>
    <s v="VALID"/>
    <s v="NORMAL"/>
    <s v="Valid"/>
    <n v="50060.04"/>
    <n v="40048.031999999999"/>
  </r>
  <r>
    <s v="ORD51161"/>
    <d v="2025-02-24T00:00:00"/>
    <s v="CUST1169"/>
    <s v="P015"/>
    <x v="8"/>
    <s v="Accessories"/>
    <x v="0"/>
    <x v="10"/>
    <n v="2"/>
    <n v="753.33"/>
    <n v="0.03"/>
    <x v="1158"/>
    <x v="2"/>
    <s v="Cash on Delivery"/>
    <s v="Completed"/>
    <x v="3"/>
    <s v="Completed"/>
    <s v="Store"/>
    <s v="Cash On Delivery"/>
    <x v="0"/>
    <s v="VALID"/>
    <s v="NORMAL"/>
    <s v="Valid"/>
    <n v="1506.66"/>
    <n v="1461.4602"/>
  </r>
  <r>
    <s v="ORD51162"/>
    <d v="2025-04-30T00:00:00"/>
    <s v="CUST1083"/>
    <s v="P005"/>
    <x v="12"/>
    <s v="Furniture"/>
    <x v="3"/>
    <x v="15"/>
    <n v="2"/>
    <n v="8750.9"/>
    <n v="0"/>
    <x v="1159"/>
    <x v="2"/>
    <s v="Net Banking"/>
    <s v="Cancelled"/>
    <x v="1"/>
    <s v="Cancelled"/>
    <s v="Store"/>
    <s v="Net Banking"/>
    <x v="2"/>
    <s v="VALID"/>
    <s v="NORMAL"/>
    <s v="Valid"/>
    <n v="17501.8"/>
    <n v="17501.8"/>
  </r>
  <r>
    <s v="ORD51163"/>
    <d v="2025-07-30T00:00:00"/>
    <s v="CUST1240"/>
    <s v="P004"/>
    <x v="6"/>
    <s v="Electronics"/>
    <x v="0"/>
    <x v="14"/>
    <n v="4"/>
    <n v="12098.28"/>
    <n v="0.2"/>
    <x v="1160"/>
    <x v="0"/>
    <s v="Net Banking"/>
    <s v="Returned"/>
    <x v="1"/>
    <s v="Returned"/>
    <s v="Online"/>
    <s v="Net Banking"/>
    <x v="1"/>
    <s v="VALID"/>
    <s v="NORMAL"/>
    <s v="Valid"/>
    <n v="48393.120000000003"/>
    <n v="38714.495999999999"/>
  </r>
  <r>
    <s v="ORD51164"/>
    <d v="2026-03-25T00:00:00"/>
    <s v="CUST1014"/>
    <s v="P014"/>
    <x v="5"/>
    <s v="Electronics"/>
    <x v="1"/>
    <x v="1"/>
    <n v="1"/>
    <n v="2629.9"/>
    <n v="0.05"/>
    <x v="1161"/>
    <x v="0"/>
    <s v="Credit Card"/>
    <s v="Returned"/>
    <x v="5"/>
    <s v="Returned"/>
    <s v="Online"/>
    <s v="Credit Card"/>
    <x v="1"/>
    <s v="VALID"/>
    <s v="NORMAL"/>
    <s v="Valid"/>
    <n v="2629.9"/>
    <n v="2498.4050000000002"/>
  </r>
  <r>
    <s v="ORD51165"/>
    <d v="2026-05-04T00:00:00"/>
    <s v="CUST1236"/>
    <s v="P001"/>
    <x v="13"/>
    <s v="Electronics"/>
    <x v="0"/>
    <x v="0"/>
    <n v="4"/>
    <n v="69957.37"/>
    <n v="0"/>
    <x v="1162"/>
    <x v="2"/>
    <s v="UPI"/>
    <s v="Returned"/>
    <x v="7"/>
    <s v="Returned"/>
    <s v="Store"/>
    <s v="Upi"/>
    <x v="1"/>
    <s v="VALID"/>
    <s v="NORMAL"/>
    <s v="Valid"/>
    <n v="279829.48"/>
    <n v="279829.48"/>
  </r>
  <r>
    <s v="ORD51166"/>
    <d v="2024-03-10T00:00:00"/>
    <s v="CUST1140"/>
    <s v="P004"/>
    <x v="6"/>
    <s v="Electronics"/>
    <x v="2"/>
    <x v="4"/>
    <n v="1"/>
    <n v="13462.37"/>
    <n v="0"/>
    <x v="1163"/>
    <x v="2"/>
    <m/>
    <s v="Cancelled"/>
    <x v="4"/>
    <s v="Cancelled"/>
    <s v="Store"/>
    <s v=""/>
    <x v="1"/>
    <s v="VALID"/>
    <s v="NORMAL"/>
    <s v="Valid"/>
    <n v="13462.37"/>
    <n v="13462.37"/>
  </r>
  <r>
    <s v="ORD51167"/>
    <d v="2026-01-14T00:00:00"/>
    <s v="CUST1221"/>
    <s v="P006"/>
    <x v="10"/>
    <s v="Furniture"/>
    <x v="3"/>
    <x v="15"/>
    <n v="2"/>
    <n v="6808.88"/>
    <n v="0.1"/>
    <x v="1164"/>
    <x v="1"/>
    <s v="Debit Card"/>
    <s v="Completed"/>
    <x v="5"/>
    <s v="Completed"/>
    <s v="Marketplace"/>
    <s v="Debit Card"/>
    <x v="2"/>
    <s v="VALID"/>
    <s v="NORMAL"/>
    <s v="Valid"/>
    <n v="13617.76"/>
    <n v="12255.984"/>
  </r>
  <r>
    <s v="ORD51168"/>
    <d v="2024-12-10T00:00:00"/>
    <s v="CUST1084"/>
    <s v="P001"/>
    <x v="13"/>
    <s v="Electronics"/>
    <x v="3"/>
    <x v="9"/>
    <n v="4"/>
    <n v="66227.06"/>
    <n v="0.2"/>
    <x v="1165"/>
    <x v="0"/>
    <s v="Credit Card"/>
    <s v="Completed"/>
    <x v="5"/>
    <s v="Completed"/>
    <s v="Online"/>
    <s v="Credit Card"/>
    <x v="1"/>
    <s v="VALID"/>
    <s v="NORMAL"/>
    <s v="Valid"/>
    <n v="264908.24"/>
    <n v="211926.592"/>
  </r>
  <r>
    <s v="ORD51169"/>
    <d v="2026-04-21T00:00:00"/>
    <s v="CUST1161"/>
    <s v="P013"/>
    <x v="2"/>
    <s v="Furniture"/>
    <x v="3"/>
    <x v="8"/>
    <n v="5"/>
    <n v="1699.32"/>
    <n v="0.03"/>
    <x v="1166"/>
    <x v="0"/>
    <s v="Debit Card"/>
    <s v="Cancelled"/>
    <x v="7"/>
    <s v="Cancelled"/>
    <s v="Online"/>
    <s v="Debit Card"/>
    <x v="2"/>
    <s v="VALID"/>
    <s v="NORMAL"/>
    <s v="Valid"/>
    <n v="8496.6"/>
    <n v="8241.7020000000011"/>
  </r>
  <r>
    <s v="ORD51170"/>
    <d v="2025-01-03T00:00:00"/>
    <s v="CUST1010"/>
    <s v="P007"/>
    <x v="11"/>
    <s v="Stationery"/>
    <x v="0"/>
    <x v="14"/>
    <n v="1"/>
    <n v="484.89"/>
    <n v="0.2"/>
    <x v="1167"/>
    <x v="2"/>
    <s v="Debit Card"/>
    <s v="Completed"/>
    <x v="5"/>
    <s v="Completed"/>
    <s v="Store"/>
    <s v="Debit Card"/>
    <x v="3"/>
    <s v="VALID"/>
    <s v="NORMAL"/>
    <s v="Valid"/>
    <n v="484.89"/>
    <n v="387.91199999999998"/>
  </r>
  <r>
    <s v="ORD51171"/>
    <d v="2024-01-16T00:00:00"/>
    <s v="CUST1017"/>
    <s v="P015"/>
    <x v="8"/>
    <s v="Accessories"/>
    <x v="0"/>
    <x v="2"/>
    <n v="4"/>
    <n v="680.14"/>
    <n v="0"/>
    <x v="1168"/>
    <x v="1"/>
    <s v="Debit Card"/>
    <s v="Cancelled"/>
    <x v="4"/>
    <s v="Cancelled"/>
    <s v="Marketplace"/>
    <s v="Debit Card"/>
    <x v="0"/>
    <s v="VALID"/>
    <s v="NORMAL"/>
    <s v="Valid"/>
    <n v="2720.56"/>
    <n v="2720.56"/>
  </r>
  <r>
    <s v="ORD51172"/>
    <d v="2025-11-07T00:00:00"/>
    <s v="CUST1228"/>
    <s v="P002"/>
    <x v="9"/>
    <s v="Electronics"/>
    <x v="0"/>
    <x v="2"/>
    <n v="2"/>
    <n v="1181.42"/>
    <n v="0.05"/>
    <x v="1169"/>
    <x v="2"/>
    <s v="Credit Card"/>
    <s v="Completed"/>
    <x v="0"/>
    <s v="Completed"/>
    <s v="Store"/>
    <s v="Credit Card"/>
    <x v="1"/>
    <s v="VALID"/>
    <s v="NORMAL"/>
    <s v="Valid"/>
    <n v="2362.84"/>
    <n v="2244.6980000000003"/>
  </r>
  <r>
    <s v="ORD51173"/>
    <d v="2024-06-15T00:00:00"/>
    <s v="CUST1084"/>
    <s v="P011"/>
    <x v="1"/>
    <s v="Electronics"/>
    <x v="1"/>
    <x v="1"/>
    <n v="5"/>
    <n v="3323.85"/>
    <n v="0.08"/>
    <x v="1170"/>
    <x v="0"/>
    <s v="Net Banking"/>
    <s v="Completed"/>
    <x v="5"/>
    <s v="Completed"/>
    <s v="Online"/>
    <s v="Net Banking"/>
    <x v="1"/>
    <s v="VALID"/>
    <s v="NORMAL"/>
    <s v="Valid"/>
    <n v="16619.25"/>
    <n v="15289.71"/>
  </r>
  <r>
    <s v="ORD51174"/>
    <d v="2025-01-15T00:00:00"/>
    <s v="CUST1249"/>
    <s v="P006"/>
    <x v="10"/>
    <s v="Furniture"/>
    <x v="3"/>
    <x v="11"/>
    <n v="25"/>
    <n v="7662.98"/>
    <n v="0.2"/>
    <x v="1171"/>
    <x v="2"/>
    <s v="Cash on Delivery"/>
    <s v="Completed"/>
    <x v="7"/>
    <s v="Completed"/>
    <s v="Store"/>
    <s v="Cash On Delivery"/>
    <x v="2"/>
    <s v="VALID"/>
    <s v="NORMAL"/>
    <s v="Valid"/>
    <n v="191574.5"/>
    <n v="153259.6"/>
  </r>
  <r>
    <s v="ORD51175"/>
    <d v="2025-06-03T00:00:00"/>
    <s v="CUST1151"/>
    <s v="P011"/>
    <x v="1"/>
    <s v="Electronics"/>
    <x v="1"/>
    <x v="7"/>
    <n v="5"/>
    <n v="3003.56"/>
    <n v="0.1"/>
    <x v="1172"/>
    <x v="0"/>
    <s v="Net Banking"/>
    <s v="Completed"/>
    <x v="6"/>
    <s v="Completed"/>
    <s v="Online"/>
    <s v="Net Banking"/>
    <x v="1"/>
    <s v="VALID"/>
    <s v="NORMAL"/>
    <s v="Valid"/>
    <n v="15017.8"/>
    <n v="13516.019999999999"/>
  </r>
  <r>
    <s v="ORD51176"/>
    <d v="2026-05-15T00:00:00"/>
    <s v="CUST1188"/>
    <s v="P009"/>
    <x v="7"/>
    <s v="Accessories"/>
    <x v="0"/>
    <x v="2"/>
    <n v="3"/>
    <n v="1664.91"/>
    <n v="0.05"/>
    <x v="1173"/>
    <x v="0"/>
    <s v="Credit Card"/>
    <s v="Completed"/>
    <x v="0"/>
    <s v="Completed"/>
    <s v="Online"/>
    <s v="Credit Card"/>
    <x v="0"/>
    <s v="VALID"/>
    <s v="NORMAL"/>
    <s v="Valid"/>
    <n v="4994.7300000000005"/>
    <n v="4744.9935000000005"/>
  </r>
  <r>
    <s v="ORD51177"/>
    <d v="2025-11-01T00:00:00"/>
    <s v="CUST1017"/>
    <s v="P011"/>
    <x v="1"/>
    <s v="Electronics"/>
    <x v="3"/>
    <x v="15"/>
    <n v="2"/>
    <n v="3141.12"/>
    <n v="0.08"/>
    <x v="1174"/>
    <x v="0"/>
    <s v="Cash on Delivery"/>
    <s v="Cancelled"/>
    <x v="0"/>
    <s v="Cancelled"/>
    <s v="Online"/>
    <s v="Cash On Delivery"/>
    <x v="1"/>
    <s v="VALID"/>
    <s v="NORMAL"/>
    <s v="Valid"/>
    <n v="6282.24"/>
    <n v="5779.6607999999997"/>
  </r>
  <r>
    <s v="ORD51178"/>
    <d v="2026-01-17T00:00:00"/>
    <s v="CUST1124"/>
    <s v="P013"/>
    <x v="2"/>
    <s v="Furniture"/>
    <x v="3"/>
    <x v="11"/>
    <n v="3"/>
    <n v="1482.4"/>
    <n v="0.08"/>
    <x v="1175"/>
    <x v="0"/>
    <s v="Net Banking"/>
    <s v="Completed"/>
    <x v="6"/>
    <s v="Completed"/>
    <s v="Online"/>
    <s v="Net Banking"/>
    <x v="2"/>
    <s v="VALID"/>
    <s v="NORMAL"/>
    <s v="Valid"/>
    <n v="4447.2000000000007"/>
    <n v="4091.4240000000009"/>
  </r>
  <r>
    <s v="ORD51179"/>
    <d v="2026-06-25T00:00:00"/>
    <s v="CUST1144"/>
    <s v="P012"/>
    <x v="0"/>
    <s v="Accessories"/>
    <x v="3"/>
    <x v="11"/>
    <n v="40"/>
    <n v="839.49"/>
    <n v="0.08"/>
    <x v="1176"/>
    <x v="1"/>
    <s v="Cash on Delivery"/>
    <s v="Completed"/>
    <x v="0"/>
    <s v="Completed"/>
    <s v="Marketplace"/>
    <s v="Cash On Delivery"/>
    <x v="0"/>
    <s v="VALID"/>
    <s v="NORMAL"/>
    <s v="Valid"/>
    <n v="33579.599999999999"/>
    <n v="30893.232"/>
  </r>
  <r>
    <s v="ORD51180"/>
    <d v="2026-05-02T00:00:00"/>
    <s v="CUST1123"/>
    <s v="P008"/>
    <x v="4"/>
    <s v="Stationery"/>
    <x v="3"/>
    <x v="9"/>
    <n v="4"/>
    <n v="229.56"/>
    <n v="0.08"/>
    <x v="1177"/>
    <x v="2"/>
    <s v="Net Banking"/>
    <s v="Completed"/>
    <x v="7"/>
    <s v="Completed"/>
    <s v="Store"/>
    <s v="Net Banking"/>
    <x v="3"/>
    <s v="VALID"/>
    <s v="NORMAL"/>
    <s v="Valid"/>
    <n v="918.24"/>
    <n v="844.7808"/>
  </r>
  <r>
    <s v="ORD51181"/>
    <d v="2025-04-30T00:00:00"/>
    <s v="CUST1244"/>
    <s v="P015"/>
    <x v="8"/>
    <s v="Accessories"/>
    <x v="2"/>
    <x v="13"/>
    <n v="1"/>
    <n v="688.98"/>
    <n v="0.15"/>
    <x v="1178"/>
    <x v="2"/>
    <s v="UPI"/>
    <s v="Completed"/>
    <x v="1"/>
    <s v="Completed"/>
    <s v="Store"/>
    <s v="Upi"/>
    <x v="0"/>
    <s v="VALID"/>
    <s v="NORMAL"/>
    <s v="Valid"/>
    <n v="688.98"/>
    <n v="585.63300000000004"/>
  </r>
  <r>
    <s v="ORD51182"/>
    <d v="2024-08-30T00:00:00"/>
    <s v="CUST1100"/>
    <s v="P009"/>
    <x v="7"/>
    <s v="Accessories"/>
    <x v="1"/>
    <x v="3"/>
    <n v="2"/>
    <n v="1936.2"/>
    <n v="0.2"/>
    <x v="1179"/>
    <x v="2"/>
    <s v="Net Banking"/>
    <s v="Completed"/>
    <x v="3"/>
    <s v="Completed"/>
    <s v="Store"/>
    <s v="Net Banking"/>
    <x v="0"/>
    <s v="VALID"/>
    <s v="NORMAL"/>
    <s v="Valid"/>
    <n v="3872.4"/>
    <n v="3097.92"/>
  </r>
  <r>
    <s v="ORD51183"/>
    <d v="2025-04-23T00:00:00"/>
    <s v="CUST1217"/>
    <s v="P013"/>
    <x v="2"/>
    <s v="Furniture"/>
    <x v="1"/>
    <x v="1"/>
    <n v="1"/>
    <n v="1599.31"/>
    <n v="0.1"/>
    <x v="1180"/>
    <x v="1"/>
    <s v="Net Banking"/>
    <s v="Completed"/>
    <x v="3"/>
    <s v="Completed"/>
    <s v="Marketplace"/>
    <s v="Net Banking"/>
    <x v="2"/>
    <s v="VALID"/>
    <s v="NORMAL"/>
    <s v="Valid"/>
    <n v="1599.31"/>
    <n v="1439.3789999999999"/>
  </r>
  <r>
    <s v="ORD51184"/>
    <d v="2024-12-02T00:00:00"/>
    <s v="CUST1249"/>
    <s v="P001"/>
    <x v="13"/>
    <s v="Electronics"/>
    <x v="3"/>
    <x v="11"/>
    <n v="1"/>
    <n v="64046.879999999997"/>
    <n v="0.05"/>
    <x v="1181"/>
    <x v="2"/>
    <s v="Credit Card"/>
    <s v="Completed"/>
    <x v="7"/>
    <s v="Completed"/>
    <s v="Store"/>
    <s v="Credit Card"/>
    <x v="1"/>
    <s v="VALID"/>
    <s v="NORMAL"/>
    <s v="Valid"/>
    <n v="64046.879999999997"/>
    <n v="60844.536"/>
  </r>
  <r>
    <s v="ORD51185"/>
    <d v="2024-10-09T00:00:00"/>
    <s v="CUST1029"/>
    <s v="P005"/>
    <x v="12"/>
    <s v="Furniture"/>
    <x v="0"/>
    <x v="2"/>
    <n v="5"/>
    <n v="9618.02"/>
    <n v="0.03"/>
    <x v="1182"/>
    <x v="0"/>
    <s v="UPI"/>
    <s v="Completed"/>
    <x v="5"/>
    <s v="Completed"/>
    <s v="Online"/>
    <s v="Upi"/>
    <x v="2"/>
    <s v="VALID"/>
    <s v="NORMAL"/>
    <s v="Valid"/>
    <n v="48090.100000000006"/>
    <n v="46647.397000000004"/>
  </r>
  <r>
    <s v="ORD51186"/>
    <d v="2025-05-18T00:00:00"/>
    <s v="CUST1051"/>
    <s v="P014"/>
    <x v="5"/>
    <s v="Electronics"/>
    <x v="0"/>
    <x v="0"/>
    <n v="1"/>
    <n v="2804.24"/>
    <n v="0.05"/>
    <x v="1183"/>
    <x v="2"/>
    <s v="Debit Card"/>
    <s v="Completed"/>
    <x v="1"/>
    <s v="Completed"/>
    <s v="Store"/>
    <s v="Debit Card"/>
    <x v="1"/>
    <s v="VALID"/>
    <s v="NORMAL"/>
    <s v="Valid"/>
    <n v="2804.24"/>
    <n v="2664.0279999999998"/>
  </r>
  <r>
    <s v="ORD51187"/>
    <d v="2024-11-05T00:00:00"/>
    <s v="CUST1203"/>
    <s v="P010"/>
    <x v="14"/>
    <s v="Electronics"/>
    <x v="3"/>
    <x v="9"/>
    <n v="3"/>
    <n v="2173.9499999999998"/>
    <n v="0.05"/>
    <x v="1184"/>
    <x v="0"/>
    <s v="Credit Card"/>
    <s v="Completed"/>
    <x v="6"/>
    <s v="Completed"/>
    <s v="Online"/>
    <s v="Credit Card"/>
    <x v="1"/>
    <s v="VALID"/>
    <s v="NORMAL"/>
    <s v="Valid"/>
    <n v="6521.8499999999995"/>
    <n v="6195.7574999999997"/>
  </r>
  <r>
    <s v="ORD51188"/>
    <d v="2024-02-11T00:00:00"/>
    <s v="CUST1119"/>
    <s v="P001"/>
    <x v="13"/>
    <s v="Electronics"/>
    <x v="0"/>
    <x v="10"/>
    <n v="2"/>
    <n v="67798.759999999995"/>
    <n v="0.15"/>
    <x v="1185"/>
    <x v="2"/>
    <s v="UPI"/>
    <s v="Completed"/>
    <x v="6"/>
    <s v="Completed"/>
    <s v="Store"/>
    <s v="Upi"/>
    <x v="1"/>
    <s v="VALID"/>
    <s v="NORMAL"/>
    <s v="Valid"/>
    <n v="135597.51999999999"/>
    <n v="115257.89199999999"/>
  </r>
  <r>
    <s v="ORD51189"/>
    <d v="2024-08-22T00:00:00"/>
    <s v="CUST1223"/>
    <s v="P001"/>
    <x v="13"/>
    <s v="Electronics"/>
    <x v="0"/>
    <x v="2"/>
    <n v="2"/>
    <n v="63889.04"/>
    <n v="0.15"/>
    <x v="1186"/>
    <x v="0"/>
    <s v="Credit Card"/>
    <s v="Completed"/>
    <x v="5"/>
    <s v="Completed"/>
    <s v="Online"/>
    <s v="Credit Card"/>
    <x v="1"/>
    <s v="VALID"/>
    <s v="NORMAL"/>
    <s v="Valid"/>
    <n v="127778.08"/>
    <n v="108611.368"/>
  </r>
  <r>
    <s v="ORD51190"/>
    <d v="2025-07-01T00:00:00"/>
    <s v="CUST1039"/>
    <s v="P006"/>
    <x v="10"/>
    <s v="Furniture"/>
    <x v="3"/>
    <x v="9"/>
    <n v="4"/>
    <n v="7128.76"/>
    <n v="0.1"/>
    <x v="1187"/>
    <x v="2"/>
    <s v="Credit Card"/>
    <s v="Completed"/>
    <x v="6"/>
    <s v="Completed"/>
    <s v="Store"/>
    <s v="Credit Card"/>
    <x v="2"/>
    <s v="VALID"/>
    <s v="NORMAL"/>
    <s v="Valid"/>
    <n v="28515.040000000001"/>
    <n v="25663.536"/>
  </r>
  <r>
    <s v="ORD51191"/>
    <d v="2025-04-28T00:00:00"/>
    <s v="CUST1115"/>
    <s v="P006"/>
    <x v="10"/>
    <s v="Furniture"/>
    <x v="0"/>
    <x v="0"/>
    <n v="4"/>
    <n v="6729.83"/>
    <n v="0"/>
    <x v="1188"/>
    <x v="2"/>
    <s v="Debit Card"/>
    <s v="Completed"/>
    <x v="6"/>
    <s v="Completed"/>
    <s v="Store"/>
    <s v="Debit Card"/>
    <x v="2"/>
    <s v="VALID"/>
    <s v="NORMAL"/>
    <s v="Valid"/>
    <n v="26919.32"/>
    <n v="26919.32"/>
  </r>
  <r>
    <s v="ORD51192"/>
    <d v="2025-02-21T00:00:00"/>
    <s v="CUST1182"/>
    <s v="P009"/>
    <x v="7"/>
    <s v="Accessories"/>
    <x v="1"/>
    <x v="7"/>
    <n v="4"/>
    <n v="1882.59"/>
    <n v="0.2"/>
    <x v="1189"/>
    <x v="0"/>
    <s v="Debit Card"/>
    <s v="Returned"/>
    <x v="0"/>
    <s v="Returned"/>
    <s v="Online"/>
    <s v="Debit Card"/>
    <x v="0"/>
    <s v="VALID"/>
    <s v="NORMAL"/>
    <s v="Valid"/>
    <n v="7530.36"/>
    <n v="6024.2879999999996"/>
  </r>
  <r>
    <s v="ORD51193"/>
    <d v="2024-01-05T00:00:00"/>
    <s v="CUST1223"/>
    <s v="P005"/>
    <x v="12"/>
    <s v="Furniture"/>
    <x v="0"/>
    <x v="0"/>
    <n v="5"/>
    <n v="9146.17"/>
    <n v="0.08"/>
    <x v="1190"/>
    <x v="1"/>
    <s v="Debit Card"/>
    <s v="Returned"/>
    <x v="5"/>
    <s v="Returned"/>
    <s v="Marketplace"/>
    <s v="Debit Card"/>
    <x v="2"/>
    <s v="VALID"/>
    <s v="NORMAL"/>
    <s v="Valid"/>
    <n v="45730.85"/>
    <n v="42072.381999999998"/>
  </r>
  <r>
    <s v="ORD51194"/>
    <d v="2025-01-22T00:00:00"/>
    <s v="CUST1076"/>
    <s v="P001"/>
    <x v="13"/>
    <s v="Electronics"/>
    <x v="1"/>
    <x v="1"/>
    <n v="3"/>
    <n v="60091.06"/>
    <n v="0"/>
    <x v="1191"/>
    <x v="2"/>
    <s v="Debit Card"/>
    <s v="Returned"/>
    <x v="1"/>
    <s v="Returned"/>
    <s v="Store"/>
    <s v="Debit Card"/>
    <x v="1"/>
    <s v="VALID"/>
    <s v="NORMAL"/>
    <s v="Valid"/>
    <n v="180273.18"/>
    <n v="180273.18"/>
  </r>
  <r>
    <s v="ORD51195"/>
    <d v="2025-11-01T00:00:00"/>
    <s v="CUST1074"/>
    <s v="P015"/>
    <x v="8"/>
    <s v="Accessories"/>
    <x v="0"/>
    <x v="10"/>
    <n v="2"/>
    <n v="715.1"/>
    <n v="0.1"/>
    <x v="1192"/>
    <x v="0"/>
    <s v="Cash on Delivery"/>
    <s v="Cancelled"/>
    <x v="4"/>
    <s v="Cancelled"/>
    <s v="Online"/>
    <s v="Cash On Delivery"/>
    <x v="0"/>
    <s v="VALID"/>
    <s v="NORMAL"/>
    <s v="Valid"/>
    <n v="1430.2"/>
    <n v="1287.18"/>
  </r>
  <r>
    <s v="ORD51196"/>
    <d v="2024-12-10T00:00:00"/>
    <s v="CUST1065"/>
    <s v="P004"/>
    <x v="6"/>
    <s v="Electronics"/>
    <x v="1"/>
    <x v="6"/>
    <n v="5"/>
    <n v="11604.43"/>
    <n v="0.1"/>
    <x v="1193"/>
    <x v="1"/>
    <s v="UPI"/>
    <s v="Cancelled"/>
    <x v="5"/>
    <s v="Cancelled"/>
    <s v="Marketplace"/>
    <s v="Upi"/>
    <x v="1"/>
    <s v="VALID"/>
    <s v="NORMAL"/>
    <s v="Valid"/>
    <n v="58022.15"/>
    <n v="52219.934999999998"/>
  </r>
  <r>
    <s v="ORD51197"/>
    <d v="2024-10-07T00:00:00"/>
    <s v="CUST1053"/>
    <s v="P011"/>
    <x v="1"/>
    <s v="Electronics"/>
    <x v="1"/>
    <x v="7"/>
    <n v="3"/>
    <n v="3391.3"/>
    <n v="0.08"/>
    <x v="1194"/>
    <x v="0"/>
    <s v="Debit Card"/>
    <s v="Cancelled"/>
    <x v="4"/>
    <s v="Cancelled"/>
    <s v="Online"/>
    <s v="Debit Card"/>
    <x v="1"/>
    <s v="VALID"/>
    <s v="NORMAL"/>
    <s v="Valid"/>
    <n v="10173.900000000001"/>
    <n v="9359.9880000000012"/>
  </r>
  <r>
    <s v="ORD51198"/>
    <d v="2025-11-27T00:00:00"/>
    <s v="CUST1067"/>
    <s v="P004"/>
    <x v="6"/>
    <s v="Electronics"/>
    <x v="2"/>
    <x v="13"/>
    <n v="3"/>
    <n v="11945.98"/>
    <n v="0.08"/>
    <x v="1195"/>
    <x v="1"/>
    <m/>
    <s v="Completed"/>
    <x v="0"/>
    <s v="Completed"/>
    <s v="Marketplace"/>
    <s v=""/>
    <x v="1"/>
    <s v="VALID"/>
    <s v="NORMAL"/>
    <s v="Valid"/>
    <n v="35837.94"/>
    <n v="32970.904800000004"/>
  </r>
  <r>
    <s v="ORD51199"/>
    <d v="2026-04-16T00:00:00"/>
    <s v="CUST1063"/>
    <s v="P013"/>
    <x v="2"/>
    <s v="Furniture"/>
    <x v="0"/>
    <x v="0"/>
    <n v="3"/>
    <n v="1654.5"/>
    <n v="0.2"/>
    <x v="1196"/>
    <x v="2"/>
    <s v="Cash on Delivery"/>
    <s v="Completed"/>
    <x v="6"/>
    <s v="Completed"/>
    <s v="Store"/>
    <s v="Cash On Delivery"/>
    <x v="2"/>
    <s v="VALID"/>
    <s v="NORMAL"/>
    <s v="Valid"/>
    <n v="4963.5"/>
    <n v="3970.8"/>
  </r>
  <r>
    <s v="ORD51200"/>
    <d v="2025-01-11T00:00:00"/>
    <s v="CUST1231"/>
    <s v="P013"/>
    <x v="2"/>
    <s v="Furniture"/>
    <x v="0"/>
    <x v="2"/>
    <n v="1"/>
    <n v="1534.26"/>
    <n v="0.15"/>
    <x v="1197"/>
    <x v="0"/>
    <s v="Credit Card"/>
    <s v="Completed"/>
    <x v="1"/>
    <s v="Completed"/>
    <s v="Online"/>
    <s v="Credit Card"/>
    <x v="2"/>
    <s v="VALID"/>
    <s v="NORMAL"/>
    <s v="Valid"/>
    <n v="1534.26"/>
    <n v="1304.1210000000001"/>
  </r>
  <r>
    <s v="ORD51201"/>
    <d v="2026-06-01T00:00:00"/>
    <s v="CUST1093"/>
    <s v="P003"/>
    <x v="3"/>
    <s v="Electronics"/>
    <x v="0"/>
    <x v="0"/>
    <n v="5"/>
    <n v="1795.22"/>
    <n v="0.2"/>
    <x v="1198"/>
    <x v="0"/>
    <s v="Net Banking"/>
    <s v="Cancelled"/>
    <x v="7"/>
    <s v="Cancelled"/>
    <s v="Online"/>
    <s v="Net Banking"/>
    <x v="1"/>
    <s v="VALID"/>
    <s v="NORMAL"/>
    <s v="Valid"/>
    <n v="8976.1"/>
    <n v="7180.88"/>
  </r>
  <r>
    <s v="ORD51202"/>
    <d v="2025-12-13T00:00:00"/>
    <s v="CUST1206"/>
    <s v="P011"/>
    <x v="1"/>
    <s v="Electronics"/>
    <x v="2"/>
    <x v="5"/>
    <n v="2"/>
    <n v="2959.67"/>
    <n v="0.2"/>
    <x v="1199"/>
    <x v="1"/>
    <s v="Debit Card"/>
    <s v="Cancelled"/>
    <x v="0"/>
    <s v="Cancelled"/>
    <s v="Marketplace"/>
    <s v="Debit Card"/>
    <x v="1"/>
    <s v="VALID"/>
    <s v="NORMAL"/>
    <s v="Valid"/>
    <n v="5919.34"/>
    <n v="4735.4719999999998"/>
  </r>
  <r>
    <s v="ORD51203"/>
    <d v="2025-07-05T00:00:00"/>
    <s v="CUST1083"/>
    <s v="P004"/>
    <x v="6"/>
    <s v="Electronics"/>
    <x v="1"/>
    <x v="1"/>
    <n v="3"/>
    <n v="12608.18"/>
    <n v="0.08"/>
    <x v="1200"/>
    <x v="2"/>
    <s v="Credit Card"/>
    <s v="Returned"/>
    <x v="0"/>
    <s v="Returned"/>
    <s v="Store"/>
    <s v="Credit Card"/>
    <x v="1"/>
    <s v="VALID"/>
    <s v="NORMAL"/>
    <s v="Valid"/>
    <n v="37824.54"/>
    <n v="34798.576800000003"/>
  </r>
  <r>
    <s v="ORD51204"/>
    <d v="2025-02-19T00:00:00"/>
    <s v="CUST1113"/>
    <s v="P011"/>
    <x v="1"/>
    <s v="Electronics"/>
    <x v="0"/>
    <x v="10"/>
    <n v="4"/>
    <n v="3106.59"/>
    <n v="0.1"/>
    <x v="1201"/>
    <x v="2"/>
    <s v="Cash on Delivery"/>
    <s v="Completed"/>
    <x v="2"/>
    <s v="Completed"/>
    <s v="Store"/>
    <s v="Cash On Delivery"/>
    <x v="1"/>
    <s v="VALID"/>
    <s v="NORMAL"/>
    <s v="Valid"/>
    <n v="12426.36"/>
    <n v="11183.724"/>
  </r>
  <r>
    <s v="ORD51205"/>
    <d v="2026-04-20T00:00:00"/>
    <s v="CUST1210"/>
    <s v="P012"/>
    <x v="0"/>
    <s v="Accessories"/>
    <x v="2"/>
    <x v="5"/>
    <n v="1"/>
    <n v="807.26"/>
    <n v="0.05"/>
    <x v="1202"/>
    <x v="1"/>
    <s v="Debit Card"/>
    <s v="Cancelled"/>
    <x v="1"/>
    <s v="Cancelled"/>
    <s v="Marketplace"/>
    <s v="Debit Card"/>
    <x v="0"/>
    <s v="VALID"/>
    <s v="NORMAL"/>
    <s v="Valid"/>
    <n v="807.26"/>
    <n v="766.89699999999993"/>
  </r>
  <r>
    <s v="ORD51206"/>
    <d v="2024-03-23T00:00:00"/>
    <s v="CUST1067"/>
    <s v="P007"/>
    <x v="11"/>
    <s v="Stationery"/>
    <x v="0"/>
    <x v="10"/>
    <n v="2"/>
    <n v="438.3"/>
    <n v="0.1"/>
    <x v="1203"/>
    <x v="0"/>
    <s v="Net Banking"/>
    <s v="Completed"/>
    <x v="0"/>
    <s v="Completed"/>
    <s v="Online"/>
    <s v="Net Banking"/>
    <x v="3"/>
    <s v="VALID"/>
    <s v="NORMAL"/>
    <s v="Valid"/>
    <n v="876.6"/>
    <n v="788.94"/>
  </r>
  <r>
    <s v="ORD51207"/>
    <d v="2024-10-10T00:00:00"/>
    <s v="CUST1070"/>
    <s v="P005"/>
    <x v="12"/>
    <s v="Furniture"/>
    <x v="1"/>
    <x v="1"/>
    <n v="5"/>
    <n v="8846.19"/>
    <n v="0.05"/>
    <x v="1204"/>
    <x v="2"/>
    <s v="Net Banking"/>
    <s v="Completed"/>
    <x v="4"/>
    <s v="Completed"/>
    <s v="Store"/>
    <s v="Net Banking"/>
    <x v="2"/>
    <s v="VALID"/>
    <s v="NORMAL"/>
    <s v="Valid"/>
    <n v="44230.950000000004"/>
    <n v="42019.402500000004"/>
  </r>
  <r>
    <s v="ORD51208"/>
    <d v="2024-09-09T00:00:00"/>
    <s v="CUST1012"/>
    <s v="P002"/>
    <x v="9"/>
    <s v="Electronics"/>
    <x v="0"/>
    <x v="14"/>
    <n v="5"/>
    <n v="1145.28"/>
    <n v="0.05"/>
    <x v="1205"/>
    <x v="0"/>
    <s v="Debit Card"/>
    <s v="Cancelled"/>
    <x v="6"/>
    <s v="Cancelled"/>
    <s v="Online"/>
    <s v="Debit Card"/>
    <x v="1"/>
    <s v="VALID"/>
    <s v="NORMAL"/>
    <s v="Valid"/>
    <n v="5726.4"/>
    <n v="5440.08"/>
  </r>
  <r>
    <s v="ORD51209"/>
    <d v="2024-06-18T00:00:00"/>
    <s v="CUST1068"/>
    <s v="P009"/>
    <x v="7"/>
    <s v="Accessories"/>
    <x v="1"/>
    <x v="1"/>
    <n v="3"/>
    <n v="1884.11"/>
    <n v="0"/>
    <x v="1206"/>
    <x v="0"/>
    <s v="Credit Card"/>
    <s v="Completed"/>
    <x v="0"/>
    <s v="Completed"/>
    <s v="Online"/>
    <s v="Credit Card"/>
    <x v="0"/>
    <s v="VALID"/>
    <s v="NORMAL"/>
    <s v="Valid"/>
    <n v="5652.33"/>
    <n v="5652.33"/>
  </r>
  <r>
    <s v="ORD51210"/>
    <d v="2026-02-06T00:00:00"/>
    <m/>
    <s v="P001"/>
    <x v="13"/>
    <s v="Electronics"/>
    <x v="0"/>
    <x v="0"/>
    <n v="4"/>
    <n v="60204.77"/>
    <n v="0.1"/>
    <x v="1207"/>
    <x v="1"/>
    <s v="Debit Card"/>
    <s v="Completed"/>
    <x v="0"/>
    <s v="Completed"/>
    <s v="Marketplace"/>
    <s v="Debit Card"/>
    <x v="1"/>
    <s v="VALID"/>
    <s v="NORMAL"/>
    <s v="Valid"/>
    <n v="240819.08"/>
    <n v="216737.17199999999"/>
  </r>
  <r>
    <s v="ORD51211"/>
    <d v="2025-11-14T00:00:00"/>
    <s v="CUST1048"/>
    <s v="P007"/>
    <x v="11"/>
    <s v="Stationery"/>
    <x v="2"/>
    <x v="12"/>
    <n v="1"/>
    <n v="456.39"/>
    <n v="0.2"/>
    <x v="1208"/>
    <x v="1"/>
    <s v="Cash on Delivery"/>
    <s v="Completed"/>
    <x v="5"/>
    <s v="Completed"/>
    <s v="Marketplace"/>
    <s v="Cash On Delivery"/>
    <x v="3"/>
    <s v="VALID"/>
    <s v="NORMAL"/>
    <s v="Valid"/>
    <n v="456.39"/>
    <n v="365.11199999999997"/>
  </r>
  <r>
    <s v="ORD51212"/>
    <d v="2024-02-09T00:00:00"/>
    <s v="CUST1249"/>
    <s v="P015"/>
    <x v="8"/>
    <s v="Accessories"/>
    <x v="2"/>
    <x v="5"/>
    <n v="5"/>
    <n v="704.7"/>
    <n v="0"/>
    <x v="1209"/>
    <x v="0"/>
    <s v="Net Banking"/>
    <s v="Completed"/>
    <x v="6"/>
    <s v="Completed"/>
    <s v="Online"/>
    <s v="Net Banking"/>
    <x v="0"/>
    <s v="VALID"/>
    <s v="NORMAL"/>
    <s v="Valid"/>
    <n v="3523.5"/>
    <n v="3523.5"/>
  </r>
  <r>
    <s v="ORD51213"/>
    <d v="2024-02-04T00:00:00"/>
    <s v="CUST1072"/>
    <s v="P015"/>
    <x v="8"/>
    <s v="Accessories"/>
    <x v="0"/>
    <x v="0"/>
    <n v="5"/>
    <n v="647.29"/>
    <n v="0"/>
    <x v="1210"/>
    <x v="0"/>
    <s v="Net Banking"/>
    <s v="Cancelled"/>
    <x v="4"/>
    <s v="Cancelled"/>
    <s v="Online"/>
    <s v="Net Banking"/>
    <x v="0"/>
    <s v="VALID"/>
    <s v="NORMAL"/>
    <s v="Valid"/>
    <n v="3236.45"/>
    <n v="3236.45"/>
  </r>
  <r>
    <s v="ORD51214"/>
    <d v="2024-02-24T00:00:00"/>
    <s v="CUST1070"/>
    <s v="P010"/>
    <x v="14"/>
    <s v="Electronics"/>
    <x v="2"/>
    <x v="12"/>
    <n v="4"/>
    <n v="2101.21"/>
    <n v="0.05"/>
    <x v="1211"/>
    <x v="2"/>
    <s v="Net Banking"/>
    <s v="Completed"/>
    <x v="8"/>
    <s v="Completed"/>
    <s v="Store"/>
    <s v="Net Banking"/>
    <x v="1"/>
    <s v="VALID"/>
    <s v="NORMAL"/>
    <s v="Valid"/>
    <n v="8404.84"/>
    <n v="7984.598"/>
  </r>
  <r>
    <s v="ORD51215"/>
    <d v="2025-02-22T00:00:00"/>
    <s v="CUST1039"/>
    <s v="P014"/>
    <x v="5"/>
    <s v="Electronics"/>
    <x v="2"/>
    <x v="4"/>
    <n v="1"/>
    <n v="2747.79"/>
    <n v="0.1"/>
    <x v="1212"/>
    <x v="2"/>
    <s v="Debit Card"/>
    <s v="Completed"/>
    <x v="2"/>
    <s v="Completed"/>
    <s v="Store"/>
    <s v="Debit Card"/>
    <x v="1"/>
    <s v="VALID"/>
    <s v="NORMAL"/>
    <s v="Valid"/>
    <n v="2747.79"/>
    <n v="2473.011"/>
  </r>
  <r>
    <s v="ORD51216"/>
    <d v="2024-03-08T00:00:00"/>
    <s v="CUST1183"/>
    <s v="P012"/>
    <x v="0"/>
    <s v="Accessories"/>
    <x v="1"/>
    <x v="7"/>
    <n v="5"/>
    <n v="830.82"/>
    <n v="0.05"/>
    <x v="1213"/>
    <x v="1"/>
    <s v="Cash on Delivery"/>
    <s v="Completed"/>
    <x v="0"/>
    <s v="Completed"/>
    <s v="Marketplace"/>
    <s v="Cash On Delivery"/>
    <x v="0"/>
    <s v="VALID"/>
    <s v="NORMAL"/>
    <s v="Valid"/>
    <n v="4154.1000000000004"/>
    <n v="3946.3950000000004"/>
  </r>
  <r>
    <s v="ORD51217"/>
    <d v="2025-04-01T00:00:00"/>
    <s v="CUST1161"/>
    <s v="P015"/>
    <x v="8"/>
    <s v="Accessories"/>
    <x v="2"/>
    <x v="5"/>
    <n v="1"/>
    <n v="736.83"/>
    <n v="0.05"/>
    <x v="1214"/>
    <x v="2"/>
    <s v="UPI"/>
    <s v="Completed"/>
    <x v="5"/>
    <s v="Completed"/>
    <s v="Store"/>
    <s v="Upi"/>
    <x v="0"/>
    <s v="VALID"/>
    <s v="NORMAL"/>
    <s v="Valid"/>
    <n v="736.83"/>
    <n v="699.98850000000004"/>
  </r>
  <r>
    <s v="ORD51218"/>
    <d v="2026-06-17T00:00:00"/>
    <s v="CUST1240"/>
    <s v="P003"/>
    <x v="3"/>
    <s v="Electronics"/>
    <x v="3"/>
    <x v="15"/>
    <n v="4"/>
    <n v="1907.53"/>
    <n v="0.05"/>
    <x v="1215"/>
    <x v="1"/>
    <s v="Cash on Delivery"/>
    <s v="Cancelled"/>
    <x v="5"/>
    <s v="Cancelled"/>
    <s v="Marketplace"/>
    <s v="Cash On Delivery"/>
    <x v="1"/>
    <s v="VALID"/>
    <s v="NORMAL"/>
    <s v="Valid"/>
    <n v="7630.12"/>
    <n v="7248.6139999999996"/>
  </r>
  <r>
    <s v="ORD51219"/>
    <d v="2025-05-07T00:00:00"/>
    <s v="CUST1112"/>
    <s v="P001"/>
    <x v="13"/>
    <s v="Electronics"/>
    <x v="1"/>
    <x v="7"/>
    <n v="5"/>
    <n v="66576.84"/>
    <n v="0.05"/>
    <x v="1216"/>
    <x v="2"/>
    <s v="Cash on Delivery"/>
    <s v="Cancelled"/>
    <x v="5"/>
    <s v="Cancelled"/>
    <s v="Store"/>
    <s v="Cash On Delivery"/>
    <x v="1"/>
    <s v="VALID"/>
    <s v="NORMAL"/>
    <s v="Valid"/>
    <n v="332884.19999999995"/>
    <n v="316239.98999999993"/>
  </r>
  <r>
    <s v="ORD51220"/>
    <d v="2025-06-09T00:00:00"/>
    <s v="CUST1189"/>
    <s v="P002"/>
    <x v="9"/>
    <s v="Electronics"/>
    <x v="1"/>
    <x v="1"/>
    <n v="1"/>
    <n v="1139.52"/>
    <n v="0.03"/>
    <x v="1217"/>
    <x v="0"/>
    <s v="UPI"/>
    <s v="Completed"/>
    <x v="0"/>
    <s v="Completed"/>
    <s v="Online"/>
    <s v="Upi"/>
    <x v="1"/>
    <s v="VALID"/>
    <s v="NORMAL"/>
    <s v="Valid"/>
    <n v="1139.52"/>
    <n v="1105.3344"/>
  </r>
  <r>
    <s v="ORD51221"/>
    <d v="2025-12-25T00:00:00"/>
    <s v="CUST1019"/>
    <s v="P005"/>
    <x v="12"/>
    <s v="Furniture"/>
    <x v="3"/>
    <x v="9"/>
    <n v="3"/>
    <n v="8999.3799999999992"/>
    <n v="0.15"/>
    <x v="1218"/>
    <x v="2"/>
    <s v="UPI"/>
    <s v="Completed"/>
    <x v="2"/>
    <s v="Completed"/>
    <s v="Store"/>
    <s v="Upi"/>
    <x v="2"/>
    <s v="VALID"/>
    <s v="NORMAL"/>
    <s v="Valid"/>
    <n v="26998.14"/>
    <n v="22948.419000000002"/>
  </r>
  <r>
    <s v="ORD51222"/>
    <d v="2024-07-14T00:00:00"/>
    <s v="CUST1253"/>
    <s v="P012"/>
    <x v="0"/>
    <s v="Accessories"/>
    <x v="3"/>
    <x v="11"/>
    <n v="1"/>
    <n v="866.71"/>
    <n v="0.03"/>
    <x v="1219"/>
    <x v="1"/>
    <s v="Credit Card"/>
    <s v="Completed"/>
    <x v="0"/>
    <s v="Completed"/>
    <s v="Marketplace"/>
    <s v="Credit Card"/>
    <x v="0"/>
    <s v="VALID"/>
    <s v="NORMAL"/>
    <s v="Valid"/>
    <n v="866.71"/>
    <n v="840.70870000000002"/>
  </r>
  <r>
    <s v="ORD51223"/>
    <d v="2024-07-10T00:00:00"/>
    <s v="CUST1066"/>
    <s v="P008"/>
    <x v="4"/>
    <s v="Stationery"/>
    <x v="0"/>
    <x v="0"/>
    <n v="3"/>
    <n v="235.23"/>
    <n v="0"/>
    <x v="1220"/>
    <x v="2"/>
    <s v="Cash on Delivery"/>
    <s v="Completed"/>
    <x v="3"/>
    <s v="Completed"/>
    <s v="Store"/>
    <s v="Cash On Delivery"/>
    <x v="3"/>
    <s v="VALID"/>
    <s v="NORMAL"/>
    <s v="Valid"/>
    <n v="705.68999999999994"/>
    <n v="705.68999999999994"/>
  </r>
  <r>
    <s v="ORD51224"/>
    <d v="2026-04-04T00:00:00"/>
    <s v="CUST1009"/>
    <s v="P015"/>
    <x v="8"/>
    <s v="Accessories"/>
    <x v="0"/>
    <x v="0"/>
    <n v="4"/>
    <n v="743.31"/>
    <n v="0.1"/>
    <x v="1221"/>
    <x v="2"/>
    <s v="Cash on Delivery"/>
    <s v="Cancelled"/>
    <x v="0"/>
    <s v="Cancelled"/>
    <s v="Store"/>
    <s v="Cash On Delivery"/>
    <x v="0"/>
    <s v="VALID"/>
    <s v="NORMAL"/>
    <s v="Valid"/>
    <n v="2973.24"/>
    <n v="2675.9159999999997"/>
  </r>
  <r>
    <s v="ORD51225"/>
    <d v="2024-12-09T00:00:00"/>
    <s v="CUST1028"/>
    <s v="P006"/>
    <x v="10"/>
    <s v="Furniture"/>
    <x v="2"/>
    <x v="12"/>
    <n v="2"/>
    <n v="7708.12"/>
    <n v="0.05"/>
    <x v="1222"/>
    <x v="0"/>
    <s v="Credit Card"/>
    <s v="Completed"/>
    <x v="1"/>
    <s v="Completed"/>
    <s v="Online"/>
    <s v="Credit Card"/>
    <x v="2"/>
    <s v="VALID"/>
    <s v="NORMAL"/>
    <s v="Valid"/>
    <n v="15416.24"/>
    <n v="14645.428"/>
  </r>
  <r>
    <s v="ORD51226"/>
    <d v="2025-09-22T00:00:00"/>
    <s v="CUST1177"/>
    <s v="P014"/>
    <x v="5"/>
    <s v="Electronics"/>
    <x v="0"/>
    <x v="14"/>
    <n v="3"/>
    <n v="2940.73"/>
    <n v="0.03"/>
    <x v="1223"/>
    <x v="2"/>
    <s v="Cash on Delivery"/>
    <s v="Cancelled"/>
    <x v="4"/>
    <s v="Cancelled"/>
    <s v="Store"/>
    <s v="Cash On Delivery"/>
    <x v="1"/>
    <s v="VALID"/>
    <s v="NORMAL"/>
    <s v="Valid"/>
    <n v="8822.19"/>
    <n v="8557.5243000000009"/>
  </r>
  <r>
    <s v="ORD51227"/>
    <d v="2024-12-26T00:00:00"/>
    <s v="CUST1040"/>
    <s v="P001"/>
    <x v="13"/>
    <s v="Electronics"/>
    <x v="2"/>
    <x v="12"/>
    <n v="4"/>
    <n v="65259.47"/>
    <n v="0.03"/>
    <x v="1224"/>
    <x v="0"/>
    <s v="Credit Card"/>
    <s v="Cancelled"/>
    <x v="0"/>
    <s v="Cancelled"/>
    <s v="Online"/>
    <s v="Credit Card"/>
    <x v="1"/>
    <s v="VALID"/>
    <s v="NORMAL"/>
    <s v="Valid"/>
    <n v="261037.88"/>
    <n v="253206.74360000002"/>
  </r>
  <r>
    <s v="ORD51228"/>
    <d v="2026-03-31T00:00:00"/>
    <s v="CUST1102"/>
    <s v="P013"/>
    <x v="2"/>
    <s v="Furniture"/>
    <x v="1"/>
    <x v="1"/>
    <n v="3"/>
    <n v="1703.19"/>
    <n v="0.2"/>
    <x v="1225"/>
    <x v="1"/>
    <s v="Credit Card"/>
    <s v="Completed"/>
    <x v="5"/>
    <s v="Completed"/>
    <s v="Marketplace"/>
    <s v="Credit Card"/>
    <x v="2"/>
    <s v="VALID"/>
    <s v="NORMAL"/>
    <s v="Valid"/>
    <n v="5109.57"/>
    <n v="4087.6559999999999"/>
  </r>
  <r>
    <s v="ORD51229"/>
    <d v="2025-02-17T00:00:00"/>
    <s v="CUST1200"/>
    <s v="P014"/>
    <x v="5"/>
    <s v="Electronics"/>
    <x v="2"/>
    <x v="4"/>
    <n v="5"/>
    <n v="2666.49"/>
    <n v="0.1"/>
    <x v="1226"/>
    <x v="1"/>
    <s v="Net Banking"/>
    <s v="Returned"/>
    <x v="6"/>
    <s v="Returned"/>
    <s v="Marketplace"/>
    <s v="Net Banking"/>
    <x v="1"/>
    <s v="VALID"/>
    <s v="NORMAL"/>
    <s v="Valid"/>
    <n v="13332.449999999999"/>
    <n v="11999.204999999998"/>
  </r>
  <r>
    <s v="ORD51230"/>
    <d v="2025-08-30T00:00:00"/>
    <s v="CUST1070"/>
    <s v="P008"/>
    <x v="4"/>
    <s v="Stationery"/>
    <x v="1"/>
    <x v="6"/>
    <n v="1"/>
    <n v="235.63"/>
    <n v="0.08"/>
    <x v="1227"/>
    <x v="2"/>
    <s v="Cash on Delivery"/>
    <s v="Completed"/>
    <x v="4"/>
    <s v="Completed"/>
    <s v="Store"/>
    <s v="Cash On Delivery"/>
    <x v="3"/>
    <s v="VALID"/>
    <s v="NORMAL"/>
    <s v="Valid"/>
    <n v="235.63"/>
    <n v="216.77959999999999"/>
  </r>
  <r>
    <s v="ORD51231"/>
    <d v="2024-04-18T00:00:00"/>
    <s v="CUST1125"/>
    <s v="P006"/>
    <x v="10"/>
    <s v="Furniture"/>
    <x v="2"/>
    <x v="12"/>
    <n v="1"/>
    <n v="6891.55"/>
    <n v="0.08"/>
    <x v="1228"/>
    <x v="1"/>
    <s v="Cash on Delivery"/>
    <s v="Completed"/>
    <x v="4"/>
    <s v="Completed"/>
    <s v="Marketplace"/>
    <s v="Cash On Delivery"/>
    <x v="2"/>
    <s v="VALID"/>
    <s v="NORMAL"/>
    <s v="Valid"/>
    <n v="6891.55"/>
    <n v="6340.2260000000006"/>
  </r>
  <r>
    <s v="ORD51232"/>
    <d v="2026-03-29T00:00:00"/>
    <s v="CUST1006"/>
    <s v="P015"/>
    <x v="8"/>
    <s v="Accessories"/>
    <x v="2"/>
    <x v="12"/>
    <n v="3"/>
    <n v="730.87"/>
    <n v="0"/>
    <x v="1229"/>
    <x v="2"/>
    <s v="Debit Card"/>
    <s v="Completed"/>
    <x v="6"/>
    <s v="Completed"/>
    <s v="Store"/>
    <s v="Debit Card"/>
    <x v="0"/>
    <s v="VALID"/>
    <s v="NORMAL"/>
    <s v="Valid"/>
    <n v="2192.61"/>
    <n v="2192.61"/>
  </r>
  <r>
    <s v="ORD51233"/>
    <d v="2025-01-03T00:00:00"/>
    <s v="CUST1252"/>
    <s v="P013"/>
    <x v="2"/>
    <s v="Furniture"/>
    <x v="3"/>
    <x v="11"/>
    <n v="3"/>
    <n v="1656.25"/>
    <n v="0.05"/>
    <x v="1230"/>
    <x v="1"/>
    <s v="UPI"/>
    <s v="Completed"/>
    <x v="2"/>
    <s v="Completed"/>
    <s v="Marketplace"/>
    <s v="Upi"/>
    <x v="2"/>
    <s v="VALID"/>
    <s v="NORMAL"/>
    <s v="Valid"/>
    <n v="4968.75"/>
    <n v="4720.3125"/>
  </r>
  <r>
    <s v="ORD51234"/>
    <d v="2024-01-03T00:00:00"/>
    <s v="CUST1078"/>
    <s v="P009"/>
    <x v="7"/>
    <s v="Accessories"/>
    <x v="3"/>
    <x v="9"/>
    <n v="3"/>
    <n v="1860.44"/>
    <n v="0.15"/>
    <x v="1231"/>
    <x v="2"/>
    <s v="Net Banking"/>
    <s v="Completed"/>
    <x v="2"/>
    <s v="Completed"/>
    <s v="Store"/>
    <s v="Net Banking"/>
    <x v="0"/>
    <s v="VALID"/>
    <s v="NORMAL"/>
    <s v="Valid"/>
    <n v="5581.32"/>
    <n v="4744.1219999999994"/>
  </r>
  <r>
    <s v="ORD51235"/>
    <d v="2025-06-12T00:00:00"/>
    <s v="CUST1108"/>
    <s v="P004"/>
    <x v="6"/>
    <s v="Electronics"/>
    <x v="2"/>
    <x v="4"/>
    <n v="5"/>
    <n v="11989.98"/>
    <n v="0"/>
    <x v="1232"/>
    <x v="2"/>
    <s v="Net Banking"/>
    <s v="Completed"/>
    <x v="5"/>
    <s v="Completed"/>
    <s v="Store"/>
    <s v="Net Banking"/>
    <x v="1"/>
    <s v="VALID"/>
    <s v="NORMAL"/>
    <s v="Valid"/>
    <n v="59949.899999999994"/>
    <n v="59949.899999999994"/>
  </r>
  <r>
    <s v="ORD51236"/>
    <d v="2025-10-27T00:00:00"/>
    <s v="CUST1180"/>
    <s v="P005"/>
    <x v="12"/>
    <s v="Furniture"/>
    <x v="1"/>
    <x v="1"/>
    <n v="5"/>
    <n v="9638.5400000000009"/>
    <n v="0.1"/>
    <x v="1233"/>
    <x v="0"/>
    <s v="Debit Card"/>
    <s v="Cancelled"/>
    <x v="1"/>
    <s v="Cancelled"/>
    <s v="Online"/>
    <s v="Debit Card"/>
    <x v="2"/>
    <s v="VALID"/>
    <s v="NORMAL"/>
    <s v="Valid"/>
    <n v="48192.700000000004"/>
    <n v="43373.430000000008"/>
  </r>
  <r>
    <s v="ORD51237"/>
    <d v="2025-02-20T00:00:00"/>
    <s v="CUST1112"/>
    <s v="P001"/>
    <x v="13"/>
    <s v="Electronics"/>
    <x v="0"/>
    <x v="2"/>
    <n v="5"/>
    <n v="64917.72"/>
    <n v="0.15"/>
    <x v="1234"/>
    <x v="0"/>
    <s v="Credit Card"/>
    <s v="Returned"/>
    <x v="7"/>
    <s v="Returned"/>
    <s v="Online"/>
    <s v="Credit Card"/>
    <x v="1"/>
    <s v="VALID"/>
    <s v="NORMAL"/>
    <s v="Valid"/>
    <n v="324588.59999999998"/>
    <n v="275900.31"/>
  </r>
  <r>
    <s v="ORD51238"/>
    <d v="2024-06-04T00:00:00"/>
    <s v="CUST1110"/>
    <s v="P001"/>
    <x v="13"/>
    <s v="Electronics"/>
    <x v="2"/>
    <x v="4"/>
    <m/>
    <n v="64560.94"/>
    <n v="0.15"/>
    <x v="1235"/>
    <x v="1"/>
    <s v="Credit Card"/>
    <s v="Cancelled"/>
    <x v="0"/>
    <s v="Cancelled"/>
    <s v="Marketplace"/>
    <s v="Credit Card"/>
    <x v="1"/>
    <s v="INVALID"/>
    <s v="NORMAL"/>
    <s v="Valid"/>
    <n v="0"/>
    <n v="0"/>
  </r>
  <r>
    <s v="ORD51239"/>
    <d v="2024-08-01T00:00:00"/>
    <s v="CUST1180"/>
    <s v="P015"/>
    <x v="8"/>
    <s v="Accessories"/>
    <x v="2"/>
    <x v="13"/>
    <n v="3"/>
    <n v="688.04"/>
    <n v="0.08"/>
    <x v="1236"/>
    <x v="1"/>
    <s v="Cash on Delivery"/>
    <s v="Returned"/>
    <x v="6"/>
    <s v="Returned"/>
    <s v="Marketplace"/>
    <s v="Cash On Delivery"/>
    <x v="0"/>
    <s v="VALID"/>
    <s v="NORMAL"/>
    <s v="Valid"/>
    <n v="2064.12"/>
    <n v="1898.9903999999999"/>
  </r>
  <r>
    <s v="ORD51240"/>
    <d v="2025-10-03T00:00:00"/>
    <s v="CUST1103"/>
    <s v="P012"/>
    <x v="0"/>
    <s v="Accessories"/>
    <x v="1"/>
    <x v="1"/>
    <n v="1"/>
    <n v="860.49"/>
    <n v="0.1"/>
    <x v="1237"/>
    <x v="1"/>
    <s v="Net Banking"/>
    <s v="Completed"/>
    <x v="5"/>
    <s v="Completed"/>
    <s v="Marketplace"/>
    <s v="Net Banking"/>
    <x v="0"/>
    <s v="VALID"/>
    <s v="NORMAL"/>
    <s v="Valid"/>
    <n v="860.49"/>
    <n v="774.44100000000003"/>
  </r>
  <r>
    <s v="ORD51241"/>
    <d v="2024-03-30T00:00:00"/>
    <s v="CUST1142"/>
    <s v="P010"/>
    <x v="14"/>
    <s v="Electronics"/>
    <x v="3"/>
    <x v="9"/>
    <n v="2"/>
    <n v="2290.09"/>
    <n v="0.03"/>
    <x v="1238"/>
    <x v="1"/>
    <s v="Credit Card"/>
    <s v="Completed"/>
    <x v="4"/>
    <s v="Completed"/>
    <s v="Marketplace"/>
    <s v="Credit Card"/>
    <x v="1"/>
    <s v="VALID"/>
    <s v="NORMAL"/>
    <s v="Valid"/>
    <n v="4580.18"/>
    <n v="4442.7746000000006"/>
  </r>
  <r>
    <s v="ORD51242"/>
    <d v="2024-04-26T00:00:00"/>
    <s v="CUST1008"/>
    <s v="P007"/>
    <x v="11"/>
    <s v="Stationery"/>
    <x v="2"/>
    <x v="13"/>
    <n v="5"/>
    <n v="484.59"/>
    <n v="0"/>
    <x v="1239"/>
    <x v="0"/>
    <s v="Debit Card"/>
    <s v="Returned"/>
    <x v="2"/>
    <s v="Returned"/>
    <s v="Online"/>
    <s v="Debit Card"/>
    <x v="3"/>
    <s v="VALID"/>
    <s v="NORMAL"/>
    <s v="Valid"/>
    <n v="2422.9499999999998"/>
    <n v="2422.9499999999998"/>
  </r>
  <r>
    <s v="ORD51243"/>
    <d v="2024-12-03T00:00:00"/>
    <s v="CUST1128"/>
    <s v="P007"/>
    <x v="11"/>
    <s v="Stationery"/>
    <x v="1"/>
    <x v="3"/>
    <n v="5"/>
    <n v="414.64"/>
    <n v="0"/>
    <x v="1240"/>
    <x v="0"/>
    <s v="Debit Card"/>
    <s v="Returned"/>
    <x v="0"/>
    <s v="Returned"/>
    <s v="Online"/>
    <s v="Debit Card"/>
    <x v="3"/>
    <s v="VALID"/>
    <s v="NORMAL"/>
    <s v="Valid"/>
    <n v="2073.1999999999998"/>
    <n v="2073.1999999999998"/>
  </r>
  <r>
    <s v="ORD51244"/>
    <d v="2026-06-21T00:00:00"/>
    <s v="CUST1169"/>
    <s v="P010"/>
    <x v="14"/>
    <s v="Electronics"/>
    <x v="3"/>
    <x v="8"/>
    <n v="4"/>
    <n v="2051.0700000000002"/>
    <n v="0.1"/>
    <x v="1241"/>
    <x v="1"/>
    <s v="UPI"/>
    <s v="Completed"/>
    <x v="6"/>
    <s v="Completed"/>
    <s v="Marketplace"/>
    <s v="Upi"/>
    <x v="1"/>
    <s v="VALID"/>
    <s v="NORMAL"/>
    <s v="Valid"/>
    <n v="8204.2800000000007"/>
    <n v="7383.8520000000008"/>
  </r>
  <r>
    <s v="ORD51245"/>
    <d v="2026-03-23T00:00:00"/>
    <s v="CUST1121"/>
    <s v="P015"/>
    <x v="8"/>
    <s v="Accessories"/>
    <x v="3"/>
    <x v="11"/>
    <n v="1"/>
    <n v="655.43"/>
    <n v="0.1"/>
    <x v="1242"/>
    <x v="2"/>
    <s v="Net Banking"/>
    <s v="Completed"/>
    <x v="4"/>
    <s v="Completed"/>
    <s v="Store"/>
    <s v="Net Banking"/>
    <x v="0"/>
    <s v="VALID"/>
    <s v="NORMAL"/>
    <s v="Valid"/>
    <n v="655.43"/>
    <n v="589.88699999999994"/>
  </r>
  <r>
    <s v="ORD51246"/>
    <d v="2024-08-29T00:00:00"/>
    <s v="CUST1116"/>
    <s v="P014"/>
    <x v="5"/>
    <s v="Electronics"/>
    <x v="1"/>
    <x v="6"/>
    <n v="3"/>
    <n v="2960.82"/>
    <n v="0"/>
    <x v="1243"/>
    <x v="1"/>
    <s v="Debit Card"/>
    <s v="Completed"/>
    <x v="3"/>
    <s v="Completed"/>
    <s v="Marketplace"/>
    <s v="Debit Card"/>
    <x v="1"/>
    <s v="VALID"/>
    <s v="NORMAL"/>
    <s v="Valid"/>
    <n v="8882.4600000000009"/>
    <n v="8882.4600000000009"/>
  </r>
  <r>
    <s v="ORD51247"/>
    <d v="2024-07-24T00:00:00"/>
    <s v="CUST1047"/>
    <s v="P014"/>
    <x v="5"/>
    <s v="Electronics"/>
    <x v="1"/>
    <x v="6"/>
    <n v="1"/>
    <n v="2911.42"/>
    <n v="0.15"/>
    <x v="1244"/>
    <x v="1"/>
    <s v="Credit Card"/>
    <s v="Cancelled"/>
    <x v="3"/>
    <s v="Cancelled"/>
    <s v="Marketplace"/>
    <s v="Credit Card"/>
    <x v="1"/>
    <s v="VALID"/>
    <s v="NORMAL"/>
    <s v="Valid"/>
    <n v="2911.42"/>
    <n v="2474.7069999999999"/>
  </r>
  <r>
    <s v="ORD51248"/>
    <d v="2024-01-24T00:00:00"/>
    <s v="CUST1095"/>
    <s v="P012"/>
    <x v="0"/>
    <s v="Accessories"/>
    <x v="2"/>
    <x v="12"/>
    <n v="5"/>
    <n v="863.72"/>
    <n v="0.15"/>
    <x v="1245"/>
    <x v="2"/>
    <s v="Credit Card"/>
    <s v="Completed"/>
    <x v="1"/>
    <s v="Completed"/>
    <s v="Store"/>
    <s v="Credit Card"/>
    <x v="0"/>
    <s v="VALID"/>
    <s v="NORMAL"/>
    <s v="Valid"/>
    <n v="4318.6000000000004"/>
    <n v="3670.8100000000004"/>
  </r>
  <r>
    <s v="ORD51249"/>
    <d v="2026-04-07T00:00:00"/>
    <s v="CUST1033"/>
    <s v="P015"/>
    <x v="8"/>
    <s v="Accessories"/>
    <x v="3"/>
    <x v="11"/>
    <n v="4"/>
    <n v="749.02"/>
    <n v="0.2"/>
    <x v="1246"/>
    <x v="2"/>
    <s v="Net Banking"/>
    <s v="Completed"/>
    <x v="2"/>
    <s v="Completed"/>
    <s v="Store"/>
    <s v="Net Banking"/>
    <x v="0"/>
    <s v="VALID"/>
    <s v="NORMAL"/>
    <s v="Valid"/>
    <n v="2996.08"/>
    <n v="2396.864"/>
  </r>
  <r>
    <s v="ORD51250"/>
    <d v="2024-12-28T00:00:00"/>
    <s v="CUST1242"/>
    <s v="P006"/>
    <x v="10"/>
    <s v="Furniture"/>
    <x v="0"/>
    <x v="14"/>
    <n v="2"/>
    <n v="7290.71"/>
    <n v="0.05"/>
    <x v="1247"/>
    <x v="1"/>
    <s v="UPI"/>
    <s v="Returned"/>
    <x v="5"/>
    <s v="Returned"/>
    <s v="Marketplace"/>
    <s v="Upi"/>
    <x v="2"/>
    <s v="VALID"/>
    <s v="NORMAL"/>
    <s v="Valid"/>
    <n v="14581.42"/>
    <n v="13852.349"/>
  </r>
  <r>
    <s v="ORD51251"/>
    <d v="2024-02-07T00:00:00"/>
    <s v="CUST1182"/>
    <s v="P006"/>
    <x v="10"/>
    <s v="Furniture"/>
    <x v="2"/>
    <x v="4"/>
    <n v="3"/>
    <n v="7325.32"/>
    <n v="0.15"/>
    <x v="1248"/>
    <x v="2"/>
    <s v="Cash on Delivery"/>
    <s v="Completed"/>
    <x v="5"/>
    <s v="Completed"/>
    <s v="Store"/>
    <s v="Cash On Delivery"/>
    <x v="2"/>
    <s v="VALID"/>
    <s v="NORMAL"/>
    <s v="Valid"/>
    <n v="21975.96"/>
    <n v="18679.565999999999"/>
  </r>
  <r>
    <s v="ORD51252"/>
    <d v="2026-04-03T00:00:00"/>
    <s v="CUST1018"/>
    <s v="P001"/>
    <x v="13"/>
    <s v="Electronics"/>
    <x v="1"/>
    <x v="1"/>
    <n v="1"/>
    <n v="62487.45"/>
    <n v="0.15"/>
    <x v="1249"/>
    <x v="0"/>
    <s v="Debit Card"/>
    <s v="Completed"/>
    <x v="4"/>
    <s v="Completed"/>
    <s v="Online"/>
    <s v="Debit Card"/>
    <x v="1"/>
    <s v="VALID"/>
    <s v="NORMAL"/>
    <s v="Valid"/>
    <n v="62487.45"/>
    <n v="53114.332499999997"/>
  </r>
  <r>
    <s v="ORD51253"/>
    <d v="2025-02-02T00:00:00"/>
    <s v="CUST1074"/>
    <s v="P012"/>
    <x v="0"/>
    <s v="Accessories"/>
    <x v="2"/>
    <x v="13"/>
    <n v="2"/>
    <n v="817.26"/>
    <n v="0.03"/>
    <x v="1250"/>
    <x v="0"/>
    <s v="Net Banking"/>
    <s v="Completed"/>
    <x v="6"/>
    <s v="Completed"/>
    <s v="Online"/>
    <s v="Net Banking"/>
    <x v="0"/>
    <s v="VALID"/>
    <s v="NORMAL"/>
    <s v="Valid"/>
    <n v="1634.52"/>
    <n v="1585.4844000000001"/>
  </r>
  <r>
    <s v="ORD51254"/>
    <d v="2025-07-05T00:00:00"/>
    <s v="CUST1036"/>
    <s v="P010"/>
    <x v="14"/>
    <s v="Electronics"/>
    <x v="0"/>
    <x v="2"/>
    <n v="5"/>
    <n v="2096.66"/>
    <n v="0.03"/>
    <x v="1251"/>
    <x v="1"/>
    <s v="UPI"/>
    <s v="Completed"/>
    <x v="7"/>
    <s v="Completed"/>
    <s v="Marketplace"/>
    <s v="Upi"/>
    <x v="1"/>
    <s v="VALID"/>
    <s v="NORMAL"/>
    <s v="Valid"/>
    <n v="10483.299999999999"/>
    <n v="10168.800999999999"/>
  </r>
  <r>
    <s v="ORD51255"/>
    <d v="2024-07-19T00:00:00"/>
    <s v="CUST1231"/>
    <s v="P008"/>
    <x v="4"/>
    <s v="Stationery"/>
    <x v="0"/>
    <x v="10"/>
    <n v="3"/>
    <n v="224.36"/>
    <n v="0.08"/>
    <x v="1252"/>
    <x v="1"/>
    <s v="Credit Card"/>
    <s v="Returned"/>
    <x v="0"/>
    <s v="Returned"/>
    <s v="Marketplace"/>
    <s v="Credit Card"/>
    <x v="3"/>
    <s v="VALID"/>
    <s v="NORMAL"/>
    <s v="Valid"/>
    <n v="673.08"/>
    <n v="619.23360000000002"/>
  </r>
  <r>
    <s v="ORD51256"/>
    <d v="2024-07-14T00:00:00"/>
    <s v="CUST1148"/>
    <s v="P012"/>
    <x v="0"/>
    <s v="Accessories"/>
    <x v="3"/>
    <x v="8"/>
    <n v="2"/>
    <n v="835.25"/>
    <n v="0.05"/>
    <x v="1253"/>
    <x v="0"/>
    <s v="Credit Card"/>
    <s v="Completed"/>
    <x v="2"/>
    <s v="Completed"/>
    <s v="Online"/>
    <s v="Credit Card"/>
    <x v="0"/>
    <s v="VALID"/>
    <s v="NORMAL"/>
    <s v="Valid"/>
    <n v="1670.5"/>
    <n v="1586.9749999999999"/>
  </r>
  <r>
    <s v="ORD51257"/>
    <d v="2026-04-17T00:00:00"/>
    <s v="CUST1179"/>
    <s v="P006"/>
    <x v="10"/>
    <s v="Furniture"/>
    <x v="2"/>
    <x v="4"/>
    <n v="4"/>
    <n v="7748.49"/>
    <n v="0.15"/>
    <x v="1254"/>
    <x v="0"/>
    <s v="UPI"/>
    <s v="Completed"/>
    <x v="6"/>
    <s v="Completed"/>
    <s v="Online"/>
    <s v="Upi"/>
    <x v="2"/>
    <s v="VALID"/>
    <s v="NORMAL"/>
    <s v="Valid"/>
    <n v="30993.96"/>
    <n v="26344.865999999998"/>
  </r>
  <r>
    <s v="ORD51258"/>
    <d v="2026-05-29T00:00:00"/>
    <s v="CUST1051"/>
    <s v="P011"/>
    <x v="1"/>
    <s v="Electronics"/>
    <x v="0"/>
    <x v="0"/>
    <n v="2"/>
    <n v="3220.3"/>
    <n v="0.1"/>
    <x v="1255"/>
    <x v="1"/>
    <s v="Cash on Delivery"/>
    <s v="Cancelled"/>
    <x v="0"/>
    <s v="Cancelled"/>
    <s v="Marketplace"/>
    <s v="Cash On Delivery"/>
    <x v="1"/>
    <s v="VALID"/>
    <s v="NORMAL"/>
    <s v="Valid"/>
    <n v="6440.6"/>
    <n v="5796.54"/>
  </r>
  <r>
    <s v="ORD51259"/>
    <d v="2024-08-06T00:00:00"/>
    <s v="CUST1102"/>
    <s v="P009"/>
    <x v="7"/>
    <s v="Accessories"/>
    <x v="0"/>
    <x v="2"/>
    <n v="3"/>
    <n v="1729.34"/>
    <n v="0.03"/>
    <x v="1256"/>
    <x v="1"/>
    <s v="Cash on Delivery"/>
    <s v="Completed"/>
    <x v="2"/>
    <s v="Completed"/>
    <s v="Marketplace"/>
    <s v="Cash On Delivery"/>
    <x v="0"/>
    <s v="VALID"/>
    <s v="NORMAL"/>
    <s v="Valid"/>
    <n v="5188.0199999999995"/>
    <n v="5032.3793999999998"/>
  </r>
  <r>
    <s v="ORD51260"/>
    <d v="2024-01-31T00:00:00"/>
    <s v="CUST1174"/>
    <s v="P009"/>
    <x v="7"/>
    <s v="Accessories"/>
    <x v="2"/>
    <x v="13"/>
    <n v="1"/>
    <n v="1763.68"/>
    <n v="0.2"/>
    <x v="1257"/>
    <x v="2"/>
    <s v="Net Banking"/>
    <s v="Completed"/>
    <x v="6"/>
    <s v="Completed"/>
    <s v="Store"/>
    <s v="Net Banking"/>
    <x v="0"/>
    <s v="VALID"/>
    <s v="NORMAL"/>
    <s v="Valid"/>
    <n v="1763.68"/>
    <n v="1410.944"/>
  </r>
  <r>
    <s v="ORD51261"/>
    <d v="2024-06-21T00:00:00"/>
    <s v="CUST1030"/>
    <s v="P011"/>
    <x v="1"/>
    <s v="Electronics"/>
    <x v="1"/>
    <x v="3"/>
    <n v="5"/>
    <n v="3417.39"/>
    <n v="0"/>
    <x v="1258"/>
    <x v="1"/>
    <s v="UPI"/>
    <s v="Completed"/>
    <x v="0"/>
    <s v="Completed"/>
    <s v="Marketplace"/>
    <s v="Upi"/>
    <x v="1"/>
    <s v="VALID"/>
    <s v="NORMAL"/>
    <s v="Valid"/>
    <n v="17086.95"/>
    <n v="17086.95"/>
  </r>
  <r>
    <s v="ORD51262"/>
    <d v="2025-07-23T00:00:00"/>
    <s v="CUST1085"/>
    <s v="P012"/>
    <x v="0"/>
    <s v="Accessories"/>
    <x v="3"/>
    <x v="11"/>
    <n v="3"/>
    <n v="809.57"/>
    <n v="0.08"/>
    <x v="1259"/>
    <x v="0"/>
    <s v="Cash on Delivery"/>
    <s v="Returned"/>
    <x v="1"/>
    <s v="Returned"/>
    <s v="Online"/>
    <s v="Cash On Delivery"/>
    <x v="0"/>
    <s v="VALID"/>
    <s v="NORMAL"/>
    <s v="Valid"/>
    <n v="2428.71"/>
    <n v="2234.4132"/>
  </r>
  <r>
    <s v="ORD51263"/>
    <d v="2025-10-02T00:00:00"/>
    <s v="CUST1097"/>
    <s v="P009"/>
    <x v="7"/>
    <s v="Accessories"/>
    <x v="1"/>
    <x v="7"/>
    <n v="2"/>
    <n v="1770.56"/>
    <n v="0.2"/>
    <x v="1260"/>
    <x v="2"/>
    <s v="Cash on Delivery"/>
    <s v="Completed"/>
    <x v="1"/>
    <s v="Completed"/>
    <s v="Store"/>
    <s v="Cash On Delivery"/>
    <x v="0"/>
    <s v="VALID"/>
    <s v="NORMAL"/>
    <s v="Valid"/>
    <n v="3541.12"/>
    <n v="2832.8959999999997"/>
  </r>
  <r>
    <s v="ORD51264"/>
    <d v="2026-05-26T00:00:00"/>
    <s v="CUST1217"/>
    <s v="P011"/>
    <x v="1"/>
    <s v="Electronics"/>
    <x v="2"/>
    <x v="12"/>
    <n v="1"/>
    <n v="3285.91"/>
    <n v="0.2"/>
    <x v="1261"/>
    <x v="0"/>
    <s v="Credit Card"/>
    <s v="Completed"/>
    <x v="4"/>
    <s v="Completed"/>
    <s v="Online"/>
    <s v="Credit Card"/>
    <x v="1"/>
    <s v="VALID"/>
    <s v="NORMAL"/>
    <s v="Valid"/>
    <n v="3285.91"/>
    <n v="2628.7280000000001"/>
  </r>
  <r>
    <s v="ORD51265"/>
    <d v="2025-10-26T00:00:00"/>
    <s v="CUST1108"/>
    <s v="P013"/>
    <x v="2"/>
    <s v="Furniture"/>
    <x v="3"/>
    <x v="15"/>
    <n v="3"/>
    <n v="1679.86"/>
    <n v="0"/>
    <x v="1262"/>
    <x v="0"/>
    <s v="Cash on Delivery"/>
    <s v="Cancelled"/>
    <x v="1"/>
    <s v="Cancelled"/>
    <s v="Online"/>
    <s v="Cash On Delivery"/>
    <x v="2"/>
    <s v="VALID"/>
    <s v="NORMAL"/>
    <s v="Valid"/>
    <n v="5039.58"/>
    <n v="5039.58"/>
  </r>
  <r>
    <s v="ORD51266"/>
    <d v="2024-10-26T00:00:00"/>
    <s v="CUST1210"/>
    <s v="P002"/>
    <x v="9"/>
    <s v="Electronics"/>
    <x v="1"/>
    <x v="7"/>
    <n v="2"/>
    <n v="1130.4100000000001"/>
    <n v="0.03"/>
    <x v="1263"/>
    <x v="0"/>
    <s v="UPI"/>
    <s v="Completed"/>
    <x v="5"/>
    <s v="Completed"/>
    <s v="Online"/>
    <s v="Upi"/>
    <x v="1"/>
    <s v="VALID"/>
    <s v="NORMAL"/>
    <s v="Valid"/>
    <n v="2260.8200000000002"/>
    <n v="2192.9954000000002"/>
  </r>
  <r>
    <s v="ORD51267"/>
    <d v="2025-02-01T00:00:00"/>
    <s v="CUST1055"/>
    <s v="P010"/>
    <x v="14"/>
    <s v="Electronics"/>
    <x v="3"/>
    <x v="16"/>
    <n v="2"/>
    <n v="2349.1999999999998"/>
    <n v="0.08"/>
    <x v="1264"/>
    <x v="2"/>
    <s v="Cash on Delivery"/>
    <s v="Returned"/>
    <x v="4"/>
    <s v="Returned"/>
    <s v="Store"/>
    <s v="Cash On Delivery"/>
    <x v="1"/>
    <s v="VALID"/>
    <s v="NORMAL"/>
    <s v="Valid"/>
    <n v="4698.3999999999996"/>
    <n v="4322.5279999999993"/>
  </r>
  <r>
    <s v="ORD51268"/>
    <d v="2024-04-10T00:00:00"/>
    <s v="CUST1196"/>
    <s v="P015"/>
    <x v="8"/>
    <s v="Accessories"/>
    <x v="1"/>
    <x v="1"/>
    <n v="2"/>
    <n v="718.86"/>
    <n v="0.08"/>
    <x v="1265"/>
    <x v="1"/>
    <s v="UPI"/>
    <s v="Completed"/>
    <x v="5"/>
    <s v="Completed"/>
    <s v="Marketplace"/>
    <s v="Upi"/>
    <x v="0"/>
    <s v="VALID"/>
    <s v="NORMAL"/>
    <s v="Valid"/>
    <n v="1437.72"/>
    <n v="1322.7024000000001"/>
  </r>
  <r>
    <s v="ORD51269"/>
    <d v="2024-06-10T00:00:00"/>
    <s v="CUST1246"/>
    <s v="P015"/>
    <x v="8"/>
    <s v="Accessories"/>
    <x v="2"/>
    <x v="13"/>
    <n v="2"/>
    <n v="662.79"/>
    <n v="0"/>
    <x v="1266"/>
    <x v="0"/>
    <s v="Net Banking"/>
    <s v="Completed"/>
    <x v="3"/>
    <s v="Completed"/>
    <s v="Online"/>
    <s v="Net Banking"/>
    <x v="0"/>
    <s v="VALID"/>
    <s v="NORMAL"/>
    <s v="Valid"/>
    <n v="1325.58"/>
    <n v="1325.58"/>
  </r>
  <r>
    <s v="ORD51270"/>
    <d v="2024-12-22T00:00:00"/>
    <s v="CUST1210"/>
    <s v="P001"/>
    <x v="13"/>
    <s v="Electronics"/>
    <x v="3"/>
    <x v="8"/>
    <n v="3"/>
    <n v="61239.26"/>
    <n v="0.05"/>
    <x v="1267"/>
    <x v="2"/>
    <s v="Cash on Delivery"/>
    <s v="Completed"/>
    <x v="0"/>
    <s v="Completed"/>
    <s v="Store"/>
    <s v="Cash On Delivery"/>
    <x v="1"/>
    <s v="VALID"/>
    <s v="NORMAL"/>
    <s v="Valid"/>
    <n v="183717.78"/>
    <n v="174531.891"/>
  </r>
  <r>
    <s v="ORD51271"/>
    <d v="2025-11-17T00:00:00"/>
    <s v="CUST1065"/>
    <s v="P004"/>
    <x v="6"/>
    <s v="Electronics"/>
    <x v="0"/>
    <x v="0"/>
    <n v="4"/>
    <n v="13018.98"/>
    <n v="0.1"/>
    <x v="1268"/>
    <x v="2"/>
    <s v="Debit Card"/>
    <s v="Completed"/>
    <x v="4"/>
    <s v="Completed"/>
    <s v="Store"/>
    <s v="Debit Card"/>
    <x v="1"/>
    <s v="VALID"/>
    <s v="NORMAL"/>
    <s v="Valid"/>
    <n v="52075.92"/>
    <n v="46868.327999999994"/>
  </r>
  <r>
    <s v="ORD51272"/>
    <d v="2024-03-17T00:00:00"/>
    <s v="CUST1152"/>
    <s v="P012"/>
    <x v="0"/>
    <s v="Accessories"/>
    <x v="1"/>
    <x v="3"/>
    <n v="3"/>
    <n v="872.56"/>
    <n v="0.2"/>
    <x v="1269"/>
    <x v="2"/>
    <s v="Cash on Delivery"/>
    <s v="Returned"/>
    <x v="2"/>
    <s v="Returned"/>
    <s v="Store"/>
    <s v="Cash On Delivery"/>
    <x v="0"/>
    <s v="VALID"/>
    <s v="NORMAL"/>
    <s v="Valid"/>
    <n v="2617.6799999999998"/>
    <n v="2094.1439999999998"/>
  </r>
  <r>
    <s v="ORD51273"/>
    <d v="2025-08-25T00:00:00"/>
    <s v="CUST1127"/>
    <s v="P011"/>
    <x v="1"/>
    <s v="Electronics"/>
    <x v="1"/>
    <x v="1"/>
    <n v="2"/>
    <n v="3024.37"/>
    <n v="0.2"/>
    <x v="1270"/>
    <x v="1"/>
    <s v="Net Banking"/>
    <s v="Cancelled"/>
    <x v="5"/>
    <s v="Cancelled"/>
    <s v="Marketplace"/>
    <s v="Net Banking"/>
    <x v="1"/>
    <s v="VALID"/>
    <s v="NORMAL"/>
    <s v="Valid"/>
    <n v="6048.74"/>
    <n v="4838.9920000000002"/>
  </r>
  <r>
    <s v="ORD51274"/>
    <d v="2024-08-31T00:00:00"/>
    <s v="CUST1201"/>
    <s v="P010"/>
    <x v="14"/>
    <s v="Electronics"/>
    <x v="2"/>
    <x v="4"/>
    <n v="5"/>
    <n v="2287.13"/>
    <n v="0.05"/>
    <x v="1271"/>
    <x v="1"/>
    <s v="Credit Card"/>
    <s v="Completed"/>
    <x v="3"/>
    <s v="Completed"/>
    <s v="Marketplace"/>
    <s v="Credit Card"/>
    <x v="1"/>
    <s v="VALID"/>
    <s v="NORMAL"/>
    <s v="Valid"/>
    <n v="11435.650000000001"/>
    <n v="10863.867500000002"/>
  </r>
  <r>
    <s v="ORD51275"/>
    <d v="2024-02-28T00:00:00"/>
    <s v="CUST1132"/>
    <s v="P009"/>
    <x v="7"/>
    <s v="Accessories"/>
    <x v="2"/>
    <x v="12"/>
    <n v="2"/>
    <n v="1686.44"/>
    <n v="0"/>
    <x v="1272"/>
    <x v="0"/>
    <s v="UPI"/>
    <s v="Completed"/>
    <x v="3"/>
    <s v="Completed"/>
    <s v="Online"/>
    <s v="Upi"/>
    <x v="0"/>
    <s v="VALID"/>
    <s v="NORMAL"/>
    <s v="Valid"/>
    <n v="3372.88"/>
    <n v="3372.88"/>
  </r>
  <r>
    <s v="ORD51276"/>
    <d v="2026-04-14T00:00:00"/>
    <s v="CUST1246"/>
    <s v="P002"/>
    <x v="9"/>
    <s v="Electronics"/>
    <x v="2"/>
    <x v="4"/>
    <n v="4"/>
    <n v="1246.6300000000001"/>
    <n v="0.03"/>
    <x v="1273"/>
    <x v="0"/>
    <s v="Debit Card"/>
    <s v="Cancelled"/>
    <x v="4"/>
    <s v="Cancelled"/>
    <s v="Online"/>
    <s v="Debit Card"/>
    <x v="1"/>
    <s v="VALID"/>
    <s v="NORMAL"/>
    <s v="Valid"/>
    <n v="4986.5200000000004"/>
    <n v="4836.9244000000008"/>
  </r>
  <r>
    <s v="ORD51277"/>
    <d v="2025-02-16T00:00:00"/>
    <s v="CUST1176"/>
    <s v="P011"/>
    <x v="1"/>
    <s v="Electronics"/>
    <x v="1"/>
    <x v="3"/>
    <n v="3"/>
    <n v="3086.19"/>
    <n v="0.2"/>
    <x v="1274"/>
    <x v="0"/>
    <s v="UPI"/>
    <s v="Completed"/>
    <x v="5"/>
    <s v="Completed"/>
    <s v="Online"/>
    <s v="Upi"/>
    <x v="1"/>
    <s v="VALID"/>
    <s v="NORMAL"/>
    <s v="Valid"/>
    <n v="9258.57"/>
    <n v="7406.8559999999998"/>
  </r>
  <r>
    <s v="ORD51278"/>
    <d v="2025-10-04T00:00:00"/>
    <s v="CUST1198"/>
    <s v="P003"/>
    <x v="3"/>
    <s v="Electronics"/>
    <x v="2"/>
    <x v="4"/>
    <n v="5"/>
    <n v="1789.63"/>
    <n v="0.03"/>
    <x v="1275"/>
    <x v="1"/>
    <s v="UPI"/>
    <s v="Completed"/>
    <x v="0"/>
    <s v="Completed"/>
    <s v="Marketplace"/>
    <s v="Upi"/>
    <x v="1"/>
    <s v="VALID"/>
    <s v="NORMAL"/>
    <s v="Valid"/>
    <n v="8948.1500000000015"/>
    <n v="8679.7055000000018"/>
  </r>
  <r>
    <s v="ORD51279"/>
    <d v="2025-01-17T00:00:00"/>
    <s v="CUST1253"/>
    <s v="P011"/>
    <x v="1"/>
    <s v="Electronics"/>
    <x v="0"/>
    <x v="10"/>
    <n v="2"/>
    <n v="3402.09"/>
    <n v="0"/>
    <x v="1276"/>
    <x v="0"/>
    <s v="Credit Card"/>
    <s v="Completed"/>
    <x v="2"/>
    <s v="Completed"/>
    <s v="Online"/>
    <s v="Credit Card"/>
    <x v="1"/>
    <s v="VALID"/>
    <s v="NORMAL"/>
    <s v="Valid"/>
    <n v="6804.18"/>
    <n v="6804.18"/>
  </r>
  <r>
    <s v="ORD51280"/>
    <d v="2024-10-08T00:00:00"/>
    <s v="CUST1025"/>
    <s v="P015"/>
    <x v="8"/>
    <s v="Accessories"/>
    <x v="3"/>
    <x v="15"/>
    <n v="3"/>
    <n v="746.9"/>
    <n v="0.08"/>
    <x v="1277"/>
    <x v="1"/>
    <s v="Credit Card"/>
    <s v="Cancelled"/>
    <x v="3"/>
    <s v="Cancelled"/>
    <s v="Marketplace"/>
    <s v="Credit Card"/>
    <x v="0"/>
    <s v="VALID"/>
    <s v="NORMAL"/>
    <s v="Valid"/>
    <n v="2240.6999999999998"/>
    <n v="2061.444"/>
  </r>
  <r>
    <s v="ORD51281"/>
    <d v="2026-06-04T00:00:00"/>
    <s v="CUST1017"/>
    <s v="P001"/>
    <x v="13"/>
    <s v="Electronics"/>
    <x v="3"/>
    <x v="9"/>
    <n v="3"/>
    <n v="69561.5"/>
    <n v="0.2"/>
    <x v="1278"/>
    <x v="1"/>
    <s v="Net Banking"/>
    <s v="Completed"/>
    <x v="8"/>
    <s v="Completed"/>
    <s v="Marketplace"/>
    <s v="Net Banking"/>
    <x v="1"/>
    <s v="VALID"/>
    <s v="NORMAL"/>
    <s v="Valid"/>
    <n v="208684.5"/>
    <n v="166947.6"/>
  </r>
  <r>
    <s v="ORD51282"/>
    <d v="2025-09-29T00:00:00"/>
    <s v="CUST1078"/>
    <s v="P001"/>
    <x v="13"/>
    <s v="Electronics"/>
    <x v="0"/>
    <x v="0"/>
    <n v="4"/>
    <n v="64746.78"/>
    <n v="0.15"/>
    <x v="1279"/>
    <x v="0"/>
    <s v="Net Banking"/>
    <s v="Returned"/>
    <x v="4"/>
    <s v="Returned"/>
    <s v="Online"/>
    <s v="Net Banking"/>
    <x v="1"/>
    <s v="VALID"/>
    <s v="NORMAL"/>
    <s v="Valid"/>
    <n v="258987.12"/>
    <n v="220139.052"/>
  </r>
  <r>
    <s v="ORD51283"/>
    <d v="2025-10-02T00:00:00"/>
    <s v="CUST1179"/>
    <s v="P009"/>
    <x v="7"/>
    <s v="Accessories"/>
    <x v="3"/>
    <x v="9"/>
    <n v="2"/>
    <n v="1894.48"/>
    <n v="0.03"/>
    <x v="1280"/>
    <x v="0"/>
    <s v="UPI"/>
    <s v="Completed"/>
    <x v="3"/>
    <s v="Completed"/>
    <s v="Online"/>
    <s v="Upi"/>
    <x v="0"/>
    <s v="VALID"/>
    <s v="NORMAL"/>
    <s v="Valid"/>
    <n v="3788.96"/>
    <n v="3675.2912000000001"/>
  </r>
  <r>
    <s v="ORD51284"/>
    <d v="2025-10-30T00:00:00"/>
    <s v="CUST1240"/>
    <s v="P008"/>
    <x v="4"/>
    <s v="Stationery"/>
    <x v="3"/>
    <x v="9"/>
    <n v="2"/>
    <n v="226.05"/>
    <n v="0.08"/>
    <x v="1281"/>
    <x v="2"/>
    <s v="Cash on Delivery"/>
    <s v="Completed"/>
    <x v="7"/>
    <s v="Completed"/>
    <s v="Store"/>
    <s v="Cash On Delivery"/>
    <x v="3"/>
    <s v="VALID"/>
    <s v="NORMAL"/>
    <s v="Valid"/>
    <n v="452.1"/>
    <n v="415.93200000000002"/>
  </r>
  <r>
    <s v="ORD51285"/>
    <d v="2024-10-05T00:00:00"/>
    <s v="CUST1007"/>
    <s v="P010"/>
    <x v="14"/>
    <s v="Electronics"/>
    <x v="0"/>
    <x v="14"/>
    <n v="1"/>
    <n v="2041.86"/>
    <n v="0.03"/>
    <x v="1282"/>
    <x v="1"/>
    <s v="Debit Card"/>
    <s v="Returned"/>
    <x v="0"/>
    <s v="Returned"/>
    <s v="Marketplace"/>
    <s v="Debit Card"/>
    <x v="1"/>
    <s v="VALID"/>
    <s v="NORMAL"/>
    <s v="Valid"/>
    <n v="2041.86"/>
    <n v="1980.6042"/>
  </r>
  <r>
    <s v="ORD51286"/>
    <d v="2026-01-06T00:00:00"/>
    <s v="CUST1030"/>
    <s v="P012"/>
    <x v="0"/>
    <s v="Accessories"/>
    <x v="3"/>
    <x v="8"/>
    <n v="3"/>
    <n v="890.27"/>
    <n v="0.08"/>
    <x v="1283"/>
    <x v="1"/>
    <s v="UPI"/>
    <s v="Completed"/>
    <x v="5"/>
    <s v="Completed"/>
    <s v="Marketplace"/>
    <s v="Upi"/>
    <x v="0"/>
    <s v="VALID"/>
    <s v="NORMAL"/>
    <s v="Valid"/>
    <n v="2670.81"/>
    <n v="2457.1451999999999"/>
  </r>
  <r>
    <s v="ORD51287"/>
    <d v="2024-01-23T00:00:00"/>
    <s v="CUST1235"/>
    <s v="P003"/>
    <x v="3"/>
    <s v="Electronics"/>
    <x v="1"/>
    <x v="1"/>
    <n v="1"/>
    <n v="1795.57"/>
    <n v="0.1"/>
    <x v="1284"/>
    <x v="2"/>
    <s v="Credit Card"/>
    <s v="Completed"/>
    <x v="5"/>
    <s v="Completed"/>
    <s v="Store"/>
    <s v="Credit Card"/>
    <x v="1"/>
    <s v="VALID"/>
    <s v="NORMAL"/>
    <s v="Valid"/>
    <n v="1795.57"/>
    <n v="1616.0129999999999"/>
  </r>
  <r>
    <s v="ORD51288"/>
    <d v="2026-06-14T00:00:00"/>
    <s v="CUST1081"/>
    <s v="P013"/>
    <x v="2"/>
    <s v="Furniture"/>
    <x v="3"/>
    <x v="11"/>
    <n v="2"/>
    <n v="1557.59"/>
    <n v="0.15"/>
    <x v="1285"/>
    <x v="0"/>
    <s v="Debit Card"/>
    <s v="Completed"/>
    <x v="8"/>
    <s v="Completed"/>
    <s v="Online"/>
    <s v="Debit Card"/>
    <x v="2"/>
    <s v="VALID"/>
    <s v="NORMAL"/>
    <s v="Valid"/>
    <n v="3115.18"/>
    <n v="2647.9029999999998"/>
  </r>
  <r>
    <s v="ORD51289"/>
    <d v="2024-09-05T00:00:00"/>
    <s v="CUST1166"/>
    <s v="P004"/>
    <x v="6"/>
    <s v="Electronics"/>
    <x v="1"/>
    <x v="6"/>
    <n v="3"/>
    <n v="12652.9"/>
    <n v="0.03"/>
    <x v="1286"/>
    <x v="1"/>
    <s v="UPI"/>
    <s v="Returned"/>
    <x v="3"/>
    <s v="Returned"/>
    <s v="Marketplace"/>
    <s v="Upi"/>
    <x v="1"/>
    <s v="VALID"/>
    <s v="NORMAL"/>
    <s v="Valid"/>
    <n v="37958.699999999997"/>
    <n v="36819.938999999998"/>
  </r>
  <r>
    <s v="ORD51290"/>
    <d v="2025-01-08T00:00:00"/>
    <s v="CUST1070"/>
    <s v="P006"/>
    <x v="10"/>
    <s v="Furniture"/>
    <x v="2"/>
    <x v="5"/>
    <n v="4"/>
    <n v="7276.44"/>
    <n v="0.08"/>
    <x v="1287"/>
    <x v="1"/>
    <s v="Credit Card"/>
    <s v="Completed"/>
    <x v="2"/>
    <s v="Completed"/>
    <s v="Marketplace"/>
    <s v="Credit Card"/>
    <x v="2"/>
    <s v="VALID"/>
    <s v="NORMAL"/>
    <s v="Valid"/>
    <n v="29105.759999999998"/>
    <n v="26777.299199999998"/>
  </r>
  <r>
    <s v="ORD51291"/>
    <d v="2024-11-05T00:00:00"/>
    <s v="CUST1152"/>
    <s v="P006"/>
    <x v="10"/>
    <s v="Furniture"/>
    <x v="3"/>
    <x v="8"/>
    <n v="5"/>
    <n v="7118.65"/>
    <n v="0.05"/>
    <x v="1288"/>
    <x v="2"/>
    <s v="UPI"/>
    <s v="Cancelled"/>
    <x v="4"/>
    <s v="Cancelled"/>
    <s v="Store"/>
    <s v="Upi"/>
    <x v="2"/>
    <s v="VALID"/>
    <s v="NORMAL"/>
    <s v="Valid"/>
    <n v="35593.25"/>
    <n v="33813.587500000001"/>
  </r>
  <r>
    <s v="ORD51292"/>
    <d v="2025-01-31T00:00:00"/>
    <s v="CUST1001"/>
    <s v="P006"/>
    <x v="10"/>
    <s v="Furniture"/>
    <x v="2"/>
    <x v="12"/>
    <m/>
    <n v="6694.11"/>
    <n v="0.1"/>
    <x v="1289"/>
    <x v="2"/>
    <s v="Debit Card"/>
    <s v="Cancelled"/>
    <x v="6"/>
    <s v="Cancelled"/>
    <s v="Store"/>
    <s v="Debit Card"/>
    <x v="2"/>
    <s v="INVALID"/>
    <s v="NORMAL"/>
    <s v="Valid"/>
    <n v="0"/>
    <n v="0"/>
  </r>
  <r>
    <s v="ORD51293"/>
    <d v="2026-03-06T00:00:00"/>
    <s v="CUST1131"/>
    <s v="P015"/>
    <x v="8"/>
    <s v="Accessories"/>
    <x v="1"/>
    <x v="16"/>
    <n v="4"/>
    <n v="662.98"/>
    <n v="0.08"/>
    <x v="1290"/>
    <x v="2"/>
    <s v="Debit Card"/>
    <s v="Returned"/>
    <x v="0"/>
    <s v="Returned"/>
    <s v="Store"/>
    <s v="Debit Card"/>
    <x v="0"/>
    <s v="VALID"/>
    <s v="NORMAL"/>
    <s v="Valid"/>
    <n v="2651.92"/>
    <n v="2439.7664"/>
  </r>
  <r>
    <s v="ORD51294"/>
    <d v="2026-04-30T00:00:00"/>
    <s v="CUST1225"/>
    <s v="P015"/>
    <x v="8"/>
    <s v="Accessories"/>
    <x v="1"/>
    <x v="3"/>
    <n v="2"/>
    <n v="723.81"/>
    <n v="0.03"/>
    <x v="1291"/>
    <x v="1"/>
    <s v="Net Banking"/>
    <s v="Returned"/>
    <x v="0"/>
    <s v="Returned"/>
    <s v="Marketplace"/>
    <s v="Net Banking"/>
    <x v="0"/>
    <s v="VALID"/>
    <s v="NORMAL"/>
    <s v="Valid"/>
    <n v="1447.62"/>
    <n v="1404.1913999999999"/>
  </r>
  <r>
    <s v="ORD51295"/>
    <d v="2024-05-08T00:00:00"/>
    <s v="CUST1077"/>
    <s v="P008"/>
    <x v="4"/>
    <s v="Stationery"/>
    <x v="2"/>
    <x v="13"/>
    <n v="4"/>
    <n v="205.53"/>
    <n v="0.1"/>
    <x v="1292"/>
    <x v="1"/>
    <s v="Net Banking"/>
    <s v="Returned"/>
    <x v="5"/>
    <s v="Returned"/>
    <s v="Marketplace"/>
    <s v="Net Banking"/>
    <x v="3"/>
    <s v="VALID"/>
    <s v="NORMAL"/>
    <s v="Valid"/>
    <n v="822.12"/>
    <n v="739.90800000000002"/>
  </r>
  <r>
    <s v="ORD51296"/>
    <d v="2026-02-20T00:00:00"/>
    <s v="CUST1005"/>
    <s v="P003"/>
    <x v="3"/>
    <s v="Electronics"/>
    <x v="2"/>
    <x v="4"/>
    <n v="1"/>
    <n v="1736.68"/>
    <n v="0"/>
    <x v="1293"/>
    <x v="2"/>
    <s v="Net Banking"/>
    <s v="Completed"/>
    <x v="5"/>
    <s v="Completed"/>
    <s v="Store"/>
    <s v="Net Banking"/>
    <x v="1"/>
    <s v="VALID"/>
    <s v="NORMAL"/>
    <s v="Valid"/>
    <n v="1736.68"/>
    <n v="1736.68"/>
  </r>
  <r>
    <s v="ORD51297"/>
    <d v="2024-05-14T00:00:00"/>
    <s v="CUST1206"/>
    <s v="P006"/>
    <x v="10"/>
    <s v="Furniture"/>
    <x v="2"/>
    <x v="12"/>
    <n v="3"/>
    <n v="6893.56"/>
    <n v="0.08"/>
    <x v="1294"/>
    <x v="1"/>
    <s v="Debit Card"/>
    <s v="Completed"/>
    <x v="2"/>
    <s v="Completed"/>
    <s v="Marketplace"/>
    <s v="Debit Card"/>
    <x v="2"/>
    <s v="VALID"/>
    <s v="NORMAL"/>
    <s v="Valid"/>
    <n v="20680.68"/>
    <n v="19026.225600000002"/>
  </r>
  <r>
    <s v="ORD51298"/>
    <d v="2024-01-08T00:00:00"/>
    <s v="CUST1223"/>
    <s v="P004"/>
    <x v="6"/>
    <s v="Electronics"/>
    <x v="3"/>
    <x v="15"/>
    <n v="3"/>
    <n v="12790.56"/>
    <n v="0.2"/>
    <x v="1295"/>
    <x v="2"/>
    <s v="Net Banking"/>
    <s v="Completed"/>
    <x v="3"/>
    <s v="Completed"/>
    <s v="Store"/>
    <s v="Net Banking"/>
    <x v="1"/>
    <s v="VALID"/>
    <s v="NORMAL"/>
    <s v="Valid"/>
    <n v="38371.68"/>
    <n v="30697.344000000001"/>
  </r>
  <r>
    <s v="ORD51299"/>
    <d v="2024-12-29T00:00:00"/>
    <m/>
    <s v="P012"/>
    <x v="0"/>
    <s v="Accessories"/>
    <x v="2"/>
    <x v="12"/>
    <n v="5"/>
    <n v="885.92"/>
    <n v="0.03"/>
    <x v="1296"/>
    <x v="0"/>
    <s v="UPI"/>
    <s v="Completed"/>
    <x v="3"/>
    <s v="Completed"/>
    <s v="Online"/>
    <s v="Upi"/>
    <x v="0"/>
    <s v="VALID"/>
    <s v="NORMAL"/>
    <s v="Valid"/>
    <n v="4429.5999999999995"/>
    <n v="4296.7119999999995"/>
  </r>
  <r>
    <s v="ORD51300"/>
    <d v="2025-01-11T00:00:00"/>
    <s v="CUST1162"/>
    <s v="P014"/>
    <x v="5"/>
    <s v="Electronics"/>
    <x v="1"/>
    <x v="7"/>
    <n v="4"/>
    <n v="2770.4"/>
    <n v="0"/>
    <x v="1297"/>
    <x v="0"/>
    <s v="UPI"/>
    <s v="Completed"/>
    <x v="6"/>
    <s v="Completed"/>
    <s v="Online"/>
    <s v="Upi"/>
    <x v="1"/>
    <s v="VALID"/>
    <s v="NORMAL"/>
    <s v="Valid"/>
    <n v="11081.6"/>
    <n v="11081.6"/>
  </r>
  <r>
    <s v="ORD51301"/>
    <d v="2026-06-18T00:00:00"/>
    <s v="CUST1040"/>
    <s v="P015"/>
    <x v="8"/>
    <s v="Accessories"/>
    <x v="0"/>
    <x v="14"/>
    <n v="1"/>
    <n v="753.1"/>
    <n v="0.2"/>
    <x v="1298"/>
    <x v="0"/>
    <s v="Debit Card"/>
    <s v="Completed"/>
    <x v="1"/>
    <s v="Completed"/>
    <s v="Online"/>
    <s v="Debit Card"/>
    <x v="0"/>
    <s v="VALID"/>
    <s v="NORMAL"/>
    <s v="Valid"/>
    <n v="753.1"/>
    <n v="602.48"/>
  </r>
  <r>
    <s v="ORD51302"/>
    <d v="2026-05-18T00:00:00"/>
    <s v="CUST1009"/>
    <s v="P005"/>
    <x v="12"/>
    <s v="Furniture"/>
    <x v="1"/>
    <x v="3"/>
    <n v="3"/>
    <n v="9578.18"/>
    <n v="0.1"/>
    <x v="1299"/>
    <x v="2"/>
    <s v="Net Banking"/>
    <s v="Completed"/>
    <x v="0"/>
    <s v="Completed"/>
    <s v="Store"/>
    <s v="Net Banking"/>
    <x v="2"/>
    <s v="VALID"/>
    <s v="NORMAL"/>
    <s v="Valid"/>
    <n v="28734.54"/>
    <n v="25861.085999999999"/>
  </r>
  <r>
    <s v="ORD51303"/>
    <d v="2024-11-19T00:00:00"/>
    <s v="CUST1131"/>
    <s v="P013"/>
    <x v="2"/>
    <s v="Furniture"/>
    <x v="3"/>
    <x v="11"/>
    <n v="4"/>
    <n v="1571.77"/>
    <n v="0.1"/>
    <x v="1300"/>
    <x v="2"/>
    <s v="Net Banking"/>
    <s v="Completed"/>
    <x v="6"/>
    <s v="Completed"/>
    <s v="Store"/>
    <s v="Net Banking"/>
    <x v="2"/>
    <s v="VALID"/>
    <s v="NORMAL"/>
    <s v="Valid"/>
    <n v="6287.08"/>
    <n v="5658.3719999999994"/>
  </r>
  <r>
    <s v="ORD51304"/>
    <d v="2024-11-25T00:00:00"/>
    <s v="CUST1207"/>
    <s v="P005"/>
    <x v="12"/>
    <s v="Furniture"/>
    <x v="2"/>
    <x v="5"/>
    <n v="2"/>
    <n v="9373.1"/>
    <n v="0.15"/>
    <x v="1301"/>
    <x v="0"/>
    <s v="Credit Card"/>
    <s v="Completed"/>
    <x v="2"/>
    <s v="Completed"/>
    <s v="Online"/>
    <s v="Credit Card"/>
    <x v="2"/>
    <s v="VALID"/>
    <s v="NORMAL"/>
    <s v="Valid"/>
    <n v="18746.2"/>
    <n v="15934.27"/>
  </r>
  <r>
    <s v="ORD51305"/>
    <d v="2025-04-12T00:00:00"/>
    <s v="CUST1073"/>
    <s v="P012"/>
    <x v="0"/>
    <s v="Accessories"/>
    <x v="2"/>
    <x v="5"/>
    <n v="3"/>
    <n v="892.26"/>
    <n v="0"/>
    <x v="1302"/>
    <x v="0"/>
    <s v="Cash on Delivery"/>
    <s v="Completed"/>
    <x v="7"/>
    <s v="Completed"/>
    <s v="Online"/>
    <s v="Cash On Delivery"/>
    <x v="0"/>
    <s v="VALID"/>
    <s v="NORMAL"/>
    <s v="Valid"/>
    <n v="2676.7799999999997"/>
    <n v="2676.7799999999997"/>
  </r>
  <r>
    <s v="ORD51306"/>
    <d v="2026-01-24T00:00:00"/>
    <s v="CUST1134"/>
    <s v="P012"/>
    <x v="0"/>
    <s v="Accessories"/>
    <x v="0"/>
    <x v="2"/>
    <n v="2"/>
    <n v="895.99"/>
    <n v="0.15"/>
    <x v="1303"/>
    <x v="1"/>
    <s v="UPI"/>
    <s v="Completed"/>
    <x v="6"/>
    <s v="Completed"/>
    <s v="Marketplace"/>
    <s v="Upi"/>
    <x v="0"/>
    <s v="VALID"/>
    <s v="NORMAL"/>
    <s v="Valid"/>
    <n v="1791.98"/>
    <n v="1523.183"/>
  </r>
  <r>
    <s v="ORD51307"/>
    <d v="2024-04-15T00:00:00"/>
    <s v="CUST1243"/>
    <s v="P011"/>
    <x v="1"/>
    <s v="Electronics"/>
    <x v="2"/>
    <x v="5"/>
    <n v="2"/>
    <n v="3150.95"/>
    <n v="0.08"/>
    <x v="1304"/>
    <x v="1"/>
    <s v="Cash on Delivery"/>
    <s v="Completed"/>
    <x v="0"/>
    <s v="Completed"/>
    <s v="Marketplace"/>
    <s v="Cash On Delivery"/>
    <x v="1"/>
    <s v="VALID"/>
    <s v="NORMAL"/>
    <s v="Valid"/>
    <n v="6301.9"/>
    <n v="5797.7479999999996"/>
  </r>
  <r>
    <s v="ORD51308"/>
    <d v="2025-04-25T00:00:00"/>
    <s v="CUST1095"/>
    <s v="P001"/>
    <x v="13"/>
    <s v="Electronics"/>
    <x v="3"/>
    <x v="11"/>
    <n v="1"/>
    <n v="65589.279999999999"/>
    <n v="0.2"/>
    <x v="1305"/>
    <x v="1"/>
    <s v="UPI"/>
    <s v="Returned"/>
    <x v="6"/>
    <s v="Returned"/>
    <s v="Marketplace"/>
    <s v="Upi"/>
    <x v="1"/>
    <s v="VALID"/>
    <s v="NORMAL"/>
    <s v="Valid"/>
    <n v="65589.279999999999"/>
    <n v="52471.423999999999"/>
  </r>
  <r>
    <s v="ORD51309"/>
    <d v="2025-12-24T00:00:00"/>
    <s v="CUST1178"/>
    <s v="P003"/>
    <x v="3"/>
    <s v="Electronics"/>
    <x v="1"/>
    <x v="1"/>
    <n v="3"/>
    <n v="1736.46"/>
    <n v="0.05"/>
    <x v="1306"/>
    <x v="2"/>
    <s v="Net Banking"/>
    <s v="Completed"/>
    <x v="2"/>
    <s v="Completed"/>
    <s v="Store"/>
    <s v="Net Banking"/>
    <x v="1"/>
    <s v="VALID"/>
    <s v="NORMAL"/>
    <s v="Valid"/>
    <n v="5209.38"/>
    <n v="4948.9110000000001"/>
  </r>
  <r>
    <s v="ORD51310"/>
    <d v="2026-05-13T00:00:00"/>
    <s v="CUST1203"/>
    <s v="P008"/>
    <x v="4"/>
    <s v="Stationery"/>
    <x v="1"/>
    <x v="7"/>
    <n v="2"/>
    <n v="221.01"/>
    <n v="0.05"/>
    <x v="1307"/>
    <x v="0"/>
    <s v="Cash on Delivery"/>
    <s v="Completed"/>
    <x v="3"/>
    <s v="Completed"/>
    <s v="Online"/>
    <s v="Cash On Delivery"/>
    <x v="3"/>
    <s v="VALID"/>
    <s v="NORMAL"/>
    <s v="Valid"/>
    <n v="442.02"/>
    <n v="419.91899999999998"/>
  </r>
  <r>
    <s v="ORD51311"/>
    <d v="2024-01-09T00:00:00"/>
    <s v="CUST1043"/>
    <s v="P009"/>
    <x v="7"/>
    <s v="Accessories"/>
    <x v="0"/>
    <x v="0"/>
    <n v="5"/>
    <n v="1814.54"/>
    <n v="0.03"/>
    <x v="1308"/>
    <x v="0"/>
    <s v="Debit Card"/>
    <s v="Completed"/>
    <x v="2"/>
    <s v="Completed"/>
    <s v="Online"/>
    <s v="Debit Card"/>
    <x v="0"/>
    <s v="VALID"/>
    <s v="NORMAL"/>
    <s v="Valid"/>
    <n v="9072.7000000000007"/>
    <n v="8800.5190000000002"/>
  </r>
  <r>
    <s v="ORD51312"/>
    <d v="2024-11-29T00:00:00"/>
    <s v="CUST1014"/>
    <s v="P012"/>
    <x v="0"/>
    <s v="Accessories"/>
    <x v="1"/>
    <x v="3"/>
    <n v="3"/>
    <n v="800.52"/>
    <n v="0.05"/>
    <x v="1309"/>
    <x v="0"/>
    <s v="Cash on Delivery"/>
    <s v="Completed"/>
    <x v="0"/>
    <s v="Completed"/>
    <s v="Online"/>
    <s v="Cash On Delivery"/>
    <x v="0"/>
    <s v="VALID"/>
    <s v="NORMAL"/>
    <s v="Valid"/>
    <n v="2401.56"/>
    <n v="2281.482"/>
  </r>
  <r>
    <s v="ORD51313"/>
    <d v="2026-05-17T00:00:00"/>
    <s v="CUST1167"/>
    <s v="P012"/>
    <x v="0"/>
    <s v="Accessories"/>
    <x v="0"/>
    <x v="2"/>
    <n v="2"/>
    <n v="787.17"/>
    <n v="0.1"/>
    <x v="1310"/>
    <x v="0"/>
    <s v="Cash on Delivery"/>
    <s v="Returned"/>
    <x v="4"/>
    <s v="Returned"/>
    <s v="Online"/>
    <s v="Cash On Delivery"/>
    <x v="0"/>
    <s v="VALID"/>
    <s v="NORMAL"/>
    <s v="Valid"/>
    <n v="1574.34"/>
    <n v="1416.9059999999999"/>
  </r>
  <r>
    <s v="ORD51314"/>
    <d v="2025-11-05T00:00:00"/>
    <s v="CUST1194"/>
    <s v="P010"/>
    <x v="14"/>
    <s v="Electronics"/>
    <x v="3"/>
    <x v="11"/>
    <n v="5"/>
    <n v="2358.02"/>
    <n v="0"/>
    <x v="1311"/>
    <x v="0"/>
    <s v="Credit Card"/>
    <s v="Completed"/>
    <x v="2"/>
    <s v="Completed"/>
    <s v="Online"/>
    <s v="Credit Card"/>
    <x v="1"/>
    <s v="VALID"/>
    <s v="NORMAL"/>
    <s v="Valid"/>
    <n v="11790.1"/>
    <n v="11790.1"/>
  </r>
  <r>
    <s v="ORD51315"/>
    <d v="2025-06-05T00:00:00"/>
    <s v="CUST1254"/>
    <s v="P001"/>
    <x v="13"/>
    <s v="Electronics"/>
    <x v="2"/>
    <x v="12"/>
    <n v="2"/>
    <n v="63355.79"/>
    <n v="0.2"/>
    <x v="1312"/>
    <x v="2"/>
    <s v="Cash on Delivery"/>
    <s v="Cancelled"/>
    <x v="5"/>
    <s v="Cancelled"/>
    <s v="Store"/>
    <s v="Cash On Delivery"/>
    <x v="1"/>
    <s v="VALID"/>
    <s v="NORMAL"/>
    <s v="Valid"/>
    <n v="126711.58"/>
    <n v="101369.264"/>
  </r>
  <r>
    <s v="ORD51316"/>
    <d v="2025-05-17T00:00:00"/>
    <s v="CUST1093"/>
    <s v="P014"/>
    <x v="5"/>
    <s v="Electronics"/>
    <x v="0"/>
    <x v="14"/>
    <n v="4"/>
    <n v="2848.64"/>
    <n v="0.1"/>
    <x v="1313"/>
    <x v="0"/>
    <s v="Net Banking"/>
    <s v="Completed"/>
    <x v="0"/>
    <s v="Completed"/>
    <s v="Online"/>
    <s v="Net Banking"/>
    <x v="1"/>
    <s v="VALID"/>
    <s v="NORMAL"/>
    <s v="Valid"/>
    <n v="11394.56"/>
    <n v="10255.103999999999"/>
  </r>
  <r>
    <s v="ORD51317"/>
    <d v="2024-07-21T00:00:00"/>
    <s v="CUST1177"/>
    <s v="P012"/>
    <x v="0"/>
    <s v="Accessories"/>
    <x v="1"/>
    <x v="1"/>
    <n v="1"/>
    <n v="882.23"/>
    <n v="0.05"/>
    <x v="1314"/>
    <x v="0"/>
    <s v="Cash on Delivery"/>
    <s v="Returned"/>
    <x v="5"/>
    <s v="Returned"/>
    <s v="Online"/>
    <s v="Cash On Delivery"/>
    <x v="0"/>
    <s v="VALID"/>
    <s v="NORMAL"/>
    <s v="Valid"/>
    <n v="882.23"/>
    <n v="838.11850000000004"/>
  </r>
  <r>
    <s v="ORD51318"/>
    <d v="2024-10-04T00:00:00"/>
    <s v="CUST1144"/>
    <s v="P007"/>
    <x v="11"/>
    <s v="Stationery"/>
    <x v="3"/>
    <x v="9"/>
    <n v="5"/>
    <n v="431.79"/>
    <n v="0.2"/>
    <x v="1315"/>
    <x v="2"/>
    <s v="Credit Card"/>
    <s v="Cancelled"/>
    <x v="5"/>
    <s v="Cancelled"/>
    <s v="Store"/>
    <s v="Credit Card"/>
    <x v="3"/>
    <s v="VALID"/>
    <s v="NORMAL"/>
    <s v="Valid"/>
    <n v="2158.9500000000003"/>
    <n v="1727.1600000000003"/>
  </r>
  <r>
    <s v="ORD51319"/>
    <d v="2026-04-16T00:00:00"/>
    <s v="CUST1207"/>
    <s v="P007"/>
    <x v="11"/>
    <s v="Stationery"/>
    <x v="1"/>
    <x v="7"/>
    <n v="4"/>
    <n v="459.21"/>
    <n v="0.03"/>
    <x v="1316"/>
    <x v="1"/>
    <s v="Cash on Delivery"/>
    <s v="Cancelled"/>
    <x v="7"/>
    <s v="Cancelled"/>
    <s v="Marketplace"/>
    <s v="Cash On Delivery"/>
    <x v="3"/>
    <s v="VALID"/>
    <s v="NORMAL"/>
    <s v="Valid"/>
    <n v="1836.84"/>
    <n v="1781.7348"/>
  </r>
  <r>
    <s v="ORD51320"/>
    <d v="2024-12-30T00:00:00"/>
    <s v="CUST1166"/>
    <s v="P007"/>
    <x v="11"/>
    <s v="Stationery"/>
    <x v="1"/>
    <x v="1"/>
    <n v="2"/>
    <n v="415.63"/>
    <n v="0.08"/>
    <x v="1317"/>
    <x v="0"/>
    <s v="Net Banking"/>
    <s v="Completed"/>
    <x v="2"/>
    <s v="Completed"/>
    <s v="Online"/>
    <s v="Net Banking"/>
    <x v="3"/>
    <s v="VALID"/>
    <s v="NORMAL"/>
    <s v="Valid"/>
    <n v="831.26"/>
    <n v="764.75919999999996"/>
  </r>
  <r>
    <s v="ORD51321"/>
    <d v="2025-02-18T00:00:00"/>
    <s v="CUST1139"/>
    <s v="P009"/>
    <x v="7"/>
    <s v="Accessories"/>
    <x v="3"/>
    <x v="8"/>
    <n v="2"/>
    <n v="1656.54"/>
    <n v="0.05"/>
    <x v="1318"/>
    <x v="1"/>
    <s v="Debit Card"/>
    <s v="Completed"/>
    <x v="3"/>
    <s v="Completed"/>
    <s v="Marketplace"/>
    <s v="Debit Card"/>
    <x v="0"/>
    <s v="VALID"/>
    <s v="NORMAL"/>
    <s v="Valid"/>
    <n v="3313.08"/>
    <n v="3147.4259999999999"/>
  </r>
  <r>
    <s v="ORD51322"/>
    <d v="2024-05-07T00:00:00"/>
    <s v="CUST1006"/>
    <s v="P004"/>
    <x v="6"/>
    <s v="Electronics"/>
    <x v="2"/>
    <x v="12"/>
    <n v="3"/>
    <n v="12774.81"/>
    <n v="0.08"/>
    <x v="1319"/>
    <x v="2"/>
    <s v="UPI"/>
    <s v="Completed"/>
    <x v="6"/>
    <s v="Completed"/>
    <s v="Store"/>
    <s v="Upi"/>
    <x v="1"/>
    <s v="VALID"/>
    <s v="NORMAL"/>
    <s v="Valid"/>
    <n v="38324.43"/>
    <n v="35258.475599999998"/>
  </r>
  <r>
    <s v="ORD51323"/>
    <d v="2024-11-21T00:00:00"/>
    <s v="CUST1201"/>
    <s v="P007"/>
    <x v="11"/>
    <s v="Stationery"/>
    <x v="3"/>
    <x v="15"/>
    <n v="1"/>
    <n v="461.53"/>
    <n v="0.05"/>
    <x v="1320"/>
    <x v="2"/>
    <s v="Net Banking"/>
    <s v="Completed"/>
    <x v="4"/>
    <s v="Completed"/>
    <s v="Store"/>
    <s v="Net Banking"/>
    <x v="3"/>
    <s v="VALID"/>
    <s v="NORMAL"/>
    <s v="Valid"/>
    <n v="461.53"/>
    <n v="438.45349999999996"/>
  </r>
  <r>
    <s v="ORD51324"/>
    <d v="2025-01-09T00:00:00"/>
    <s v="CUST1094"/>
    <s v="P013"/>
    <x v="2"/>
    <s v="Furniture"/>
    <x v="0"/>
    <x v="2"/>
    <n v="4"/>
    <n v="1548.53"/>
    <n v="0"/>
    <x v="1321"/>
    <x v="2"/>
    <s v="Net Banking"/>
    <s v="Completed"/>
    <x v="3"/>
    <s v="Completed"/>
    <s v="Store"/>
    <s v="Net Banking"/>
    <x v="2"/>
    <s v="VALID"/>
    <s v="NORMAL"/>
    <s v="Valid"/>
    <n v="6194.12"/>
    <n v="6194.12"/>
  </r>
  <r>
    <s v="ORD51325"/>
    <d v="2026-05-31T00:00:00"/>
    <s v="CUST1068"/>
    <s v="P004"/>
    <x v="6"/>
    <s v="Electronics"/>
    <x v="3"/>
    <x v="9"/>
    <n v="4"/>
    <n v="11824.74"/>
    <n v="0.1"/>
    <x v="1322"/>
    <x v="0"/>
    <s v="UPI"/>
    <s v="Cancelled"/>
    <x v="0"/>
    <s v="Cancelled"/>
    <s v="Online"/>
    <s v="Upi"/>
    <x v="1"/>
    <s v="VALID"/>
    <s v="NORMAL"/>
    <s v="Valid"/>
    <n v="47298.96"/>
    <n v="42569.063999999998"/>
  </r>
  <r>
    <s v="ORD51326"/>
    <d v="2025-08-09T00:00:00"/>
    <s v="CUST1198"/>
    <s v="P013"/>
    <x v="2"/>
    <s v="Furniture"/>
    <x v="3"/>
    <x v="8"/>
    <n v="4"/>
    <n v="1634.26"/>
    <n v="0"/>
    <x v="1323"/>
    <x v="2"/>
    <s v="Net Banking"/>
    <s v="Returned"/>
    <x v="2"/>
    <s v="Returned"/>
    <s v="Store"/>
    <s v="Net Banking"/>
    <x v="2"/>
    <s v="VALID"/>
    <s v="NORMAL"/>
    <s v="Valid"/>
    <n v="6537.04"/>
    <n v="6537.04"/>
  </r>
  <r>
    <s v="ORD51327"/>
    <d v="2026-03-06T00:00:00"/>
    <s v="CUST1157"/>
    <s v="P011"/>
    <x v="1"/>
    <s v="Electronics"/>
    <x v="3"/>
    <x v="8"/>
    <n v="5"/>
    <n v="3044.42"/>
    <n v="0.03"/>
    <x v="1324"/>
    <x v="1"/>
    <s v="Net Banking"/>
    <s v="Completed"/>
    <x v="6"/>
    <s v="Completed"/>
    <s v="Marketplace"/>
    <s v="Net Banking"/>
    <x v="1"/>
    <s v="VALID"/>
    <s v="NORMAL"/>
    <s v="Valid"/>
    <n v="15222.1"/>
    <n v="14765.437"/>
  </r>
  <r>
    <s v="ORD51328"/>
    <d v="2024-02-14T00:00:00"/>
    <s v="CUST1216"/>
    <s v="P013"/>
    <x v="2"/>
    <s v="Furniture"/>
    <x v="2"/>
    <x v="4"/>
    <n v="4"/>
    <n v="1577.25"/>
    <n v="0.2"/>
    <x v="1325"/>
    <x v="0"/>
    <s v="Debit Card"/>
    <s v="Completed"/>
    <x v="7"/>
    <s v="Completed"/>
    <s v="Online"/>
    <s v="Debit Card"/>
    <x v="2"/>
    <s v="VALID"/>
    <s v="NORMAL"/>
    <s v="Valid"/>
    <n v="6309"/>
    <n v="5047.2"/>
  </r>
  <r>
    <s v="ORD51329"/>
    <d v="2024-12-11T00:00:00"/>
    <s v="CUST1029"/>
    <s v="P001"/>
    <x v="13"/>
    <s v="Electronics"/>
    <x v="1"/>
    <x v="7"/>
    <n v="4"/>
    <n v="64778.98"/>
    <n v="0.08"/>
    <x v="1326"/>
    <x v="0"/>
    <s v="Net Banking"/>
    <s v="Completed"/>
    <x v="4"/>
    <s v="Completed"/>
    <s v="Online"/>
    <s v="Net Banking"/>
    <x v="1"/>
    <s v="VALID"/>
    <s v="NORMAL"/>
    <s v="Valid"/>
    <n v="259115.92"/>
    <n v="238386.64640000003"/>
  </r>
  <r>
    <s v="ORD51330"/>
    <d v="2025-05-04T00:00:00"/>
    <s v="CUST1057"/>
    <s v="P003"/>
    <x v="3"/>
    <s v="Electronics"/>
    <x v="3"/>
    <x v="11"/>
    <n v="1"/>
    <n v="1941.01"/>
    <n v="0.03"/>
    <x v="1327"/>
    <x v="0"/>
    <s v="Credit Card"/>
    <s v="Completed"/>
    <x v="1"/>
    <s v="Completed"/>
    <s v="Online"/>
    <s v="Credit Card"/>
    <x v="1"/>
    <s v="VALID"/>
    <s v="NORMAL"/>
    <s v="Valid"/>
    <n v="1941.01"/>
    <n v="1882.7797"/>
  </r>
  <r>
    <s v="ORD51331"/>
    <d v="2026-06-02T00:00:00"/>
    <s v="CUST1065"/>
    <s v="P006"/>
    <x v="10"/>
    <s v="Furniture"/>
    <x v="0"/>
    <x v="0"/>
    <n v="4"/>
    <n v="7154.23"/>
    <n v="0"/>
    <x v="1328"/>
    <x v="2"/>
    <s v="Credit Card"/>
    <s v="Completed"/>
    <x v="7"/>
    <s v="Completed"/>
    <s v="Store"/>
    <s v="Credit Card"/>
    <x v="2"/>
    <s v="VALID"/>
    <s v="NORMAL"/>
    <s v="Valid"/>
    <n v="28616.92"/>
    <n v="28616.92"/>
  </r>
  <r>
    <s v="ORD51332"/>
    <d v="2026-05-15T00:00:00"/>
    <s v="CUST1079"/>
    <s v="P013"/>
    <x v="2"/>
    <s v="Furniture"/>
    <x v="1"/>
    <x v="6"/>
    <n v="3"/>
    <n v="1560.02"/>
    <n v="0"/>
    <x v="1329"/>
    <x v="0"/>
    <s v="UPI"/>
    <s v="Completed"/>
    <x v="3"/>
    <s v="Completed"/>
    <s v="Online"/>
    <s v="Upi"/>
    <x v="2"/>
    <s v="VALID"/>
    <s v="NORMAL"/>
    <s v="Valid"/>
    <n v="4680.0599999999995"/>
    <n v="4680.0599999999995"/>
  </r>
  <r>
    <s v="ORD51333"/>
    <d v="2024-02-04T00:00:00"/>
    <s v="CUST1071"/>
    <s v="P009"/>
    <x v="7"/>
    <s v="Accessories"/>
    <x v="1"/>
    <x v="3"/>
    <n v="3"/>
    <n v="1736.24"/>
    <n v="0.05"/>
    <x v="1330"/>
    <x v="1"/>
    <s v="Credit Card"/>
    <s v="Returned"/>
    <x v="6"/>
    <s v="Returned"/>
    <s v="Marketplace"/>
    <s v="Credit Card"/>
    <x v="0"/>
    <s v="VALID"/>
    <s v="NORMAL"/>
    <s v="Valid"/>
    <n v="5208.72"/>
    <n v="4948.2840000000006"/>
  </r>
  <r>
    <s v="ORD51334"/>
    <d v="2024-03-10T00:00:00"/>
    <s v="CUST1077"/>
    <s v="P008"/>
    <x v="4"/>
    <s v="Stationery"/>
    <x v="0"/>
    <x v="14"/>
    <n v="3"/>
    <n v="226.65"/>
    <n v="0.08"/>
    <x v="1331"/>
    <x v="0"/>
    <s v="Cash on Delivery"/>
    <s v="Completed"/>
    <x v="4"/>
    <s v="Completed"/>
    <s v="Online"/>
    <s v="Cash On Delivery"/>
    <x v="3"/>
    <s v="VALID"/>
    <s v="NORMAL"/>
    <s v="Valid"/>
    <n v="679.95"/>
    <n v="625.55400000000009"/>
  </r>
  <r>
    <s v="ORD51335"/>
    <d v="2024-02-04T00:00:00"/>
    <m/>
    <s v="P006"/>
    <x v="10"/>
    <s v="Furniture"/>
    <x v="0"/>
    <x v="10"/>
    <n v="5"/>
    <n v="6770.69"/>
    <n v="0.08"/>
    <x v="1332"/>
    <x v="1"/>
    <s v="UPI"/>
    <s v="Cancelled"/>
    <x v="2"/>
    <s v="Cancelled"/>
    <s v="Marketplace"/>
    <s v="Upi"/>
    <x v="2"/>
    <s v="VALID"/>
    <s v="NORMAL"/>
    <s v="Valid"/>
    <n v="33853.449999999997"/>
    <n v="31145.173999999999"/>
  </r>
  <r>
    <s v="ORD51336"/>
    <d v="2025-09-05T00:00:00"/>
    <s v="CUST1100"/>
    <s v="P013"/>
    <x v="2"/>
    <s v="Furniture"/>
    <x v="1"/>
    <x v="7"/>
    <n v="4"/>
    <n v="1506.76"/>
    <n v="0.1"/>
    <x v="1333"/>
    <x v="2"/>
    <s v="Net Banking"/>
    <s v="Completed"/>
    <x v="6"/>
    <s v="Completed"/>
    <s v="Store"/>
    <s v="Net Banking"/>
    <x v="2"/>
    <s v="VALID"/>
    <s v="NORMAL"/>
    <s v="Valid"/>
    <n v="6027.04"/>
    <n v="5424.3360000000002"/>
  </r>
  <r>
    <s v="ORD51337"/>
    <d v="2025-02-13T00:00:00"/>
    <s v="CUST1204"/>
    <s v="P004"/>
    <x v="6"/>
    <s v="Electronics"/>
    <x v="0"/>
    <x v="0"/>
    <n v="1"/>
    <n v="12013.1"/>
    <n v="0.05"/>
    <x v="1334"/>
    <x v="0"/>
    <s v="UPI"/>
    <s v="Cancelled"/>
    <x v="6"/>
    <s v="Cancelled"/>
    <s v="Online"/>
    <s v="Upi"/>
    <x v="1"/>
    <s v="VALID"/>
    <s v="NORMAL"/>
    <s v="Valid"/>
    <n v="12013.1"/>
    <n v="11412.445"/>
  </r>
  <r>
    <s v="ORD51338"/>
    <d v="2025-04-06T00:00:00"/>
    <m/>
    <s v="P009"/>
    <x v="7"/>
    <s v="Accessories"/>
    <x v="2"/>
    <x v="4"/>
    <n v="1"/>
    <n v="1666.17"/>
    <n v="0"/>
    <x v="1335"/>
    <x v="2"/>
    <s v="Debit Card"/>
    <s v="Completed"/>
    <x v="2"/>
    <s v="Completed"/>
    <s v="Store"/>
    <s v="Debit Card"/>
    <x v="0"/>
    <s v="VALID"/>
    <s v="NORMAL"/>
    <s v="Valid"/>
    <n v="1666.17"/>
    <n v="1666.17"/>
  </r>
  <r>
    <s v="ORD51339"/>
    <d v="2025-03-01T00:00:00"/>
    <s v="CUST1030"/>
    <s v="P006"/>
    <x v="10"/>
    <s v="Furniture"/>
    <x v="0"/>
    <x v="0"/>
    <n v="1"/>
    <n v="6942.31"/>
    <n v="0.03"/>
    <x v="1336"/>
    <x v="2"/>
    <s v="Debit Card"/>
    <s v="Completed"/>
    <x v="0"/>
    <s v="Completed"/>
    <s v="Store"/>
    <s v="Debit Card"/>
    <x v="2"/>
    <s v="VALID"/>
    <s v="NORMAL"/>
    <s v="Valid"/>
    <n v="6942.31"/>
    <n v="6734.0407000000005"/>
  </r>
  <r>
    <s v="ORD51340"/>
    <d v="2024-11-09T00:00:00"/>
    <s v="CUST1147"/>
    <s v="P006"/>
    <x v="10"/>
    <s v="Furniture"/>
    <x v="2"/>
    <x v="5"/>
    <n v="1"/>
    <n v="6772.18"/>
    <n v="0.05"/>
    <x v="1337"/>
    <x v="2"/>
    <s v="UPI"/>
    <s v="Completed"/>
    <x v="1"/>
    <s v="Completed"/>
    <s v="Store"/>
    <s v="Upi"/>
    <x v="2"/>
    <s v="VALID"/>
    <s v="NORMAL"/>
    <s v="Valid"/>
    <n v="6772.18"/>
    <n v="6433.5709999999999"/>
  </r>
  <r>
    <s v="ORD51341"/>
    <d v="2025-07-14T00:00:00"/>
    <s v="CUST1205"/>
    <s v="P011"/>
    <x v="1"/>
    <s v="Electronics"/>
    <x v="2"/>
    <x v="13"/>
    <n v="1"/>
    <n v="3310.43"/>
    <n v="0.05"/>
    <x v="1338"/>
    <x v="0"/>
    <s v="Net Banking"/>
    <s v="Completed"/>
    <x v="1"/>
    <s v="Completed"/>
    <s v="Online"/>
    <s v="Net Banking"/>
    <x v="1"/>
    <s v="VALID"/>
    <s v="NORMAL"/>
    <s v="Valid"/>
    <n v="3310.43"/>
    <n v="3144.9085"/>
  </r>
  <r>
    <s v="ORD51342"/>
    <d v="2024-06-26T00:00:00"/>
    <s v="CUST1120"/>
    <s v="P009"/>
    <x v="7"/>
    <s v="Accessories"/>
    <x v="3"/>
    <x v="15"/>
    <n v="1"/>
    <n v="1667.41"/>
    <n v="0.08"/>
    <x v="1339"/>
    <x v="0"/>
    <s v="Debit Card"/>
    <s v="Returned"/>
    <x v="0"/>
    <s v="Returned"/>
    <s v="Online"/>
    <s v="Debit Card"/>
    <x v="0"/>
    <s v="VALID"/>
    <s v="NORMAL"/>
    <s v="Valid"/>
    <n v="1667.41"/>
    <n v="1534.0172"/>
  </r>
  <r>
    <s v="ORD51343"/>
    <d v="2024-09-24T00:00:00"/>
    <s v="CUST1241"/>
    <s v="P012"/>
    <x v="0"/>
    <s v="Accessories"/>
    <x v="0"/>
    <x v="14"/>
    <n v="3"/>
    <n v="916.67"/>
    <n v="0.08"/>
    <x v="1340"/>
    <x v="2"/>
    <s v="UPI"/>
    <s v="Completed"/>
    <x v="5"/>
    <s v="Completed"/>
    <s v="Store"/>
    <s v="Upi"/>
    <x v="0"/>
    <s v="VALID"/>
    <s v="NORMAL"/>
    <s v="Valid"/>
    <n v="2750.0099999999998"/>
    <n v="2530.0092"/>
  </r>
  <r>
    <s v="ORD51344"/>
    <d v="2024-11-27T00:00:00"/>
    <s v="CUST1194"/>
    <s v="P002"/>
    <x v="9"/>
    <s v="Electronics"/>
    <x v="3"/>
    <x v="9"/>
    <n v="1"/>
    <n v="1176.6500000000001"/>
    <n v="0.08"/>
    <x v="1341"/>
    <x v="1"/>
    <s v="Net Banking"/>
    <s v="Completed"/>
    <x v="1"/>
    <s v="Completed"/>
    <s v="Marketplace"/>
    <s v="Net Banking"/>
    <x v="1"/>
    <s v="VALID"/>
    <s v="NORMAL"/>
    <s v="Valid"/>
    <n v="1176.6500000000001"/>
    <n v="1082.518"/>
  </r>
  <r>
    <s v="ORD51345"/>
    <d v="2025-11-18T00:00:00"/>
    <s v="CUST1205"/>
    <s v="P009"/>
    <x v="7"/>
    <s v="Accessories"/>
    <x v="1"/>
    <x v="1"/>
    <n v="2"/>
    <n v="1840.19"/>
    <n v="0"/>
    <x v="1342"/>
    <x v="0"/>
    <s v="Net Banking"/>
    <s v="Completed"/>
    <x v="0"/>
    <s v="Completed"/>
    <s v="Online"/>
    <s v="Net Banking"/>
    <x v="0"/>
    <s v="VALID"/>
    <s v="NORMAL"/>
    <s v="Valid"/>
    <n v="3680.38"/>
    <n v="3680.38"/>
  </r>
  <r>
    <s v="ORD51346"/>
    <d v="2024-06-04T00:00:00"/>
    <s v="CUST1182"/>
    <s v="P011"/>
    <x v="1"/>
    <s v="Electronics"/>
    <x v="0"/>
    <x v="14"/>
    <n v="5"/>
    <n v="3149.56"/>
    <n v="0.08"/>
    <x v="1343"/>
    <x v="1"/>
    <s v="Cash on Delivery"/>
    <s v="Completed"/>
    <x v="6"/>
    <s v="Completed"/>
    <s v="Marketplace"/>
    <s v="Cash On Delivery"/>
    <x v="1"/>
    <s v="VALID"/>
    <s v="NORMAL"/>
    <s v="Valid"/>
    <n v="15747.8"/>
    <n v="14487.975999999999"/>
  </r>
  <r>
    <s v="ORD51347"/>
    <d v="2025-12-23T00:00:00"/>
    <s v="CUST1108"/>
    <s v="P009"/>
    <x v="7"/>
    <s v="Accessories"/>
    <x v="0"/>
    <x v="0"/>
    <n v="4"/>
    <n v="1883.24"/>
    <n v="0.08"/>
    <x v="1344"/>
    <x v="1"/>
    <s v="Credit Card"/>
    <s v="Completed"/>
    <x v="5"/>
    <s v="Completed"/>
    <s v="Marketplace"/>
    <s v="Credit Card"/>
    <x v="0"/>
    <s v="VALID"/>
    <s v="NORMAL"/>
    <s v="Valid"/>
    <n v="7532.96"/>
    <n v="6930.3231999999998"/>
  </r>
  <r>
    <s v="ORD51348"/>
    <d v="2024-08-05T00:00:00"/>
    <s v="CUST1057"/>
    <s v="P004"/>
    <x v="6"/>
    <s v="Electronics"/>
    <x v="2"/>
    <x v="5"/>
    <n v="3"/>
    <n v="12285.07"/>
    <n v="0.03"/>
    <x v="1345"/>
    <x v="1"/>
    <s v="Debit Card"/>
    <s v="Completed"/>
    <x v="4"/>
    <s v="Completed"/>
    <s v="Marketplace"/>
    <s v="Debit Card"/>
    <x v="1"/>
    <s v="VALID"/>
    <s v="NORMAL"/>
    <s v="Valid"/>
    <n v="36855.21"/>
    <n v="35749.553699999997"/>
  </r>
  <r>
    <s v="ORD51349"/>
    <d v="2026-01-12T00:00:00"/>
    <m/>
    <s v="P005"/>
    <x v="12"/>
    <s v="Furniture"/>
    <x v="3"/>
    <x v="11"/>
    <n v="4"/>
    <n v="9380.6200000000008"/>
    <n v="0.15"/>
    <x v="1346"/>
    <x v="1"/>
    <s v="Cash on Delivery"/>
    <s v="Returned"/>
    <x v="4"/>
    <s v="Returned"/>
    <s v="Marketplace"/>
    <s v="Cash On Delivery"/>
    <x v="2"/>
    <s v="VALID"/>
    <s v="NORMAL"/>
    <s v="Valid"/>
    <n v="37522.480000000003"/>
    <n v="31894.108000000004"/>
  </r>
  <r>
    <s v="ORD51350"/>
    <d v="2025-05-30T00:00:00"/>
    <s v="CUST1145"/>
    <s v="P010"/>
    <x v="14"/>
    <s v="Electronics"/>
    <x v="3"/>
    <x v="8"/>
    <n v="5"/>
    <n v="2364.91"/>
    <n v="0"/>
    <x v="1347"/>
    <x v="2"/>
    <s v="Net Banking"/>
    <s v="Completed"/>
    <x v="0"/>
    <s v="Completed"/>
    <s v="Store"/>
    <s v="Net Banking"/>
    <x v="1"/>
    <s v="VALID"/>
    <s v="NORMAL"/>
    <s v="Valid"/>
    <n v="11824.55"/>
    <n v="11824.55"/>
  </r>
  <r>
    <s v="ORD51351"/>
    <d v="2024-03-01T00:00:00"/>
    <s v="CUST1208"/>
    <s v="P003"/>
    <x v="3"/>
    <s v="Electronics"/>
    <x v="0"/>
    <x v="0"/>
    <n v="3"/>
    <n v="1905.51"/>
    <n v="0.03"/>
    <x v="1348"/>
    <x v="0"/>
    <s v="Credit Card"/>
    <s v="Completed"/>
    <x v="3"/>
    <s v="Completed"/>
    <s v="Online"/>
    <s v="Credit Card"/>
    <x v="1"/>
    <s v="VALID"/>
    <s v="NORMAL"/>
    <s v="Valid"/>
    <n v="5716.53"/>
    <n v="5545.0340999999999"/>
  </r>
  <r>
    <s v="ORD51352"/>
    <d v="2024-05-23T00:00:00"/>
    <s v="CUST1036"/>
    <s v="P009"/>
    <x v="7"/>
    <s v="Accessories"/>
    <x v="1"/>
    <x v="6"/>
    <n v="1"/>
    <n v="1865.27"/>
    <n v="0.03"/>
    <x v="1349"/>
    <x v="0"/>
    <s v="Net Banking"/>
    <s v="Completed"/>
    <x v="0"/>
    <s v="Completed"/>
    <s v="Online"/>
    <s v="Net Banking"/>
    <x v="0"/>
    <s v="VALID"/>
    <s v="NORMAL"/>
    <s v="Valid"/>
    <n v="1865.27"/>
    <n v="1809.3118999999999"/>
  </r>
  <r>
    <s v="ORD51353"/>
    <d v="2025-01-23T00:00:00"/>
    <s v="CUST1231"/>
    <s v="P005"/>
    <x v="12"/>
    <s v="Furniture"/>
    <x v="1"/>
    <x v="6"/>
    <n v="5"/>
    <n v="10039.709999999999"/>
    <n v="0.15"/>
    <x v="1350"/>
    <x v="0"/>
    <s v="Debit Card"/>
    <s v="Cancelled"/>
    <x v="7"/>
    <s v="Cancelled"/>
    <s v="Online"/>
    <s v="Debit Card"/>
    <x v="2"/>
    <s v="VALID"/>
    <s v="NORMAL"/>
    <s v="Valid"/>
    <n v="50198.549999999996"/>
    <n v="42668.767499999994"/>
  </r>
  <r>
    <s v="ORD51354"/>
    <d v="2025-05-25T00:00:00"/>
    <s v="CUST1086"/>
    <s v="P006"/>
    <x v="10"/>
    <s v="Furniture"/>
    <x v="0"/>
    <x v="0"/>
    <n v="3"/>
    <n v="7315.5"/>
    <n v="0.08"/>
    <x v="1351"/>
    <x v="0"/>
    <s v="Debit Card"/>
    <s v="Completed"/>
    <x v="2"/>
    <s v="Completed"/>
    <s v="Online"/>
    <s v="Debit Card"/>
    <x v="2"/>
    <s v="VALID"/>
    <s v="NORMAL"/>
    <s v="Valid"/>
    <n v="21946.5"/>
    <n v="20190.78"/>
  </r>
  <r>
    <s v="ORD51355"/>
    <d v="2026-05-17T00:00:00"/>
    <s v="CUST1056"/>
    <s v="P005"/>
    <x v="12"/>
    <s v="Furniture"/>
    <x v="0"/>
    <x v="0"/>
    <n v="1"/>
    <n v="9928.5300000000007"/>
    <n v="0.2"/>
    <x v="1352"/>
    <x v="2"/>
    <s v="Net Banking"/>
    <s v="Completed"/>
    <x v="4"/>
    <s v="Completed"/>
    <s v="Store"/>
    <s v="Net Banking"/>
    <x v="2"/>
    <s v="VALID"/>
    <s v="NORMAL"/>
    <s v="Valid"/>
    <n v="9928.5300000000007"/>
    <n v="7942.8240000000005"/>
  </r>
  <r>
    <s v="ORD51356"/>
    <d v="2025-12-20T00:00:00"/>
    <s v="CUST1100"/>
    <s v="P004"/>
    <x v="6"/>
    <s v="Electronics"/>
    <x v="1"/>
    <x v="3"/>
    <n v="5"/>
    <n v="13146.03"/>
    <n v="0.2"/>
    <x v="1353"/>
    <x v="2"/>
    <s v="Debit Card"/>
    <s v="Completed"/>
    <x v="5"/>
    <s v="Completed"/>
    <s v="Store"/>
    <s v="Debit Card"/>
    <x v="1"/>
    <s v="VALID"/>
    <s v="NORMAL"/>
    <s v="Valid"/>
    <n v="65730.150000000009"/>
    <n v="52584.12000000001"/>
  </r>
  <r>
    <s v="ORD51357"/>
    <d v="2025-06-23T00:00:00"/>
    <s v="CUST1225"/>
    <s v="P015"/>
    <x v="8"/>
    <s v="Accessories"/>
    <x v="2"/>
    <x v="5"/>
    <n v="2"/>
    <n v="732.76"/>
    <n v="0.08"/>
    <x v="1354"/>
    <x v="1"/>
    <s v="Net Banking"/>
    <s v="Returned"/>
    <x v="4"/>
    <s v="Returned"/>
    <s v="Marketplace"/>
    <s v="Net Banking"/>
    <x v="0"/>
    <s v="VALID"/>
    <s v="NORMAL"/>
    <s v="Valid"/>
    <n v="1465.52"/>
    <n v="1348.2783999999999"/>
  </r>
  <r>
    <s v="ORD51358"/>
    <d v="2024-12-16T00:00:00"/>
    <s v="CUST1258"/>
    <s v="P002"/>
    <x v="9"/>
    <s v="Electronics"/>
    <x v="2"/>
    <x v="4"/>
    <n v="4"/>
    <n v="1245.6600000000001"/>
    <n v="0.1"/>
    <x v="1355"/>
    <x v="2"/>
    <s v="Cash on Delivery"/>
    <s v="Completed"/>
    <x v="0"/>
    <s v="Completed"/>
    <s v="Store"/>
    <s v="Cash On Delivery"/>
    <x v="1"/>
    <s v="VALID"/>
    <s v="NORMAL"/>
    <s v="Valid"/>
    <n v="4982.6400000000003"/>
    <n v="4484.3760000000002"/>
  </r>
  <r>
    <s v="ORD51359"/>
    <d v="2025-04-21T00:00:00"/>
    <s v="CUST1248"/>
    <s v="P015"/>
    <x v="8"/>
    <s v="Accessories"/>
    <x v="0"/>
    <x v="14"/>
    <n v="1"/>
    <n v="651.19000000000005"/>
    <n v="0.15"/>
    <x v="1356"/>
    <x v="2"/>
    <s v="Debit Card"/>
    <s v="Completed"/>
    <x v="7"/>
    <s v="Completed"/>
    <s v="Store"/>
    <s v="Debit Card"/>
    <x v="0"/>
    <s v="VALID"/>
    <s v="NORMAL"/>
    <s v="Valid"/>
    <n v="651.19000000000005"/>
    <n v="553.51150000000007"/>
  </r>
  <r>
    <s v="ORD51360"/>
    <d v="2025-06-02T00:00:00"/>
    <s v="CUST1073"/>
    <s v="P013"/>
    <x v="2"/>
    <s v="Furniture"/>
    <x v="2"/>
    <x v="12"/>
    <n v="2"/>
    <n v="1637.92"/>
    <n v="0"/>
    <x v="1357"/>
    <x v="1"/>
    <s v="UPI"/>
    <s v="Completed"/>
    <x v="0"/>
    <s v="Completed"/>
    <s v="Marketplace"/>
    <s v="Upi"/>
    <x v="2"/>
    <s v="VALID"/>
    <s v="NORMAL"/>
    <s v="Valid"/>
    <n v="3275.84"/>
    <n v="3275.84"/>
  </r>
  <r>
    <s v="ORD51361"/>
    <d v="2024-01-17T00:00:00"/>
    <s v="CUST1039"/>
    <s v="P003"/>
    <x v="3"/>
    <s v="Electronics"/>
    <x v="2"/>
    <x v="13"/>
    <n v="1"/>
    <n v="1828.53"/>
    <n v="0.05"/>
    <x v="1358"/>
    <x v="1"/>
    <s v="UPI"/>
    <s v="Completed"/>
    <x v="0"/>
    <s v="Completed"/>
    <s v="Marketplace"/>
    <s v="Upi"/>
    <x v="1"/>
    <s v="VALID"/>
    <s v="NORMAL"/>
    <s v="Valid"/>
    <n v="1828.53"/>
    <n v="1737.1034999999999"/>
  </r>
  <r>
    <s v="ORD51362"/>
    <d v="2026-01-08T00:00:00"/>
    <s v="CUST1072"/>
    <s v="P004"/>
    <x v="6"/>
    <s v="Electronics"/>
    <x v="0"/>
    <x v="10"/>
    <n v="4"/>
    <n v="13453.05"/>
    <n v="0.15"/>
    <x v="1359"/>
    <x v="0"/>
    <s v="UPI"/>
    <s v="Completed"/>
    <x v="2"/>
    <s v="Completed"/>
    <s v="Online"/>
    <s v="Upi"/>
    <x v="1"/>
    <s v="VALID"/>
    <s v="NORMAL"/>
    <s v="Valid"/>
    <n v="53812.2"/>
    <n v="45740.369999999995"/>
  </r>
  <r>
    <s v="ORD51363"/>
    <d v="2025-10-30T00:00:00"/>
    <s v="CUST1048"/>
    <s v="P009"/>
    <x v="7"/>
    <s v="Accessories"/>
    <x v="2"/>
    <x v="5"/>
    <n v="3"/>
    <n v="1910.05"/>
    <n v="0.1"/>
    <x v="1360"/>
    <x v="1"/>
    <s v="Cash on Delivery"/>
    <s v="Completed"/>
    <x v="1"/>
    <s v="Completed"/>
    <s v="Marketplace"/>
    <s v="Cash On Delivery"/>
    <x v="0"/>
    <s v="VALID"/>
    <s v="NORMAL"/>
    <s v="Valid"/>
    <n v="5730.15"/>
    <n v="5157.1349999999993"/>
  </r>
  <r>
    <s v="ORD51364"/>
    <d v="2024-07-07T00:00:00"/>
    <s v="CUST1105"/>
    <s v="P009"/>
    <x v="7"/>
    <s v="Accessories"/>
    <x v="3"/>
    <x v="8"/>
    <n v="4"/>
    <n v="1901.73"/>
    <n v="0.05"/>
    <x v="1361"/>
    <x v="0"/>
    <s v="UPI"/>
    <s v="Completed"/>
    <x v="3"/>
    <s v="Completed"/>
    <s v="Online"/>
    <s v="Upi"/>
    <x v="0"/>
    <s v="VALID"/>
    <s v="NORMAL"/>
    <s v="Valid"/>
    <n v="7606.92"/>
    <n v="7226.5740000000005"/>
  </r>
  <r>
    <s v="ORD51365"/>
    <d v="2024-12-29T00:00:00"/>
    <s v="CUST1105"/>
    <s v="P002"/>
    <x v="9"/>
    <s v="Electronics"/>
    <x v="1"/>
    <x v="3"/>
    <n v="3"/>
    <n v="1228.48"/>
    <n v="0.08"/>
    <x v="1362"/>
    <x v="2"/>
    <s v="UPI"/>
    <s v="Returned"/>
    <x v="1"/>
    <s v="Returned"/>
    <s v="Store"/>
    <s v="Upi"/>
    <x v="1"/>
    <s v="VALID"/>
    <s v="NORMAL"/>
    <s v="Valid"/>
    <n v="3685.44"/>
    <n v="3390.6048000000001"/>
  </r>
  <r>
    <s v="ORD51366"/>
    <d v="2024-01-15T00:00:00"/>
    <s v="CUST1255"/>
    <s v="P001"/>
    <x v="13"/>
    <s v="Electronics"/>
    <x v="1"/>
    <x v="3"/>
    <n v="2"/>
    <n v="62964.61"/>
    <n v="0"/>
    <x v="1363"/>
    <x v="0"/>
    <s v="Net Banking"/>
    <s v="Completed"/>
    <x v="2"/>
    <s v="Completed"/>
    <s v="Online"/>
    <s v="Net Banking"/>
    <x v="1"/>
    <s v="VALID"/>
    <s v="NORMAL"/>
    <s v="Valid"/>
    <n v="125929.22"/>
    <n v="125929.22"/>
  </r>
  <r>
    <s v="ORD51367"/>
    <d v="2024-11-08T00:00:00"/>
    <s v="CUST1244"/>
    <s v="P008"/>
    <x v="4"/>
    <s v="Stationery"/>
    <x v="3"/>
    <x v="11"/>
    <n v="4"/>
    <n v="224.73"/>
    <n v="0.03"/>
    <x v="1364"/>
    <x v="0"/>
    <s v="UPI"/>
    <s v="Completed"/>
    <x v="6"/>
    <s v="Completed"/>
    <s v="Online"/>
    <s v="Upi"/>
    <x v="3"/>
    <s v="VALID"/>
    <s v="NORMAL"/>
    <s v="Valid"/>
    <n v="898.92"/>
    <n v="871.95240000000001"/>
  </r>
  <r>
    <s v="ORD51368"/>
    <d v="2024-05-19T00:00:00"/>
    <s v="CUST1139"/>
    <s v="P011"/>
    <x v="1"/>
    <s v="Electronics"/>
    <x v="3"/>
    <x v="11"/>
    <n v="2"/>
    <n v="3341.78"/>
    <n v="0.1"/>
    <x v="1365"/>
    <x v="0"/>
    <s v="Net Banking"/>
    <s v="Completed"/>
    <x v="0"/>
    <s v="Completed"/>
    <s v="Online"/>
    <s v="Net Banking"/>
    <x v="1"/>
    <s v="VALID"/>
    <s v="NORMAL"/>
    <s v="Valid"/>
    <n v="6683.56"/>
    <n v="6015.2040000000006"/>
  </r>
  <r>
    <s v="ORD51369"/>
    <d v="2025-10-03T00:00:00"/>
    <s v="CUST1103"/>
    <s v="P012"/>
    <x v="0"/>
    <s v="Accessories"/>
    <x v="3"/>
    <x v="8"/>
    <n v="2"/>
    <n v="798.29"/>
    <n v="0.03"/>
    <x v="1366"/>
    <x v="0"/>
    <s v="Debit Card"/>
    <s v="Completed"/>
    <x v="5"/>
    <s v="Completed"/>
    <s v="Online"/>
    <s v="Debit Card"/>
    <x v="0"/>
    <s v="VALID"/>
    <s v="NORMAL"/>
    <s v="Valid"/>
    <n v="1596.58"/>
    <n v="1548.6825999999999"/>
  </r>
  <r>
    <s v="ORD51370"/>
    <d v="2024-10-18T00:00:00"/>
    <m/>
    <s v="P014"/>
    <x v="5"/>
    <s v="Electronics"/>
    <x v="3"/>
    <x v="16"/>
    <n v="1"/>
    <n v="2979.86"/>
    <n v="-0.1"/>
    <x v="1367"/>
    <x v="1"/>
    <s v="Credit Card"/>
    <s v="Completed"/>
    <x v="5"/>
    <s v="Completed"/>
    <s v="Marketplace"/>
    <s v="Credit Card"/>
    <x v="1"/>
    <s v="VALID"/>
    <s v="NORMAL"/>
    <s v="Invalid"/>
    <n v="2979.86"/>
    <n v="3277.846"/>
  </r>
  <r>
    <s v="ORD51371"/>
    <d v="2025-10-13T00:00:00"/>
    <s v="CUST1212"/>
    <s v="P004"/>
    <x v="6"/>
    <s v="Electronics"/>
    <x v="1"/>
    <x v="7"/>
    <n v="3"/>
    <n v="12385.77"/>
    <n v="0"/>
    <x v="1368"/>
    <x v="0"/>
    <s v="Cash on Delivery"/>
    <s v="Completed"/>
    <x v="1"/>
    <s v="Completed"/>
    <s v="Online"/>
    <s v="Cash On Delivery"/>
    <x v="1"/>
    <s v="VALID"/>
    <s v="NORMAL"/>
    <s v="Valid"/>
    <n v="37157.31"/>
    <n v="37157.31"/>
  </r>
  <r>
    <s v="ORD51372"/>
    <d v="2025-04-01T00:00:00"/>
    <s v="CUST1253"/>
    <s v="P005"/>
    <x v="12"/>
    <s v="Furniture"/>
    <x v="0"/>
    <x v="10"/>
    <n v="4"/>
    <n v="9395.58"/>
    <n v="0.05"/>
    <x v="1369"/>
    <x v="1"/>
    <s v="Debit Card"/>
    <s v="Returned"/>
    <x v="2"/>
    <s v="Returned"/>
    <s v="Marketplace"/>
    <s v="Debit Card"/>
    <x v="2"/>
    <s v="VALID"/>
    <s v="NORMAL"/>
    <s v="Valid"/>
    <n v="37582.32"/>
    <n v="35703.203999999998"/>
  </r>
  <r>
    <s v="ORD51373"/>
    <d v="2024-06-28T00:00:00"/>
    <s v="CUST1107"/>
    <s v="P014"/>
    <x v="5"/>
    <s v="Electronics"/>
    <x v="1"/>
    <x v="1"/>
    <n v="4"/>
    <n v="2910.76"/>
    <n v="0.08"/>
    <x v="1370"/>
    <x v="0"/>
    <s v="UPI"/>
    <s v="Completed"/>
    <x v="0"/>
    <s v="Completed"/>
    <s v="Online"/>
    <s v="Upi"/>
    <x v="1"/>
    <s v="VALID"/>
    <s v="NORMAL"/>
    <s v="Valid"/>
    <n v="11643.04"/>
    <n v="10711.596800000001"/>
  </r>
  <r>
    <s v="ORD51374"/>
    <d v="2025-02-05T00:00:00"/>
    <s v="CUST1215"/>
    <s v="P010"/>
    <x v="14"/>
    <s v="Electronics"/>
    <x v="2"/>
    <x v="13"/>
    <n v="2"/>
    <n v="2362.91"/>
    <n v="0.15"/>
    <x v="1371"/>
    <x v="1"/>
    <s v="Credit Card"/>
    <s v="Returned"/>
    <x v="7"/>
    <s v="Returned"/>
    <s v="Marketplace"/>
    <s v="Credit Card"/>
    <x v="1"/>
    <s v="VALID"/>
    <s v="NORMAL"/>
    <s v="Valid"/>
    <n v="4725.82"/>
    <n v="4016.9469999999997"/>
  </r>
  <r>
    <s v="ORD51375"/>
    <d v="2026-01-31T00:00:00"/>
    <s v="CUST1251"/>
    <s v="P005"/>
    <x v="12"/>
    <s v="Furniture"/>
    <x v="3"/>
    <x v="9"/>
    <n v="1"/>
    <n v="9970.49"/>
    <n v="0.08"/>
    <x v="1372"/>
    <x v="1"/>
    <s v="Cash on Delivery"/>
    <s v="Completed"/>
    <x v="6"/>
    <s v="Completed"/>
    <s v="Marketplace"/>
    <s v="Cash On Delivery"/>
    <x v="2"/>
    <s v="VALID"/>
    <s v="NORMAL"/>
    <s v="Valid"/>
    <n v="9970.49"/>
    <n v="9172.8508000000002"/>
  </r>
  <r>
    <s v="ORD51376"/>
    <d v="2024-01-17T00:00:00"/>
    <s v="CUST1037"/>
    <s v="P009"/>
    <x v="7"/>
    <s v="Accessories"/>
    <x v="2"/>
    <x v="5"/>
    <n v="2"/>
    <n v="1695.84"/>
    <n v="0.2"/>
    <x v="1373"/>
    <x v="0"/>
    <s v="UPI"/>
    <s v="Completed"/>
    <x v="6"/>
    <s v="Completed"/>
    <s v="Online"/>
    <s v="Upi"/>
    <x v="0"/>
    <s v="VALID"/>
    <s v="NORMAL"/>
    <s v="Valid"/>
    <n v="3391.68"/>
    <n v="2713.3440000000001"/>
  </r>
  <r>
    <s v="ORD51377"/>
    <d v="2026-03-07T00:00:00"/>
    <s v="CUST1014"/>
    <s v="P012"/>
    <x v="0"/>
    <s v="Accessories"/>
    <x v="2"/>
    <x v="13"/>
    <n v="4"/>
    <n v="880.37"/>
    <n v="0.2"/>
    <x v="1374"/>
    <x v="2"/>
    <s v="Debit Card"/>
    <s v="Completed"/>
    <x v="2"/>
    <s v="Completed"/>
    <s v="Store"/>
    <s v="Debit Card"/>
    <x v="0"/>
    <s v="VALID"/>
    <s v="NORMAL"/>
    <s v="Valid"/>
    <n v="3521.48"/>
    <n v="2817.1840000000002"/>
  </r>
  <r>
    <s v="ORD51378"/>
    <d v="2024-09-26T00:00:00"/>
    <s v="CUST1177"/>
    <s v="P001"/>
    <x v="13"/>
    <s v="Electronics"/>
    <x v="0"/>
    <x v="10"/>
    <n v="3"/>
    <n v="69885.39"/>
    <n v="0.05"/>
    <x v="1375"/>
    <x v="1"/>
    <s v="Credit Card"/>
    <s v="Completed"/>
    <x v="0"/>
    <s v="Completed"/>
    <s v="Marketplace"/>
    <s v="Credit Card"/>
    <x v="1"/>
    <s v="VALID"/>
    <s v="NORMAL"/>
    <s v="Valid"/>
    <n v="209656.16999999998"/>
    <n v="199173.3615"/>
  </r>
  <r>
    <s v="ORD51379"/>
    <d v="2025-12-03T00:00:00"/>
    <s v="CUST1161"/>
    <s v="P010"/>
    <x v="14"/>
    <s v="Electronics"/>
    <x v="0"/>
    <x v="2"/>
    <n v="1"/>
    <n v="2109.81"/>
    <n v="0.1"/>
    <x v="1376"/>
    <x v="2"/>
    <s v="Credit Card"/>
    <s v="Cancelled"/>
    <x v="3"/>
    <s v="Cancelled"/>
    <s v="Store"/>
    <s v="Credit Card"/>
    <x v="1"/>
    <s v="VALID"/>
    <s v="NORMAL"/>
    <s v="Valid"/>
    <n v="2109.81"/>
    <n v="1898.829"/>
  </r>
  <r>
    <s v="ORD51380"/>
    <d v="2025-05-23T00:00:00"/>
    <s v="CUST1109"/>
    <s v="P010"/>
    <x v="14"/>
    <s v="Electronics"/>
    <x v="2"/>
    <x v="13"/>
    <n v="1"/>
    <n v="2201.9299999999998"/>
    <n v="0.03"/>
    <x v="1377"/>
    <x v="1"/>
    <s v="Cash on Delivery"/>
    <s v="Cancelled"/>
    <x v="7"/>
    <s v="Cancelled"/>
    <s v="Marketplace"/>
    <s v="Cash On Delivery"/>
    <x v="1"/>
    <s v="VALID"/>
    <s v="NORMAL"/>
    <s v="Valid"/>
    <n v="2201.9299999999998"/>
    <n v="2135.8721"/>
  </r>
  <r>
    <s v="ORD51381"/>
    <d v="2025-03-09T00:00:00"/>
    <s v="CUST1216"/>
    <s v="P013"/>
    <x v="2"/>
    <s v="Furniture"/>
    <x v="1"/>
    <x v="6"/>
    <n v="2"/>
    <n v="1486.47"/>
    <n v="0.2"/>
    <x v="1378"/>
    <x v="0"/>
    <s v="Net Banking"/>
    <s v="Completed"/>
    <x v="4"/>
    <s v="Completed"/>
    <s v="Online"/>
    <s v="Net Banking"/>
    <x v="2"/>
    <s v="VALID"/>
    <s v="NORMAL"/>
    <s v="Valid"/>
    <n v="2972.94"/>
    <n v="2378.3519999999999"/>
  </r>
  <r>
    <s v="ORD51382"/>
    <d v="2024-01-29T00:00:00"/>
    <s v="CUST1203"/>
    <s v="P003"/>
    <x v="3"/>
    <s v="Electronics"/>
    <x v="1"/>
    <x v="7"/>
    <n v="4"/>
    <n v="1836.03"/>
    <n v="0.15"/>
    <x v="1379"/>
    <x v="1"/>
    <s v="Debit Card"/>
    <s v="Completed"/>
    <x v="0"/>
    <s v="Completed"/>
    <s v="Marketplace"/>
    <s v="Debit Card"/>
    <x v="1"/>
    <s v="VALID"/>
    <s v="NORMAL"/>
    <s v="Valid"/>
    <n v="7344.12"/>
    <n v="6242.5020000000004"/>
  </r>
  <r>
    <s v="ORD51383"/>
    <d v="2026-05-10T00:00:00"/>
    <s v="CUST1195"/>
    <s v="P013"/>
    <x v="2"/>
    <s v="Furniture"/>
    <x v="2"/>
    <x v="4"/>
    <n v="3"/>
    <n v="1543.93"/>
    <n v="0.2"/>
    <x v="1380"/>
    <x v="1"/>
    <s v="UPI"/>
    <s v="Completed"/>
    <x v="8"/>
    <s v="Completed"/>
    <s v="Marketplace"/>
    <s v="Upi"/>
    <x v="2"/>
    <s v="VALID"/>
    <s v="NORMAL"/>
    <s v="Valid"/>
    <n v="4631.79"/>
    <n v="3705.4319999999998"/>
  </r>
  <r>
    <s v="ORD51384"/>
    <d v="2024-12-18T00:00:00"/>
    <s v="CUST1205"/>
    <s v="P003"/>
    <x v="3"/>
    <s v="Electronics"/>
    <x v="1"/>
    <x v="1"/>
    <n v="5"/>
    <n v="1696.71"/>
    <n v="0.03"/>
    <x v="1381"/>
    <x v="0"/>
    <s v="Debit Card"/>
    <s v="Cancelled"/>
    <x v="5"/>
    <s v="Cancelled"/>
    <s v="Online"/>
    <s v="Debit Card"/>
    <x v="1"/>
    <s v="VALID"/>
    <s v="NORMAL"/>
    <s v="Valid"/>
    <n v="8483.5499999999993"/>
    <n v="8229.0434999999998"/>
  </r>
  <r>
    <s v="ORD51385"/>
    <d v="2024-04-20T00:00:00"/>
    <s v="CUST1253"/>
    <s v="P013"/>
    <x v="2"/>
    <s v="Furniture"/>
    <x v="2"/>
    <x v="12"/>
    <n v="3"/>
    <n v="1636.42"/>
    <n v="0"/>
    <x v="1382"/>
    <x v="1"/>
    <s v="UPI"/>
    <s v="Completed"/>
    <x v="4"/>
    <s v="Completed"/>
    <s v="Marketplace"/>
    <s v="Upi"/>
    <x v="2"/>
    <s v="VALID"/>
    <s v="NORMAL"/>
    <s v="Valid"/>
    <n v="4909.26"/>
    <n v="4909.26"/>
  </r>
  <r>
    <s v="ORD51386"/>
    <d v="2025-03-21T00:00:00"/>
    <s v="CUST1212"/>
    <s v="P008"/>
    <x v="4"/>
    <s v="Stationery"/>
    <x v="3"/>
    <x v="11"/>
    <n v="4"/>
    <n v="227.23"/>
    <n v="0"/>
    <x v="1383"/>
    <x v="1"/>
    <s v="Debit Card"/>
    <s v="Returned"/>
    <x v="0"/>
    <s v="Returned"/>
    <s v="Marketplace"/>
    <s v="Debit Card"/>
    <x v="3"/>
    <s v="VALID"/>
    <s v="NORMAL"/>
    <s v="Valid"/>
    <n v="908.92"/>
    <n v="908.92"/>
  </r>
  <r>
    <s v="ORD51387"/>
    <d v="2025-08-21T00:00:00"/>
    <s v="CUST1178"/>
    <s v="P001"/>
    <x v="13"/>
    <s v="Electronics"/>
    <x v="0"/>
    <x v="0"/>
    <m/>
    <n v="69053.2"/>
    <n v="0.15"/>
    <x v="1384"/>
    <x v="0"/>
    <s v="Credit Card"/>
    <s v="Returned"/>
    <x v="2"/>
    <s v="Returned"/>
    <s v="Online"/>
    <s v="Credit Card"/>
    <x v="1"/>
    <s v="INVALID"/>
    <s v="NORMAL"/>
    <s v="Valid"/>
    <n v="0"/>
    <n v="0"/>
  </r>
  <r>
    <s v="ORD51388"/>
    <d v="2026-02-09T00:00:00"/>
    <s v="CUST1227"/>
    <s v="P004"/>
    <x v="6"/>
    <s v="Electronics"/>
    <x v="0"/>
    <x v="2"/>
    <n v="1"/>
    <n v="12922.22"/>
    <n v="0.05"/>
    <x v="1385"/>
    <x v="2"/>
    <s v="Credit Card"/>
    <s v="Completed"/>
    <x v="5"/>
    <s v="Completed"/>
    <s v="Store"/>
    <s v="Credit Card"/>
    <x v="1"/>
    <s v="VALID"/>
    <s v="NORMAL"/>
    <s v="Valid"/>
    <n v="12922.22"/>
    <n v="12276.108999999999"/>
  </r>
  <r>
    <s v="ORD51389"/>
    <d v="2025-07-08T00:00:00"/>
    <s v="CUST1188"/>
    <s v="P014"/>
    <x v="5"/>
    <s v="Electronics"/>
    <x v="2"/>
    <x v="5"/>
    <n v="3"/>
    <n v="2810.76"/>
    <n v="0.15"/>
    <x v="1386"/>
    <x v="1"/>
    <s v="UPI"/>
    <s v="Cancelled"/>
    <x v="5"/>
    <s v="Cancelled"/>
    <s v="Marketplace"/>
    <s v="Upi"/>
    <x v="1"/>
    <s v="VALID"/>
    <s v="NORMAL"/>
    <s v="Valid"/>
    <n v="8432.2800000000007"/>
    <n v="7167.4380000000001"/>
  </r>
  <r>
    <s v="ORD51390"/>
    <d v="2024-01-22T00:00:00"/>
    <s v="CUST1121"/>
    <s v="P010"/>
    <x v="14"/>
    <s v="Electronics"/>
    <x v="3"/>
    <x v="9"/>
    <n v="2"/>
    <n v="2347"/>
    <n v="0.05"/>
    <x v="1387"/>
    <x v="0"/>
    <s v="Cash on Delivery"/>
    <s v="Completed"/>
    <x v="3"/>
    <s v="Completed"/>
    <s v="Online"/>
    <s v="Cash On Delivery"/>
    <x v="1"/>
    <s v="VALID"/>
    <s v="NORMAL"/>
    <s v="Valid"/>
    <n v="4694"/>
    <n v="4459.3"/>
  </r>
  <r>
    <s v="ORD51391"/>
    <d v="2024-03-25T00:00:00"/>
    <s v="CUST1146"/>
    <s v="P005"/>
    <x v="12"/>
    <s v="Furniture"/>
    <x v="0"/>
    <x v="10"/>
    <n v="5"/>
    <n v="9287.94"/>
    <n v="0.05"/>
    <x v="1388"/>
    <x v="0"/>
    <s v="Cash on Delivery"/>
    <s v="Completed"/>
    <x v="2"/>
    <s v="Completed"/>
    <s v="Online"/>
    <s v="Cash On Delivery"/>
    <x v="2"/>
    <s v="VALID"/>
    <s v="NORMAL"/>
    <s v="Valid"/>
    <n v="46439.700000000004"/>
    <n v="44117.715000000004"/>
  </r>
  <r>
    <s v="ORD51392"/>
    <d v="2024-05-07T00:00:00"/>
    <s v="CUST1002"/>
    <s v="P011"/>
    <x v="1"/>
    <s v="Electronics"/>
    <x v="2"/>
    <x v="5"/>
    <n v="4"/>
    <n v="3101.49"/>
    <n v="0.1"/>
    <x v="1389"/>
    <x v="2"/>
    <s v="Credit Card"/>
    <s v="Completed"/>
    <x v="3"/>
    <s v="Completed"/>
    <s v="Store"/>
    <s v="Credit Card"/>
    <x v="1"/>
    <s v="VALID"/>
    <s v="NORMAL"/>
    <s v="Valid"/>
    <n v="12405.96"/>
    <n v="11165.364"/>
  </r>
  <r>
    <s v="ORD51393"/>
    <d v="2025-02-16T00:00:00"/>
    <s v="CUST1024"/>
    <s v="P015"/>
    <x v="8"/>
    <s v="Accessories"/>
    <x v="0"/>
    <x v="0"/>
    <n v="2"/>
    <n v="709.08"/>
    <n v="0.08"/>
    <x v="1390"/>
    <x v="1"/>
    <s v="Debit Card"/>
    <s v="Cancelled"/>
    <x v="1"/>
    <s v="Cancelled"/>
    <s v="Marketplace"/>
    <s v="Debit Card"/>
    <x v="0"/>
    <s v="VALID"/>
    <s v="NORMAL"/>
    <s v="Valid"/>
    <n v="1418.16"/>
    <n v="1304.7072000000001"/>
  </r>
  <r>
    <s v="ORD51394"/>
    <d v="2026-02-01T00:00:00"/>
    <s v="CUST1051"/>
    <s v="P006"/>
    <x v="10"/>
    <s v="Furniture"/>
    <x v="1"/>
    <x v="6"/>
    <n v="3"/>
    <n v="7770.15"/>
    <n v="0.1"/>
    <x v="1391"/>
    <x v="2"/>
    <s v="Cash on Delivery"/>
    <s v="Returned"/>
    <x v="6"/>
    <s v="Returned"/>
    <s v="Store"/>
    <s v="Cash On Delivery"/>
    <x v="2"/>
    <s v="VALID"/>
    <s v="NORMAL"/>
    <s v="Valid"/>
    <n v="23310.449999999997"/>
    <n v="20979.404999999999"/>
  </r>
  <r>
    <s v="ORD51395"/>
    <d v="2025-05-19T00:00:00"/>
    <s v="CUST1205"/>
    <s v="P014"/>
    <x v="5"/>
    <s v="Electronics"/>
    <x v="2"/>
    <x v="13"/>
    <n v="3"/>
    <n v="2663.4"/>
    <n v="0.03"/>
    <x v="1392"/>
    <x v="2"/>
    <s v="Credit Card"/>
    <s v="Completed"/>
    <x v="1"/>
    <s v="Completed"/>
    <s v="Store"/>
    <s v="Credit Card"/>
    <x v="1"/>
    <s v="VALID"/>
    <s v="NORMAL"/>
    <s v="Valid"/>
    <n v="7990.2000000000007"/>
    <n v="7750.4940000000006"/>
  </r>
  <r>
    <s v="ORD51396"/>
    <d v="2025-06-27T00:00:00"/>
    <s v="CUST1019"/>
    <s v="P011"/>
    <x v="1"/>
    <s v="Electronics"/>
    <x v="0"/>
    <x v="10"/>
    <n v="1"/>
    <n v="3054.71"/>
    <n v="0.05"/>
    <x v="1393"/>
    <x v="1"/>
    <s v="Net Banking"/>
    <s v="Completed"/>
    <x v="0"/>
    <s v="Completed"/>
    <s v="Marketplace"/>
    <s v="Net Banking"/>
    <x v="1"/>
    <s v="VALID"/>
    <s v="NORMAL"/>
    <s v="Valid"/>
    <n v="3054.71"/>
    <n v="2901.9745000000003"/>
  </r>
  <r>
    <s v="ORD51397"/>
    <d v="2024-06-26T00:00:00"/>
    <s v="CUST1213"/>
    <s v="P012"/>
    <x v="0"/>
    <s v="Accessories"/>
    <x v="0"/>
    <x v="14"/>
    <n v="1"/>
    <n v="875.59"/>
    <n v="0.05"/>
    <x v="1394"/>
    <x v="0"/>
    <s v="Cash on Delivery"/>
    <s v="Completed"/>
    <x v="6"/>
    <s v="Completed"/>
    <s v="Online"/>
    <s v="Cash On Delivery"/>
    <x v="0"/>
    <s v="VALID"/>
    <s v="NORMAL"/>
    <s v="Valid"/>
    <n v="875.59"/>
    <n v="831.81050000000005"/>
  </r>
  <r>
    <s v="ORD51398"/>
    <d v="2025-03-01T00:00:00"/>
    <s v="CUST1230"/>
    <s v="P009"/>
    <x v="7"/>
    <s v="Accessories"/>
    <x v="2"/>
    <x v="5"/>
    <n v="30"/>
    <n v="1715.72"/>
    <n v="0"/>
    <x v="1395"/>
    <x v="0"/>
    <s v="UPI"/>
    <s v="Completed"/>
    <x v="1"/>
    <s v="Completed"/>
    <s v="Online"/>
    <s v="Upi"/>
    <x v="0"/>
    <s v="VALID"/>
    <s v="NORMAL"/>
    <s v="Valid"/>
    <n v="51471.6"/>
    <n v="51471.6"/>
  </r>
  <r>
    <s v="ORD51399"/>
    <d v="2025-06-29T00:00:00"/>
    <s v="CUST1111"/>
    <s v="P013"/>
    <x v="2"/>
    <s v="Furniture"/>
    <x v="3"/>
    <x v="11"/>
    <n v="3"/>
    <n v="1641.51"/>
    <n v="0.15"/>
    <x v="1396"/>
    <x v="2"/>
    <s v="Credit Card"/>
    <s v="Completed"/>
    <x v="5"/>
    <s v="Completed"/>
    <s v="Store"/>
    <s v="Credit Card"/>
    <x v="2"/>
    <s v="VALID"/>
    <s v="NORMAL"/>
    <s v="Valid"/>
    <n v="4924.53"/>
    <n v="4185.8504999999996"/>
  </r>
  <r>
    <s v="ORD51400"/>
    <d v="2024-07-22T00:00:00"/>
    <s v="CUST1031"/>
    <s v="P002"/>
    <x v="9"/>
    <s v="Electronics"/>
    <x v="3"/>
    <x v="9"/>
    <n v="5"/>
    <n v="1192.6300000000001"/>
    <n v="0.1"/>
    <x v="1397"/>
    <x v="0"/>
    <s v="Debit Card"/>
    <s v="Completed"/>
    <x v="5"/>
    <s v="Completed"/>
    <s v="Online"/>
    <s v="Debit Card"/>
    <x v="1"/>
    <s v="VALID"/>
    <s v="NORMAL"/>
    <s v="Valid"/>
    <n v="5963.1500000000005"/>
    <n v="5366.8350000000009"/>
  </r>
  <r>
    <s v="ORD51401"/>
    <d v="2024-12-10T00:00:00"/>
    <s v="CUST1125"/>
    <s v="P005"/>
    <x v="12"/>
    <s v="Furniture"/>
    <x v="1"/>
    <x v="7"/>
    <n v="3"/>
    <n v="9829.2999999999993"/>
    <n v="0.03"/>
    <x v="1398"/>
    <x v="1"/>
    <s v="Cash on Delivery"/>
    <s v="Cancelled"/>
    <x v="1"/>
    <s v="Cancelled"/>
    <s v="Marketplace"/>
    <s v="Cash On Delivery"/>
    <x v="2"/>
    <s v="VALID"/>
    <s v="NORMAL"/>
    <s v="Valid"/>
    <n v="29487.899999999998"/>
    <n v="28603.262999999999"/>
  </r>
  <r>
    <s v="ORD51402"/>
    <d v="2024-07-02T00:00:00"/>
    <s v="CUST1178"/>
    <s v="P008"/>
    <x v="4"/>
    <s v="Stationery"/>
    <x v="2"/>
    <x v="4"/>
    <n v="2"/>
    <n v="215.83"/>
    <n v="0.15"/>
    <x v="1399"/>
    <x v="0"/>
    <s v="Credit Card"/>
    <s v="Cancelled"/>
    <x v="3"/>
    <s v="Cancelled"/>
    <s v="Online"/>
    <s v="Credit Card"/>
    <x v="3"/>
    <s v="VALID"/>
    <s v="NORMAL"/>
    <s v="Valid"/>
    <n v="431.66"/>
    <n v="366.91100000000006"/>
  </r>
  <r>
    <s v="ORD51403"/>
    <d v="2025-12-23T00:00:00"/>
    <s v="CUST1220"/>
    <s v="P008"/>
    <x v="4"/>
    <s v="Stationery"/>
    <x v="3"/>
    <x v="11"/>
    <n v="3"/>
    <n v="207.87"/>
    <n v="0.05"/>
    <x v="1400"/>
    <x v="2"/>
    <s v="Cash on Delivery"/>
    <s v="Completed"/>
    <x v="6"/>
    <s v="Completed"/>
    <s v="Store"/>
    <s v="Cash On Delivery"/>
    <x v="3"/>
    <s v="VALID"/>
    <s v="NORMAL"/>
    <s v="Valid"/>
    <n v="623.61"/>
    <n v="592.42949999999996"/>
  </r>
  <r>
    <s v="ORD51404"/>
    <d v="2026-02-15T00:00:00"/>
    <s v="CUST1256"/>
    <s v="P010"/>
    <x v="14"/>
    <s v="Electronics"/>
    <x v="0"/>
    <x v="10"/>
    <n v="2"/>
    <n v="2331"/>
    <n v="0.2"/>
    <x v="1401"/>
    <x v="0"/>
    <s v="Cash on Delivery"/>
    <s v="Completed"/>
    <x v="5"/>
    <s v="Completed"/>
    <s v="Online"/>
    <s v="Cash On Delivery"/>
    <x v="1"/>
    <s v="VALID"/>
    <s v="NORMAL"/>
    <s v="Valid"/>
    <n v="4662"/>
    <n v="3729.6"/>
  </r>
  <r>
    <s v="ORD51405"/>
    <d v="2025-09-25T00:00:00"/>
    <s v="CUST1074"/>
    <s v="P004"/>
    <x v="6"/>
    <s v="Electronics"/>
    <x v="2"/>
    <x v="5"/>
    <n v="4"/>
    <n v="12799.13"/>
    <n v="0.05"/>
    <x v="1402"/>
    <x v="0"/>
    <s v="UPI"/>
    <s v="Cancelled"/>
    <x v="4"/>
    <s v="Cancelled"/>
    <s v="Online"/>
    <s v="Upi"/>
    <x v="1"/>
    <s v="VALID"/>
    <s v="NORMAL"/>
    <s v="Valid"/>
    <n v="51196.52"/>
    <n v="48636.693999999996"/>
  </r>
  <r>
    <s v="ORD51406"/>
    <d v="2025-01-17T00:00:00"/>
    <s v="CUST1029"/>
    <s v="P002"/>
    <x v="9"/>
    <s v="Electronics"/>
    <x v="0"/>
    <x v="10"/>
    <n v="1"/>
    <n v="1237.52"/>
    <n v="0"/>
    <x v="1403"/>
    <x v="1"/>
    <s v="Net Banking"/>
    <s v="Cancelled"/>
    <x v="1"/>
    <s v="Cancelled"/>
    <s v="Marketplace"/>
    <s v="Net Banking"/>
    <x v="1"/>
    <s v="VALID"/>
    <s v="NORMAL"/>
    <s v="Valid"/>
    <n v="1237.52"/>
    <n v="1237.52"/>
  </r>
  <r>
    <s v="ORD51407"/>
    <d v="2026-05-09T00:00:00"/>
    <s v="CUST1246"/>
    <s v="P003"/>
    <x v="3"/>
    <s v="Electronics"/>
    <x v="0"/>
    <x v="0"/>
    <n v="3"/>
    <n v="1721.6"/>
    <n v="0"/>
    <x v="1404"/>
    <x v="1"/>
    <s v="Debit Card"/>
    <s v="Completed"/>
    <x v="5"/>
    <s v="Completed"/>
    <s v="Marketplace"/>
    <s v="Debit Card"/>
    <x v="1"/>
    <s v="VALID"/>
    <s v="NORMAL"/>
    <s v="Valid"/>
    <n v="5164.7999999999993"/>
    <n v="5164.7999999999993"/>
  </r>
  <r>
    <s v="ORD51408"/>
    <d v="2025-10-16T00:00:00"/>
    <s v="CUST1057"/>
    <s v="P007"/>
    <x v="11"/>
    <s v="Stationery"/>
    <x v="3"/>
    <x v="11"/>
    <n v="2"/>
    <n v="440.48"/>
    <n v="0.08"/>
    <x v="1405"/>
    <x v="0"/>
    <s v="Credit Card"/>
    <s v="Completed"/>
    <x v="1"/>
    <s v="Completed"/>
    <s v="Online"/>
    <s v="Credit Card"/>
    <x v="3"/>
    <s v="VALID"/>
    <s v="NORMAL"/>
    <s v="Valid"/>
    <n v="880.96"/>
    <n v="810.48320000000001"/>
  </r>
  <r>
    <s v="ORD51409"/>
    <d v="2025-09-21T00:00:00"/>
    <s v="CUST1123"/>
    <s v="P008"/>
    <x v="4"/>
    <s v="Stationery"/>
    <x v="3"/>
    <x v="8"/>
    <n v="5"/>
    <n v="234.59"/>
    <n v="0.15"/>
    <x v="1406"/>
    <x v="2"/>
    <s v="UPI"/>
    <s v="Completed"/>
    <x v="1"/>
    <s v="Completed"/>
    <s v="Store"/>
    <s v="Upi"/>
    <x v="3"/>
    <s v="VALID"/>
    <s v="NORMAL"/>
    <s v="Valid"/>
    <n v="1172.95"/>
    <n v="997.00750000000005"/>
  </r>
  <r>
    <s v="ORD51410"/>
    <d v="2024-07-28T00:00:00"/>
    <s v="CUST1003"/>
    <s v="P004"/>
    <x v="6"/>
    <s v="Electronics"/>
    <x v="2"/>
    <x v="12"/>
    <n v="1"/>
    <n v="13231.66"/>
    <n v="0.05"/>
    <x v="1407"/>
    <x v="1"/>
    <s v="Debit Card"/>
    <s v="Completed"/>
    <x v="3"/>
    <s v="Completed"/>
    <s v="Marketplace"/>
    <s v="Debit Card"/>
    <x v="1"/>
    <s v="VALID"/>
    <s v="NORMAL"/>
    <s v="Valid"/>
    <n v="13231.66"/>
    <n v="12570.076999999999"/>
  </r>
  <r>
    <s v="ORD51411"/>
    <d v="2024-07-13T00:00:00"/>
    <s v="CUST1033"/>
    <s v="P006"/>
    <x v="10"/>
    <s v="Furniture"/>
    <x v="1"/>
    <x v="7"/>
    <n v="4"/>
    <n v="6811.24"/>
    <n v="0.08"/>
    <x v="1408"/>
    <x v="0"/>
    <s v="Credit Card"/>
    <s v="Completed"/>
    <x v="3"/>
    <s v="Completed"/>
    <s v="Online"/>
    <s v="Credit Card"/>
    <x v="2"/>
    <s v="VALID"/>
    <s v="NORMAL"/>
    <s v="Valid"/>
    <n v="27244.959999999999"/>
    <n v="25065.3632"/>
  </r>
  <r>
    <s v="ORD51412"/>
    <d v="2025-09-09T00:00:00"/>
    <s v="CUST1251"/>
    <s v="P007"/>
    <x v="11"/>
    <s v="Stationery"/>
    <x v="3"/>
    <x v="15"/>
    <n v="2"/>
    <n v="478.99"/>
    <n v="0.03"/>
    <x v="1409"/>
    <x v="0"/>
    <s v="Debit Card"/>
    <s v="Completed"/>
    <x v="3"/>
    <s v="Completed"/>
    <s v="Online"/>
    <s v="Debit Card"/>
    <x v="3"/>
    <s v="VALID"/>
    <s v="NORMAL"/>
    <s v="Valid"/>
    <n v="957.98"/>
    <n v="929.24059999999997"/>
  </r>
  <r>
    <s v="ORD51413"/>
    <d v="2025-06-09T00:00:00"/>
    <s v="CUST1112"/>
    <s v="P012"/>
    <x v="0"/>
    <s v="Accessories"/>
    <x v="2"/>
    <x v="12"/>
    <n v="1"/>
    <n v="795.58"/>
    <n v="0.08"/>
    <x v="1410"/>
    <x v="2"/>
    <s v="Net Banking"/>
    <s v="Returned"/>
    <x v="2"/>
    <s v="Returned"/>
    <s v="Store"/>
    <s v="Net Banking"/>
    <x v="0"/>
    <s v="VALID"/>
    <s v="NORMAL"/>
    <s v="Valid"/>
    <n v="795.58"/>
    <n v="731.93360000000007"/>
  </r>
  <r>
    <s v="ORD51414"/>
    <d v="2025-11-18T00:00:00"/>
    <s v="CUST1100"/>
    <s v="P002"/>
    <x v="9"/>
    <s v="Electronics"/>
    <x v="1"/>
    <x v="3"/>
    <n v="3"/>
    <n v="1220.76"/>
    <n v="0.15"/>
    <x v="1411"/>
    <x v="2"/>
    <s v="Net Banking"/>
    <s v="Completed"/>
    <x v="3"/>
    <s v="Completed"/>
    <s v="Store"/>
    <s v="Net Banking"/>
    <x v="1"/>
    <s v="VALID"/>
    <s v="NORMAL"/>
    <s v="Valid"/>
    <n v="3662.2799999999997"/>
    <n v="3112.9379999999996"/>
  </r>
  <r>
    <s v="ORD51415"/>
    <d v="2024-04-16T00:00:00"/>
    <m/>
    <s v="P005"/>
    <x v="12"/>
    <s v="Furniture"/>
    <x v="1"/>
    <x v="6"/>
    <n v="3"/>
    <n v="9479.75"/>
    <n v="0.1"/>
    <x v="1412"/>
    <x v="0"/>
    <s v="Credit Card"/>
    <s v="Completed"/>
    <x v="1"/>
    <s v="Completed"/>
    <s v="Online"/>
    <s v="Credit Card"/>
    <x v="2"/>
    <s v="VALID"/>
    <s v="NORMAL"/>
    <s v="Valid"/>
    <n v="28439.25"/>
    <n v="25595.325000000001"/>
  </r>
  <r>
    <s v="ORD51416"/>
    <d v="2024-08-11T00:00:00"/>
    <s v="CUST1142"/>
    <s v="P005"/>
    <x v="12"/>
    <s v="Furniture"/>
    <x v="2"/>
    <x v="4"/>
    <n v="4"/>
    <n v="8987.0400000000009"/>
    <n v="0.08"/>
    <x v="1413"/>
    <x v="1"/>
    <s v="Debit Card"/>
    <s v="Completed"/>
    <x v="1"/>
    <s v="Completed"/>
    <s v="Marketplace"/>
    <s v="Debit Card"/>
    <x v="2"/>
    <s v="VALID"/>
    <s v="NORMAL"/>
    <s v="Valid"/>
    <n v="35948.160000000003"/>
    <n v="33072.307200000003"/>
  </r>
  <r>
    <s v="ORD51417"/>
    <d v="2024-01-25T00:00:00"/>
    <s v="CUST1163"/>
    <s v="P001"/>
    <x v="13"/>
    <s v="Electronics"/>
    <x v="1"/>
    <x v="1"/>
    <n v="5"/>
    <n v="64130.61"/>
    <n v="0.2"/>
    <x v="1414"/>
    <x v="0"/>
    <s v="Credit Card"/>
    <s v="Cancelled"/>
    <x v="4"/>
    <s v="Cancelled"/>
    <s v="Online"/>
    <s v="Credit Card"/>
    <x v="1"/>
    <s v="VALID"/>
    <s v="NORMAL"/>
    <s v="Valid"/>
    <n v="320653.05"/>
    <n v="256522.44"/>
  </r>
  <r>
    <s v="ORD51418"/>
    <d v="2026-05-12T00:00:00"/>
    <s v="CUST1030"/>
    <s v="P012"/>
    <x v="0"/>
    <s v="Accessories"/>
    <x v="2"/>
    <x v="5"/>
    <n v="4"/>
    <n v="796.85"/>
    <n v="0"/>
    <x v="1415"/>
    <x v="1"/>
    <s v="Net Banking"/>
    <s v="Returned"/>
    <x v="5"/>
    <s v="Returned"/>
    <s v="Marketplace"/>
    <s v="Net Banking"/>
    <x v="0"/>
    <s v="VALID"/>
    <s v="NORMAL"/>
    <s v="Valid"/>
    <n v="3187.4"/>
    <n v="3187.4"/>
  </r>
  <r>
    <s v="ORD51419"/>
    <d v="2026-05-29T00:00:00"/>
    <s v="CUST1043"/>
    <s v="P015"/>
    <x v="8"/>
    <s v="Accessories"/>
    <x v="3"/>
    <x v="15"/>
    <n v="4"/>
    <n v="753.5"/>
    <n v="0.15"/>
    <x v="1416"/>
    <x v="0"/>
    <s v="UPI"/>
    <s v="Completed"/>
    <x v="4"/>
    <s v="Completed"/>
    <s v="Online"/>
    <s v="Upi"/>
    <x v="0"/>
    <s v="VALID"/>
    <s v="NORMAL"/>
    <s v="Valid"/>
    <n v="3014"/>
    <n v="2561.9"/>
  </r>
  <r>
    <s v="ORD51420"/>
    <d v="2025-09-18T00:00:00"/>
    <s v="CUST1004"/>
    <s v="P006"/>
    <x v="10"/>
    <s v="Furniture"/>
    <x v="3"/>
    <x v="15"/>
    <n v="5"/>
    <n v="7772.89"/>
    <n v="0.15"/>
    <x v="1417"/>
    <x v="1"/>
    <s v="Net Banking"/>
    <s v="Completed"/>
    <x v="3"/>
    <s v="Completed"/>
    <s v="Marketplace"/>
    <s v="Net Banking"/>
    <x v="2"/>
    <s v="VALID"/>
    <s v="NORMAL"/>
    <s v="Valid"/>
    <n v="38864.450000000004"/>
    <n v="33034.782500000001"/>
  </r>
  <r>
    <s v="ORD51421"/>
    <d v="2026-04-27T00:00:00"/>
    <s v="CUST1156"/>
    <s v="P001"/>
    <x v="13"/>
    <s v="Electronics"/>
    <x v="0"/>
    <x v="2"/>
    <n v="4"/>
    <n v="69257.119999999995"/>
    <n v="0.15"/>
    <x v="1418"/>
    <x v="0"/>
    <s v="Credit Card"/>
    <s v="Completed"/>
    <x v="1"/>
    <s v="Completed"/>
    <s v="Online"/>
    <s v="Credit Card"/>
    <x v="1"/>
    <s v="VALID"/>
    <s v="NORMAL"/>
    <s v="Valid"/>
    <n v="277028.47999999998"/>
    <n v="235474.20799999998"/>
  </r>
  <r>
    <s v="ORD51422"/>
    <d v="2024-11-24T00:00:00"/>
    <s v="CUST1002"/>
    <s v="P004"/>
    <x v="6"/>
    <s v="Electronics"/>
    <x v="0"/>
    <x v="10"/>
    <n v="1"/>
    <n v="13422.04"/>
    <n v="0.15"/>
    <x v="1419"/>
    <x v="1"/>
    <s v="Debit Card"/>
    <s v="Completed"/>
    <x v="4"/>
    <s v="Completed"/>
    <s v="Marketplace"/>
    <s v="Debit Card"/>
    <x v="1"/>
    <s v="VALID"/>
    <s v="NORMAL"/>
    <s v="Valid"/>
    <n v="13422.04"/>
    <n v="11408.734"/>
  </r>
  <r>
    <s v="ORD51423"/>
    <d v="2025-11-26T00:00:00"/>
    <s v="CUST1155"/>
    <s v="P004"/>
    <x v="6"/>
    <s v="Electronics"/>
    <x v="1"/>
    <x v="3"/>
    <n v="2"/>
    <n v="12441.69"/>
    <n v="0.03"/>
    <x v="1420"/>
    <x v="2"/>
    <s v="Credit Card"/>
    <s v="Completed"/>
    <x v="2"/>
    <s v="Completed"/>
    <s v="Store"/>
    <s v="Credit Card"/>
    <x v="1"/>
    <s v="VALID"/>
    <s v="NORMAL"/>
    <s v="Valid"/>
    <n v="24883.38"/>
    <n v="24136.8786"/>
  </r>
  <r>
    <s v="ORD51424"/>
    <d v="2026-01-25T00:00:00"/>
    <m/>
    <s v="P004"/>
    <x v="6"/>
    <s v="Electronics"/>
    <x v="3"/>
    <x v="15"/>
    <n v="1"/>
    <n v="12909.85"/>
    <n v="0.05"/>
    <x v="1421"/>
    <x v="0"/>
    <s v="Cash on Delivery"/>
    <s v="Completed"/>
    <x v="2"/>
    <s v="Completed"/>
    <s v="Online"/>
    <s v="Cash On Delivery"/>
    <x v="1"/>
    <s v="VALID"/>
    <s v="NORMAL"/>
    <s v="Valid"/>
    <n v="12909.85"/>
    <n v="12264.3575"/>
  </r>
  <r>
    <s v="ORD51425"/>
    <d v="2024-11-22T00:00:00"/>
    <s v="CUST1102"/>
    <s v="P009"/>
    <x v="7"/>
    <s v="Accessories"/>
    <x v="3"/>
    <x v="9"/>
    <n v="5"/>
    <n v="1779.81"/>
    <n v="0.03"/>
    <x v="1422"/>
    <x v="1"/>
    <s v="Debit Card"/>
    <s v="Completed"/>
    <x v="0"/>
    <s v="Completed"/>
    <s v="Marketplace"/>
    <s v="Debit Card"/>
    <x v="0"/>
    <s v="VALID"/>
    <s v="NORMAL"/>
    <s v="Valid"/>
    <n v="8899.0499999999993"/>
    <n v="8632.0784999999996"/>
  </r>
  <r>
    <s v="ORD51426"/>
    <d v="2025-10-05T00:00:00"/>
    <s v="CUST1057"/>
    <s v="P004"/>
    <x v="6"/>
    <s v="Electronics"/>
    <x v="1"/>
    <x v="1"/>
    <n v="2"/>
    <n v="12928.91"/>
    <n v="0.03"/>
    <x v="1423"/>
    <x v="1"/>
    <s v="Cash on Delivery"/>
    <s v="Completed"/>
    <x v="5"/>
    <s v="Completed"/>
    <s v="Marketplace"/>
    <s v="Cash On Delivery"/>
    <x v="1"/>
    <s v="VALID"/>
    <s v="NORMAL"/>
    <s v="Valid"/>
    <n v="25857.82"/>
    <n v="25082.0854"/>
  </r>
  <r>
    <s v="ORD51427"/>
    <d v="2024-10-02T00:00:00"/>
    <s v="CUST1197"/>
    <s v="P014"/>
    <x v="5"/>
    <s v="Electronics"/>
    <x v="2"/>
    <x v="5"/>
    <n v="1"/>
    <n v="2988.84"/>
    <n v="0.15"/>
    <x v="1424"/>
    <x v="2"/>
    <s v="Net Banking"/>
    <s v="Completed"/>
    <x v="4"/>
    <s v="Completed"/>
    <s v="Store"/>
    <s v="Net Banking"/>
    <x v="1"/>
    <s v="VALID"/>
    <s v="NORMAL"/>
    <s v="Valid"/>
    <n v="2988.84"/>
    <n v="2540.5140000000001"/>
  </r>
  <r>
    <s v="ORD51428"/>
    <d v="2024-02-11T00:00:00"/>
    <s v="CUST1256"/>
    <s v="P011"/>
    <x v="1"/>
    <s v="Electronics"/>
    <x v="1"/>
    <x v="3"/>
    <n v="1"/>
    <n v="3104.52"/>
    <n v="0"/>
    <x v="1425"/>
    <x v="2"/>
    <s v="Cash on Delivery"/>
    <s v="Completed"/>
    <x v="5"/>
    <s v="Completed"/>
    <s v="Store"/>
    <s v="Cash On Delivery"/>
    <x v="1"/>
    <s v="VALID"/>
    <s v="NORMAL"/>
    <s v="Valid"/>
    <n v="3104.52"/>
    <n v="3104.52"/>
  </r>
  <r>
    <s v="ORD51429"/>
    <d v="2025-02-11T00:00:00"/>
    <s v="CUST1127"/>
    <s v="P008"/>
    <x v="4"/>
    <s v="Stationery"/>
    <x v="3"/>
    <x v="8"/>
    <n v="1"/>
    <n v="206"/>
    <n v="0.03"/>
    <x v="1426"/>
    <x v="1"/>
    <s v="UPI"/>
    <s v="Completed"/>
    <x v="5"/>
    <s v="Completed"/>
    <s v="Marketplace"/>
    <s v="Upi"/>
    <x v="3"/>
    <s v="VALID"/>
    <s v="NORMAL"/>
    <s v="Valid"/>
    <n v="206"/>
    <n v="199.82"/>
  </r>
  <r>
    <s v="ORD51430"/>
    <d v="2025-01-03T00:00:00"/>
    <s v="CUST1209"/>
    <s v="P003"/>
    <x v="3"/>
    <s v="Electronics"/>
    <x v="3"/>
    <x v="8"/>
    <n v="5"/>
    <n v="1905.46"/>
    <n v="0.05"/>
    <x v="1427"/>
    <x v="0"/>
    <s v="UPI"/>
    <s v="Completed"/>
    <x v="2"/>
    <s v="Completed"/>
    <s v="Online"/>
    <s v="Upi"/>
    <x v="1"/>
    <s v="VALID"/>
    <s v="NORMAL"/>
    <s v="Valid"/>
    <n v="9527.2999999999993"/>
    <n v="9050.9349999999995"/>
  </r>
  <r>
    <s v="ORD51431"/>
    <d v="2025-04-30T00:00:00"/>
    <m/>
    <s v="P006"/>
    <x v="10"/>
    <s v="Furniture"/>
    <x v="1"/>
    <x v="7"/>
    <n v="1"/>
    <n v="7375.44"/>
    <n v="0.15"/>
    <x v="1428"/>
    <x v="0"/>
    <s v="Credit Card"/>
    <s v="Cancelled"/>
    <x v="6"/>
    <s v="Cancelled"/>
    <s v="Online"/>
    <s v="Credit Card"/>
    <x v="2"/>
    <s v="VALID"/>
    <s v="NORMAL"/>
    <s v="Valid"/>
    <n v="7375.44"/>
    <n v="6269.1239999999998"/>
  </r>
  <r>
    <s v="ORD51432"/>
    <d v="2024-12-01T00:00:00"/>
    <s v="CUST1204"/>
    <s v="P002"/>
    <x v="9"/>
    <s v="Electronics"/>
    <x v="3"/>
    <x v="9"/>
    <n v="5"/>
    <n v="1106.57"/>
    <n v="0.08"/>
    <x v="1429"/>
    <x v="2"/>
    <s v="Cash on Delivery"/>
    <s v="Completed"/>
    <x v="5"/>
    <s v="Completed"/>
    <s v="Store"/>
    <s v="Cash On Delivery"/>
    <x v="1"/>
    <s v="VALID"/>
    <s v="NORMAL"/>
    <s v="Valid"/>
    <n v="5532.8499999999995"/>
    <n v="5090.2219999999998"/>
  </r>
  <r>
    <s v="ORD51433"/>
    <d v="2025-05-25T00:00:00"/>
    <s v="CUST1059"/>
    <s v="P006"/>
    <x v="10"/>
    <s v="Furniture"/>
    <x v="1"/>
    <x v="6"/>
    <n v="4"/>
    <n v="7269.37"/>
    <n v="0.15"/>
    <x v="1430"/>
    <x v="0"/>
    <s v="Cash on Delivery"/>
    <s v="Completed"/>
    <x v="6"/>
    <s v="Completed"/>
    <s v="Online"/>
    <s v="Cash On Delivery"/>
    <x v="2"/>
    <s v="VALID"/>
    <s v="NORMAL"/>
    <s v="Valid"/>
    <n v="29077.48"/>
    <n v="24715.858"/>
  </r>
  <r>
    <s v="ORD51434"/>
    <d v="2024-06-05T00:00:00"/>
    <s v="CUST1247"/>
    <s v="P004"/>
    <x v="6"/>
    <s v="Electronics"/>
    <x v="1"/>
    <x v="3"/>
    <n v="3"/>
    <n v="12173.84"/>
    <n v="0.2"/>
    <x v="1431"/>
    <x v="0"/>
    <s v="UPI"/>
    <s v="Completed"/>
    <x v="0"/>
    <s v="Completed"/>
    <s v="Online"/>
    <s v="Upi"/>
    <x v="1"/>
    <s v="VALID"/>
    <s v="NORMAL"/>
    <s v="Valid"/>
    <n v="36521.520000000004"/>
    <n v="29217.216000000004"/>
  </r>
  <r>
    <s v="ORD51435"/>
    <d v="2024-05-10T00:00:00"/>
    <s v="CUST1177"/>
    <s v="P005"/>
    <x v="12"/>
    <s v="Furniture"/>
    <x v="2"/>
    <x v="12"/>
    <n v="1"/>
    <n v="9454.11"/>
    <n v="0.05"/>
    <x v="1432"/>
    <x v="2"/>
    <s v="Debit Card"/>
    <s v="Completed"/>
    <x v="5"/>
    <s v="Completed"/>
    <s v="Store"/>
    <s v="Debit Card"/>
    <x v="2"/>
    <s v="VALID"/>
    <s v="NORMAL"/>
    <s v="Valid"/>
    <n v="9454.11"/>
    <n v="8981.4045000000006"/>
  </r>
  <r>
    <s v="ORD51436"/>
    <d v="2024-02-24T00:00:00"/>
    <s v="CUST1114"/>
    <s v="P008"/>
    <x v="4"/>
    <s v="Stationery"/>
    <x v="3"/>
    <x v="11"/>
    <n v="5"/>
    <n v="224.36"/>
    <n v="0.1"/>
    <x v="1433"/>
    <x v="1"/>
    <s v="Credit Card"/>
    <s v="Completed"/>
    <x v="7"/>
    <s v="Completed"/>
    <s v="Marketplace"/>
    <s v="Credit Card"/>
    <x v="3"/>
    <s v="VALID"/>
    <s v="NORMAL"/>
    <s v="Valid"/>
    <n v="1121.8000000000002"/>
    <n v="1009.6200000000001"/>
  </r>
  <r>
    <s v="ORD51437"/>
    <d v="2024-12-08T00:00:00"/>
    <s v="CUST1110"/>
    <s v="P010"/>
    <x v="14"/>
    <s v="Electronics"/>
    <x v="3"/>
    <x v="11"/>
    <n v="5"/>
    <n v="2216.9899999999998"/>
    <n v="0.05"/>
    <x v="1434"/>
    <x v="2"/>
    <s v="Net Banking"/>
    <s v="Completed"/>
    <x v="2"/>
    <s v="Completed"/>
    <s v="Store"/>
    <s v="Net Banking"/>
    <x v="1"/>
    <s v="VALID"/>
    <s v="NORMAL"/>
    <s v="Valid"/>
    <n v="11084.949999999999"/>
    <n v="10530.702499999999"/>
  </r>
  <r>
    <s v="ORD51438"/>
    <d v="2024-02-19T00:00:00"/>
    <s v="CUST1186"/>
    <s v="P013"/>
    <x v="2"/>
    <s v="Furniture"/>
    <x v="3"/>
    <x v="8"/>
    <n v="3"/>
    <n v="1523.26"/>
    <n v="0.15"/>
    <x v="1435"/>
    <x v="0"/>
    <s v="Debit Card"/>
    <s v="Completed"/>
    <x v="3"/>
    <s v="Completed"/>
    <s v="Online"/>
    <s v="Debit Card"/>
    <x v="2"/>
    <s v="VALID"/>
    <s v="NORMAL"/>
    <s v="Valid"/>
    <n v="4569.78"/>
    <n v="3884.3129999999996"/>
  </r>
  <r>
    <s v="ORD51439"/>
    <d v="2024-10-04T00:00:00"/>
    <s v="CUST1006"/>
    <s v="P013"/>
    <x v="2"/>
    <s v="Furniture"/>
    <x v="1"/>
    <x v="1"/>
    <n v="4"/>
    <n v="1670.83"/>
    <n v="0.15"/>
    <x v="1436"/>
    <x v="2"/>
    <s v="Net Banking"/>
    <s v="Completed"/>
    <x v="0"/>
    <s v="Completed"/>
    <s v="Store"/>
    <s v="Net Banking"/>
    <x v="2"/>
    <s v="VALID"/>
    <s v="NORMAL"/>
    <s v="Valid"/>
    <n v="6683.32"/>
    <n v="5680.8220000000001"/>
  </r>
  <r>
    <s v="ORD51440"/>
    <d v="2025-10-24T00:00:00"/>
    <s v="CUST1017"/>
    <s v="P004"/>
    <x v="6"/>
    <s v="Electronics"/>
    <x v="0"/>
    <x v="14"/>
    <n v="1"/>
    <n v="13466.08"/>
    <n v="0.05"/>
    <x v="1437"/>
    <x v="2"/>
    <s v="Net Banking"/>
    <s v="Cancelled"/>
    <x v="4"/>
    <s v="Cancelled"/>
    <s v="Store"/>
    <s v="Net Banking"/>
    <x v="1"/>
    <s v="VALID"/>
    <s v="NORMAL"/>
    <s v="Valid"/>
    <n v="13466.08"/>
    <n v="12792.776"/>
  </r>
  <r>
    <s v="ORD51441"/>
    <d v="2025-11-05T00:00:00"/>
    <s v="CUST1164"/>
    <s v="P005"/>
    <x v="12"/>
    <s v="Furniture"/>
    <x v="3"/>
    <x v="11"/>
    <n v="3"/>
    <n v="9519.4"/>
    <n v="0"/>
    <x v="1438"/>
    <x v="1"/>
    <s v="UPI"/>
    <s v="Completed"/>
    <x v="3"/>
    <s v="Completed"/>
    <s v="Marketplace"/>
    <s v="Upi"/>
    <x v="2"/>
    <s v="VALID"/>
    <s v="NORMAL"/>
    <s v="Valid"/>
    <n v="28558.199999999997"/>
    <n v="28558.199999999997"/>
  </r>
  <r>
    <s v="ORD51442"/>
    <d v="2025-10-02T00:00:00"/>
    <s v="CUST1054"/>
    <s v="P007"/>
    <x v="11"/>
    <s v="Stationery"/>
    <x v="1"/>
    <x v="3"/>
    <n v="5"/>
    <n v="469.5"/>
    <n v="0.15"/>
    <x v="1439"/>
    <x v="1"/>
    <s v="UPI"/>
    <s v="Completed"/>
    <x v="0"/>
    <s v="Completed"/>
    <s v="Marketplace"/>
    <s v="Upi"/>
    <x v="3"/>
    <s v="VALID"/>
    <s v="NORMAL"/>
    <s v="Valid"/>
    <n v="2347.5"/>
    <n v="1995.375"/>
  </r>
  <r>
    <s v="ORD51443"/>
    <d v="2024-05-10T00:00:00"/>
    <s v="CUST1057"/>
    <s v="P015"/>
    <x v="8"/>
    <s v="Accessories"/>
    <x v="0"/>
    <x v="0"/>
    <n v="3"/>
    <n v="755.86"/>
    <n v="0.2"/>
    <x v="1440"/>
    <x v="0"/>
    <s v="UPI"/>
    <s v="Completed"/>
    <x v="2"/>
    <s v="Completed"/>
    <s v="Online"/>
    <s v="Upi"/>
    <x v="0"/>
    <s v="VALID"/>
    <s v="NORMAL"/>
    <s v="Valid"/>
    <n v="2267.58"/>
    <n v="1814.0639999999999"/>
  </r>
  <r>
    <s v="ORD51444"/>
    <d v="2024-06-05T00:00:00"/>
    <s v="CUST1122"/>
    <s v="P013"/>
    <x v="2"/>
    <s v="Furniture"/>
    <x v="2"/>
    <x v="4"/>
    <n v="2"/>
    <n v="1597.76"/>
    <n v="0.05"/>
    <x v="1441"/>
    <x v="0"/>
    <s v="Debit Card"/>
    <s v="Cancelled"/>
    <x v="7"/>
    <s v="Cancelled"/>
    <s v="Online"/>
    <s v="Debit Card"/>
    <x v="2"/>
    <s v="VALID"/>
    <s v="NORMAL"/>
    <s v="Valid"/>
    <n v="3195.52"/>
    <n v="3035.7440000000001"/>
  </r>
  <r>
    <s v="ORD51445"/>
    <d v="2026-03-02T00:00:00"/>
    <s v="CUST1063"/>
    <s v="P014"/>
    <x v="5"/>
    <s v="Electronics"/>
    <x v="2"/>
    <x v="13"/>
    <n v="5"/>
    <n v="2581.79"/>
    <n v="0.03"/>
    <x v="1442"/>
    <x v="2"/>
    <s v="Debit Card"/>
    <s v="Returned"/>
    <x v="1"/>
    <s v="Returned"/>
    <s v="Store"/>
    <s v="Debit Card"/>
    <x v="1"/>
    <s v="VALID"/>
    <s v="NORMAL"/>
    <s v="Valid"/>
    <n v="12908.95"/>
    <n v="12521.681500000001"/>
  </r>
  <r>
    <s v="ORD51446"/>
    <d v="2025-05-19T00:00:00"/>
    <s v="CUST1090"/>
    <s v="P002"/>
    <x v="9"/>
    <s v="Electronics"/>
    <x v="3"/>
    <x v="8"/>
    <n v="1"/>
    <n v="1232.55"/>
    <n v="0.15"/>
    <x v="1443"/>
    <x v="1"/>
    <s v="Cash on Delivery"/>
    <s v="Completed"/>
    <x v="6"/>
    <s v="Completed"/>
    <s v="Marketplace"/>
    <s v="Cash On Delivery"/>
    <x v="1"/>
    <s v="VALID"/>
    <s v="NORMAL"/>
    <s v="Valid"/>
    <n v="1232.55"/>
    <n v="1047.6675"/>
  </r>
  <r>
    <s v="ORD51447"/>
    <d v="2026-05-21T00:00:00"/>
    <s v="CUST1173"/>
    <s v="P011"/>
    <x v="1"/>
    <s v="Electronics"/>
    <x v="3"/>
    <x v="8"/>
    <n v="4"/>
    <n v="3212.88"/>
    <n v="0.1"/>
    <x v="1444"/>
    <x v="2"/>
    <s v="Net Banking"/>
    <s v="Cancelled"/>
    <x v="1"/>
    <s v="Cancelled"/>
    <s v="Store"/>
    <s v="Net Banking"/>
    <x v="1"/>
    <s v="VALID"/>
    <s v="NORMAL"/>
    <s v="Valid"/>
    <n v="12851.52"/>
    <n v="11566.368"/>
  </r>
  <r>
    <s v="ORD51448"/>
    <d v="2025-07-10T00:00:00"/>
    <s v="CUST1233"/>
    <s v="P012"/>
    <x v="0"/>
    <s v="Accessories"/>
    <x v="2"/>
    <x v="12"/>
    <n v="4"/>
    <n v="877.46"/>
    <n v="0"/>
    <x v="1445"/>
    <x v="2"/>
    <s v="Credit Card"/>
    <s v="Cancelled"/>
    <x v="1"/>
    <s v="Cancelled"/>
    <s v="Store"/>
    <s v="Credit Card"/>
    <x v="0"/>
    <s v="VALID"/>
    <s v="NORMAL"/>
    <s v="Valid"/>
    <n v="3509.84"/>
    <n v="3509.84"/>
  </r>
  <r>
    <s v="ORD51449"/>
    <d v="2024-02-17T00:00:00"/>
    <s v="CUST1224"/>
    <s v="P004"/>
    <x v="6"/>
    <s v="Electronics"/>
    <x v="0"/>
    <x v="2"/>
    <n v="5"/>
    <n v="12622.1"/>
    <n v="0.08"/>
    <x v="1446"/>
    <x v="2"/>
    <s v="Debit Card"/>
    <s v="Cancelled"/>
    <x v="0"/>
    <s v="Cancelled"/>
    <s v="Store"/>
    <s v="Debit Card"/>
    <x v="1"/>
    <s v="VALID"/>
    <s v="NORMAL"/>
    <s v="Valid"/>
    <n v="63110.5"/>
    <n v="58061.66"/>
  </r>
  <r>
    <s v="ORD51450"/>
    <d v="2025-04-26T00:00:00"/>
    <s v="CUST1089"/>
    <s v="P007"/>
    <x v="11"/>
    <s v="Stationery"/>
    <x v="1"/>
    <x v="7"/>
    <n v="1"/>
    <n v="416.47"/>
    <n v="0"/>
    <x v="1447"/>
    <x v="2"/>
    <s v="Credit Card"/>
    <s v="Completed"/>
    <x v="7"/>
    <s v="Completed"/>
    <s v="Store"/>
    <s v="Credit Card"/>
    <x v="3"/>
    <s v="VALID"/>
    <s v="NORMAL"/>
    <s v="Valid"/>
    <n v="416.47"/>
    <n v="416.47"/>
  </r>
  <r>
    <s v="ORD51451"/>
    <d v="2026-05-17T00:00:00"/>
    <s v="CUST1115"/>
    <s v="P012"/>
    <x v="0"/>
    <s v="Accessories"/>
    <x v="0"/>
    <x v="10"/>
    <n v="1"/>
    <n v="875.66"/>
    <n v="0.03"/>
    <x v="1448"/>
    <x v="1"/>
    <s v="Credit Card"/>
    <s v="Completed"/>
    <x v="0"/>
    <s v="Completed"/>
    <s v="Marketplace"/>
    <s v="Credit Card"/>
    <x v="0"/>
    <s v="VALID"/>
    <s v="NORMAL"/>
    <s v="Valid"/>
    <n v="875.66"/>
    <n v="849.39019999999994"/>
  </r>
  <r>
    <s v="ORD51452"/>
    <d v="2024-07-07T00:00:00"/>
    <s v="CUST1050"/>
    <s v="P012"/>
    <x v="0"/>
    <s v="Accessories"/>
    <x v="0"/>
    <x v="14"/>
    <n v="4"/>
    <n v="886.98"/>
    <n v="0.08"/>
    <x v="1449"/>
    <x v="1"/>
    <s v="Credit Card"/>
    <s v="Completed"/>
    <x v="6"/>
    <s v="Completed"/>
    <s v="Marketplace"/>
    <s v="Credit Card"/>
    <x v="0"/>
    <s v="VALID"/>
    <s v="NORMAL"/>
    <s v="Valid"/>
    <n v="3547.92"/>
    <n v="3264.0864000000001"/>
  </r>
  <r>
    <s v="ORD51453"/>
    <d v="2024-09-06T00:00:00"/>
    <s v="CUST1147"/>
    <s v="P008"/>
    <x v="4"/>
    <s v="Stationery"/>
    <x v="0"/>
    <x v="14"/>
    <n v="1"/>
    <n v="235.78"/>
    <n v="0.03"/>
    <x v="1450"/>
    <x v="1"/>
    <s v="Credit Card"/>
    <s v="Completed"/>
    <x v="3"/>
    <s v="Completed"/>
    <s v="Marketplace"/>
    <s v="Credit Card"/>
    <x v="3"/>
    <s v="VALID"/>
    <s v="NORMAL"/>
    <s v="Valid"/>
    <n v="235.78"/>
    <n v="228.70660000000001"/>
  </r>
  <r>
    <s v="ORD51454"/>
    <d v="2025-10-10T00:00:00"/>
    <s v="CUST1067"/>
    <s v="P006"/>
    <x v="10"/>
    <s v="Furniture"/>
    <x v="2"/>
    <x v="5"/>
    <n v="1"/>
    <n v="7230.64"/>
    <n v="0.08"/>
    <x v="1451"/>
    <x v="2"/>
    <s v="Credit Card"/>
    <s v="Completed"/>
    <x v="5"/>
    <s v="Completed"/>
    <s v="Store"/>
    <s v="Credit Card"/>
    <x v="2"/>
    <s v="VALID"/>
    <s v="NORMAL"/>
    <s v="Valid"/>
    <n v="7230.64"/>
    <n v="6652.1887999999999"/>
  </r>
  <r>
    <s v="ORD51455"/>
    <d v="2024-10-27T00:00:00"/>
    <s v="CUST1174"/>
    <s v="P004"/>
    <x v="6"/>
    <s v="Electronics"/>
    <x v="0"/>
    <x v="0"/>
    <n v="5"/>
    <n v="12565.26"/>
    <n v="0.08"/>
    <x v="1452"/>
    <x v="0"/>
    <s v="Debit Card"/>
    <s v="Completed"/>
    <x v="4"/>
    <s v="Completed"/>
    <s v="Online"/>
    <s v="Debit Card"/>
    <x v="1"/>
    <s v="VALID"/>
    <s v="NORMAL"/>
    <s v="Valid"/>
    <n v="62826.3"/>
    <n v="57800.196000000004"/>
  </r>
  <r>
    <s v="ORD51456"/>
    <d v="2024-06-12T00:00:00"/>
    <s v="CUST1090"/>
    <s v="P012"/>
    <x v="0"/>
    <s v="Accessories"/>
    <x v="0"/>
    <x v="0"/>
    <n v="2"/>
    <n v="901.3"/>
    <n v="0.2"/>
    <x v="1453"/>
    <x v="0"/>
    <s v="Credit Card"/>
    <s v="Completed"/>
    <x v="2"/>
    <s v="Completed"/>
    <s v="Online"/>
    <s v="Credit Card"/>
    <x v="0"/>
    <s v="VALID"/>
    <s v="NORMAL"/>
    <s v="Valid"/>
    <n v="1802.6"/>
    <n v="1442.08"/>
  </r>
  <r>
    <s v="ORD51457"/>
    <d v="2024-12-15T00:00:00"/>
    <s v="CUST1053"/>
    <s v="P015"/>
    <x v="8"/>
    <s v="Accessories"/>
    <x v="3"/>
    <x v="15"/>
    <n v="2"/>
    <n v="713.54"/>
    <n v="0.2"/>
    <x v="1454"/>
    <x v="2"/>
    <s v="Debit Card"/>
    <s v="Completed"/>
    <x v="7"/>
    <s v="Completed"/>
    <s v="Store"/>
    <s v="Debit Card"/>
    <x v="0"/>
    <s v="VALID"/>
    <s v="NORMAL"/>
    <s v="Valid"/>
    <n v="1427.08"/>
    <n v="1141.664"/>
  </r>
  <r>
    <s v="ORD51458"/>
    <d v="2025-09-03T00:00:00"/>
    <s v="CUST1239"/>
    <s v="P015"/>
    <x v="8"/>
    <s v="Accessories"/>
    <x v="3"/>
    <x v="9"/>
    <n v="1"/>
    <n v="653.23"/>
    <n v="0"/>
    <x v="1455"/>
    <x v="0"/>
    <s v="Cash on Delivery"/>
    <s v="Cancelled"/>
    <x v="7"/>
    <s v="Cancelled"/>
    <s v="Online"/>
    <s v="Cash On Delivery"/>
    <x v="0"/>
    <s v="VALID"/>
    <s v="NORMAL"/>
    <s v="Valid"/>
    <n v="653.23"/>
    <n v="653.23"/>
  </r>
  <r>
    <s v="ORD51459"/>
    <d v="2026-03-21T00:00:00"/>
    <s v="CUST1188"/>
    <s v="P012"/>
    <x v="0"/>
    <s v="Accessories"/>
    <x v="0"/>
    <x v="14"/>
    <n v="2"/>
    <n v="913.4"/>
    <n v="0.2"/>
    <x v="1456"/>
    <x v="2"/>
    <s v="Cash on Delivery"/>
    <s v="Returned"/>
    <x v="4"/>
    <s v="Returned"/>
    <s v="Store"/>
    <s v="Cash On Delivery"/>
    <x v="0"/>
    <s v="VALID"/>
    <s v="NORMAL"/>
    <s v="Valid"/>
    <n v="1826.8"/>
    <n v="1461.44"/>
  </r>
  <r>
    <s v="ORD51460"/>
    <d v="2025-08-05T00:00:00"/>
    <s v="CUST1022"/>
    <s v="P010"/>
    <x v="14"/>
    <s v="Electronics"/>
    <x v="0"/>
    <x v="14"/>
    <n v="5"/>
    <n v="2250.37"/>
    <n v="0.03"/>
    <x v="1457"/>
    <x v="0"/>
    <s v="Cash on Delivery"/>
    <s v="Cancelled"/>
    <x v="5"/>
    <s v="Cancelled"/>
    <s v="Online"/>
    <s v="Cash On Delivery"/>
    <x v="1"/>
    <s v="VALID"/>
    <s v="NORMAL"/>
    <s v="Valid"/>
    <n v="11251.849999999999"/>
    <n v="10914.294499999998"/>
  </r>
  <r>
    <s v="ORD51461"/>
    <d v="2025-07-03T00:00:00"/>
    <s v="CUST1231"/>
    <s v="P006"/>
    <x v="10"/>
    <s v="Furniture"/>
    <x v="2"/>
    <x v="12"/>
    <n v="5"/>
    <n v="7304.12"/>
    <n v="0.03"/>
    <x v="1458"/>
    <x v="0"/>
    <s v="UPI"/>
    <s v="Completed"/>
    <x v="6"/>
    <s v="Completed"/>
    <s v="Online"/>
    <s v="Upi"/>
    <x v="2"/>
    <s v="VALID"/>
    <s v="NORMAL"/>
    <s v="Valid"/>
    <n v="36520.6"/>
    <n v="35424.981999999996"/>
  </r>
  <r>
    <s v="ORD51462"/>
    <d v="2024-03-11T00:00:00"/>
    <s v="CUST1116"/>
    <s v="P010"/>
    <x v="14"/>
    <s v="Electronics"/>
    <x v="3"/>
    <x v="8"/>
    <n v="4"/>
    <n v="2098.6799999999998"/>
    <n v="0.2"/>
    <x v="1459"/>
    <x v="1"/>
    <s v="Net Banking"/>
    <s v="Completed"/>
    <x v="0"/>
    <s v="Completed"/>
    <s v="Marketplace"/>
    <s v="Net Banking"/>
    <x v="1"/>
    <s v="VALID"/>
    <s v="NORMAL"/>
    <s v="Valid"/>
    <n v="8394.7199999999993"/>
    <n v="6715.7759999999998"/>
  </r>
  <r>
    <s v="ORD51463"/>
    <d v="2024-07-17T00:00:00"/>
    <s v="CUST1163"/>
    <s v="P004"/>
    <x v="6"/>
    <s v="Electronics"/>
    <x v="1"/>
    <x v="7"/>
    <n v="3"/>
    <n v="12640.81"/>
    <n v="0.2"/>
    <x v="1460"/>
    <x v="0"/>
    <s v="Debit Card"/>
    <s v="Cancelled"/>
    <x v="4"/>
    <s v="Cancelled"/>
    <s v="Online"/>
    <s v="Debit Card"/>
    <x v="1"/>
    <s v="VALID"/>
    <s v="NORMAL"/>
    <s v="Valid"/>
    <n v="37922.43"/>
    <n v="30337.944"/>
  </r>
  <r>
    <s v="ORD51464"/>
    <d v="2024-03-07T00:00:00"/>
    <s v="CUST1005"/>
    <s v="P003"/>
    <x v="3"/>
    <s v="Electronics"/>
    <x v="0"/>
    <x v="2"/>
    <n v="2"/>
    <n v="1728.08"/>
    <n v="0.08"/>
    <x v="1461"/>
    <x v="2"/>
    <s v="UPI"/>
    <s v="Completed"/>
    <x v="5"/>
    <s v="Completed"/>
    <s v="Store"/>
    <s v="Upi"/>
    <x v="1"/>
    <s v="VALID"/>
    <s v="NORMAL"/>
    <s v="Valid"/>
    <n v="3456.16"/>
    <n v="3179.6671999999999"/>
  </r>
  <r>
    <s v="ORD51465"/>
    <d v="2026-01-22T00:00:00"/>
    <s v="CUST1080"/>
    <s v="P014"/>
    <x v="5"/>
    <s v="Electronics"/>
    <x v="2"/>
    <x v="4"/>
    <n v="2"/>
    <n v="2637.59"/>
    <n v="0.05"/>
    <x v="1462"/>
    <x v="1"/>
    <s v="Cash on Delivery"/>
    <s v="Completed"/>
    <x v="6"/>
    <s v="Completed"/>
    <s v="Marketplace"/>
    <s v="Cash On Delivery"/>
    <x v="1"/>
    <s v="VALID"/>
    <s v="NORMAL"/>
    <s v="Valid"/>
    <n v="5275.18"/>
    <n v="5011.4210000000003"/>
  </r>
  <r>
    <s v="ORD51466"/>
    <d v="2024-01-29T00:00:00"/>
    <s v="CUST1028"/>
    <s v="P013"/>
    <x v="2"/>
    <s v="Furniture"/>
    <x v="0"/>
    <x v="14"/>
    <n v="5"/>
    <n v="1618.88"/>
    <n v="0"/>
    <x v="1463"/>
    <x v="0"/>
    <s v="UPI"/>
    <s v="Completed"/>
    <x v="6"/>
    <s v="Completed"/>
    <s v="Online"/>
    <s v="Upi"/>
    <x v="2"/>
    <s v="VALID"/>
    <s v="NORMAL"/>
    <s v="Valid"/>
    <n v="8094.4000000000005"/>
    <n v="8094.4000000000005"/>
  </r>
  <r>
    <s v="ORD51467"/>
    <d v="2024-04-08T00:00:00"/>
    <s v="CUST1167"/>
    <s v="P004"/>
    <x v="6"/>
    <s v="Electronics"/>
    <x v="2"/>
    <x v="13"/>
    <m/>
    <n v="13424.61"/>
    <n v="0"/>
    <x v="1464"/>
    <x v="2"/>
    <s v="UPI"/>
    <s v="Returned"/>
    <x v="6"/>
    <s v="Returned"/>
    <s v="Store"/>
    <s v="Upi"/>
    <x v="1"/>
    <s v="INVALID"/>
    <s v="NORMAL"/>
    <s v="Valid"/>
    <n v="0"/>
    <n v="0"/>
  </r>
  <r>
    <s v="ORD51468"/>
    <d v="2024-11-19T00:00:00"/>
    <m/>
    <s v="P007"/>
    <x v="11"/>
    <s v="Stationery"/>
    <x v="1"/>
    <x v="6"/>
    <n v="2"/>
    <n v="464.94"/>
    <n v="0.03"/>
    <x v="1465"/>
    <x v="0"/>
    <s v="Cash on Delivery"/>
    <s v="Returned"/>
    <x v="5"/>
    <s v="Returned"/>
    <s v="Online"/>
    <s v="Cash On Delivery"/>
    <x v="3"/>
    <s v="VALID"/>
    <s v="NORMAL"/>
    <s v="Valid"/>
    <n v="929.88"/>
    <n v="901.98360000000002"/>
  </r>
  <r>
    <s v="ORD51469"/>
    <s v="N/A"/>
    <s v="CUST1156"/>
    <s v="P007"/>
    <x v="11"/>
    <s v="Stationery"/>
    <x v="2"/>
    <x v="13"/>
    <n v="3"/>
    <n v="433.8"/>
    <n v="0"/>
    <x v="1466"/>
    <x v="1"/>
    <s v="Cash on Delivery"/>
    <s v="Cancelled"/>
    <x v="3"/>
    <s v="Cancelled"/>
    <s v="Marketplace"/>
    <s v="Cash On Delivery"/>
    <x v="3"/>
    <s v="VALID"/>
    <s v="NORMAL"/>
    <s v="Valid"/>
    <n v="1301.4000000000001"/>
    <n v="1301.4000000000001"/>
  </r>
  <r>
    <s v="ORD51470"/>
    <d v="2025-04-23T00:00:00"/>
    <s v="CUST1043"/>
    <s v="P008"/>
    <x v="4"/>
    <s v="Stationery"/>
    <x v="3"/>
    <x v="8"/>
    <n v="5"/>
    <n v="206.45"/>
    <n v="0.2"/>
    <x v="1467"/>
    <x v="0"/>
    <s v="UPI"/>
    <s v="Completed"/>
    <x v="2"/>
    <s v="Completed"/>
    <s v="Online"/>
    <s v="Upi"/>
    <x v="3"/>
    <s v="VALID"/>
    <s v="NORMAL"/>
    <s v="Valid"/>
    <n v="1032.25"/>
    <n v="825.8"/>
  </r>
  <r>
    <s v="ORD51471"/>
    <d v="2024-03-03T00:00:00"/>
    <s v="CUST1167"/>
    <s v="P001"/>
    <x v="13"/>
    <s v="Electronics"/>
    <x v="0"/>
    <x v="10"/>
    <n v="2"/>
    <n v="65224.06"/>
    <n v="0.03"/>
    <x v="1468"/>
    <x v="1"/>
    <s v="Net Banking"/>
    <s v="Cancelled"/>
    <x v="2"/>
    <s v="Cancelled"/>
    <s v="Marketplace"/>
    <s v="Net Banking"/>
    <x v="1"/>
    <s v="VALID"/>
    <s v="NORMAL"/>
    <s v="Valid"/>
    <n v="130448.12"/>
    <n v="126534.6764"/>
  </r>
  <r>
    <s v="ORD51472"/>
    <d v="2024-05-07T00:00:00"/>
    <s v="CUST1259"/>
    <s v="P009"/>
    <x v="7"/>
    <s v="Accessories"/>
    <x v="3"/>
    <x v="8"/>
    <n v="3"/>
    <n v="1844.13"/>
    <n v="0.1"/>
    <x v="1469"/>
    <x v="2"/>
    <s v="Credit Card"/>
    <s v="Cancelled"/>
    <x v="6"/>
    <s v="Cancelled"/>
    <s v="Store"/>
    <s v="Credit Card"/>
    <x v="0"/>
    <s v="VALID"/>
    <s v="NORMAL"/>
    <s v="Valid"/>
    <n v="5532.39"/>
    <n v="4979.1509999999998"/>
  </r>
  <r>
    <s v="ORD51473"/>
    <d v="2024-10-19T00:00:00"/>
    <s v="CUST1032"/>
    <s v="P002"/>
    <x v="9"/>
    <s v="Electronics"/>
    <x v="3"/>
    <x v="9"/>
    <n v="4"/>
    <n v="1229.6500000000001"/>
    <n v="0.1"/>
    <x v="1470"/>
    <x v="2"/>
    <s v="Credit Card"/>
    <s v="Cancelled"/>
    <x v="0"/>
    <s v="Cancelled"/>
    <s v="Store"/>
    <s v="Credit Card"/>
    <x v="1"/>
    <s v="VALID"/>
    <s v="NORMAL"/>
    <s v="Valid"/>
    <n v="4918.6000000000004"/>
    <n v="4426.7400000000007"/>
  </r>
  <r>
    <s v="ORD51474"/>
    <d v="2024-02-17T00:00:00"/>
    <s v="CUST1119"/>
    <s v="P002"/>
    <x v="9"/>
    <s v="Electronics"/>
    <x v="0"/>
    <x v="0"/>
    <n v="4"/>
    <n v="1235.02"/>
    <n v="0.03"/>
    <x v="1471"/>
    <x v="2"/>
    <s v="UPI"/>
    <s v="Completed"/>
    <x v="0"/>
    <s v="Completed"/>
    <s v="Store"/>
    <s v="Upi"/>
    <x v="1"/>
    <s v="VALID"/>
    <s v="NORMAL"/>
    <s v="Valid"/>
    <n v="4940.08"/>
    <n v="4791.8775999999998"/>
  </r>
  <r>
    <s v="ORD51475"/>
    <d v="2024-07-21T00:00:00"/>
    <m/>
    <s v="P001"/>
    <x v="13"/>
    <s v="Electronics"/>
    <x v="1"/>
    <x v="1"/>
    <n v="2"/>
    <n v="68220.759999999995"/>
    <n v="0.08"/>
    <x v="1472"/>
    <x v="1"/>
    <s v="UPI"/>
    <s v="Completed"/>
    <x v="2"/>
    <s v="Completed"/>
    <s v="Marketplace"/>
    <s v="Upi"/>
    <x v="1"/>
    <s v="VALID"/>
    <s v="NORMAL"/>
    <s v="Valid"/>
    <n v="136441.51999999999"/>
    <n v="125526.19839999999"/>
  </r>
  <r>
    <s v="ORD51476"/>
    <d v="2025-04-26T00:00:00"/>
    <s v="CUST1119"/>
    <s v="P014"/>
    <x v="5"/>
    <s v="Electronics"/>
    <x v="1"/>
    <x v="6"/>
    <n v="5"/>
    <n v="2900.53"/>
    <n v="0"/>
    <x v="1473"/>
    <x v="0"/>
    <s v="Cash on Delivery"/>
    <s v="Completed"/>
    <x v="0"/>
    <s v="Completed"/>
    <s v="Online"/>
    <s v="Cash On Delivery"/>
    <x v="1"/>
    <s v="VALID"/>
    <s v="NORMAL"/>
    <s v="Valid"/>
    <n v="14502.650000000001"/>
    <n v="14502.650000000001"/>
  </r>
  <r>
    <s v="ORD51477"/>
    <d v="2026-05-12T00:00:00"/>
    <s v="CUST1048"/>
    <s v="P008"/>
    <x v="4"/>
    <s v="Stationery"/>
    <x v="3"/>
    <x v="8"/>
    <n v="3"/>
    <n v="214.58"/>
    <n v="0.03"/>
    <x v="1474"/>
    <x v="1"/>
    <s v="Debit Card"/>
    <s v="Completed"/>
    <x v="2"/>
    <s v="Completed"/>
    <s v="Marketplace"/>
    <s v="Debit Card"/>
    <x v="3"/>
    <s v="VALID"/>
    <s v="NORMAL"/>
    <s v="Valid"/>
    <n v="643.74"/>
    <n v="624.42780000000005"/>
  </r>
  <r>
    <s v="ORD51478"/>
    <d v="2025-04-27T00:00:00"/>
    <s v="CUST1216"/>
    <s v="P012"/>
    <x v="0"/>
    <s v="Accessories"/>
    <x v="3"/>
    <x v="11"/>
    <n v="2"/>
    <n v="835.32"/>
    <n v="0.1"/>
    <x v="1475"/>
    <x v="2"/>
    <m/>
    <s v="Completed"/>
    <x v="7"/>
    <s v="Completed"/>
    <s v="Store"/>
    <s v=""/>
    <x v="0"/>
    <s v="VALID"/>
    <s v="NORMAL"/>
    <s v="Valid"/>
    <n v="1670.64"/>
    <n v="1503.576"/>
  </r>
  <r>
    <s v="ORD51479"/>
    <d v="2024-05-21T00:00:00"/>
    <s v="CUST1096"/>
    <s v="P008"/>
    <x v="4"/>
    <s v="Stationery"/>
    <x v="0"/>
    <x v="0"/>
    <n v="5"/>
    <n v="235.59"/>
    <n v="0.03"/>
    <x v="1476"/>
    <x v="1"/>
    <s v="Cash on Delivery"/>
    <s v="Completed"/>
    <x v="3"/>
    <s v="Completed"/>
    <s v="Marketplace"/>
    <s v="Cash On Delivery"/>
    <x v="3"/>
    <s v="VALID"/>
    <s v="NORMAL"/>
    <s v="Valid"/>
    <n v="1177.95"/>
    <n v="1142.6115"/>
  </r>
  <r>
    <s v="ORD51480"/>
    <d v="2024-08-01T00:00:00"/>
    <s v="CUST1181"/>
    <s v="P005"/>
    <x v="12"/>
    <s v="Furniture"/>
    <x v="3"/>
    <x v="11"/>
    <n v="1"/>
    <n v="8755.4599999999991"/>
    <n v="0.08"/>
    <x v="1477"/>
    <x v="0"/>
    <s v="Debit Card"/>
    <s v="Returned"/>
    <x v="0"/>
    <s v="Returned"/>
    <s v="Online"/>
    <s v="Debit Card"/>
    <x v="2"/>
    <s v="VALID"/>
    <s v="NORMAL"/>
    <s v="Valid"/>
    <n v="8755.4599999999991"/>
    <n v="8055.0231999999996"/>
  </r>
  <r>
    <s v="ORD51481"/>
    <d v="2024-01-30T00:00:00"/>
    <s v="CUST1247"/>
    <s v="P003"/>
    <x v="3"/>
    <s v="Electronics"/>
    <x v="0"/>
    <x v="14"/>
    <n v="4"/>
    <n v="1870.03"/>
    <n v="0.05"/>
    <x v="1478"/>
    <x v="1"/>
    <s v="UPI"/>
    <s v="Cancelled"/>
    <x v="5"/>
    <s v="Cancelled"/>
    <s v="Marketplace"/>
    <s v="Upi"/>
    <x v="1"/>
    <s v="VALID"/>
    <s v="NORMAL"/>
    <s v="Valid"/>
    <n v="7480.12"/>
    <n v="7106.1139999999996"/>
  </r>
  <r>
    <s v="ORD51482"/>
    <d v="2024-07-23T00:00:00"/>
    <s v="CUST1256"/>
    <s v="P001"/>
    <x v="13"/>
    <s v="Electronics"/>
    <x v="2"/>
    <x v="4"/>
    <n v="2"/>
    <n v="66676.59"/>
    <n v="0.2"/>
    <x v="1479"/>
    <x v="1"/>
    <s v="Cash on Delivery"/>
    <s v="Cancelled"/>
    <x v="2"/>
    <s v="Cancelled"/>
    <s v="Marketplace"/>
    <s v="Cash On Delivery"/>
    <x v="1"/>
    <s v="VALID"/>
    <s v="NORMAL"/>
    <s v="Valid"/>
    <n v="133353.18"/>
    <n v="106682.54399999999"/>
  </r>
  <r>
    <s v="ORD51483"/>
    <d v="2025-10-24T00:00:00"/>
    <s v="CUST1007"/>
    <s v="P005"/>
    <x v="12"/>
    <s v="Furniture"/>
    <x v="2"/>
    <x v="12"/>
    <n v="4"/>
    <n v="9608.25"/>
    <n v="0.05"/>
    <x v="1480"/>
    <x v="1"/>
    <s v="Net Banking"/>
    <s v="Completed"/>
    <x v="6"/>
    <s v="Completed"/>
    <s v="Marketplace"/>
    <s v="Net Banking"/>
    <x v="2"/>
    <s v="VALID"/>
    <s v="NORMAL"/>
    <s v="Valid"/>
    <n v="38433"/>
    <n v="36511.35"/>
  </r>
  <r>
    <s v="ORD51484"/>
    <d v="2024-09-26T00:00:00"/>
    <s v="CUST1259"/>
    <s v="P013"/>
    <x v="2"/>
    <s v="Furniture"/>
    <x v="0"/>
    <x v="0"/>
    <n v="1"/>
    <n v="1701.06"/>
    <n v="0.03"/>
    <x v="1481"/>
    <x v="1"/>
    <s v="Cash on Delivery"/>
    <s v="Cancelled"/>
    <x v="3"/>
    <s v="Cancelled"/>
    <s v="Marketplace"/>
    <s v="Cash On Delivery"/>
    <x v="2"/>
    <s v="VALID"/>
    <s v="NORMAL"/>
    <s v="Valid"/>
    <n v="1701.06"/>
    <n v="1650.0282"/>
  </r>
  <r>
    <s v="ORD51485"/>
    <d v="2025-04-08T00:00:00"/>
    <s v="CUST1053"/>
    <s v="P007"/>
    <x v="11"/>
    <s v="Stationery"/>
    <x v="3"/>
    <x v="11"/>
    <n v="3"/>
    <n v="446.95"/>
    <n v="0.03"/>
    <x v="1482"/>
    <x v="1"/>
    <s v="Cash on Delivery"/>
    <s v="Cancelled"/>
    <x v="1"/>
    <s v="Cancelled"/>
    <s v="Marketplace"/>
    <s v="Cash On Delivery"/>
    <x v="3"/>
    <s v="VALID"/>
    <s v="NORMAL"/>
    <s v="Valid"/>
    <n v="1340.85"/>
    <n v="1300.6244999999999"/>
  </r>
  <r>
    <s v="ORD51486"/>
    <d v="2024-05-28T00:00:00"/>
    <m/>
    <s v="P008"/>
    <x v="4"/>
    <s v="Stationery"/>
    <x v="0"/>
    <x v="10"/>
    <n v="1"/>
    <n v="231.26"/>
    <n v="0.15"/>
    <x v="1483"/>
    <x v="2"/>
    <s v="UPI"/>
    <s v="Cancelled"/>
    <x v="5"/>
    <s v="Cancelled"/>
    <s v="Store"/>
    <s v="Upi"/>
    <x v="3"/>
    <s v="VALID"/>
    <s v="NORMAL"/>
    <s v="Valid"/>
    <n v="231.26"/>
    <n v="196.571"/>
  </r>
  <r>
    <s v="ORD51487"/>
    <d v="2025-05-08T00:00:00"/>
    <s v="CUST1198"/>
    <s v="P006"/>
    <x v="10"/>
    <s v="Furniture"/>
    <x v="0"/>
    <x v="10"/>
    <n v="2"/>
    <n v="6928.1"/>
    <n v="0.05"/>
    <x v="1484"/>
    <x v="1"/>
    <s v="Debit Card"/>
    <s v="Completed"/>
    <x v="6"/>
    <s v="Completed"/>
    <s v="Marketplace"/>
    <s v="Debit Card"/>
    <x v="2"/>
    <s v="VALID"/>
    <s v="NORMAL"/>
    <s v="Valid"/>
    <n v="13856.2"/>
    <n v="13163.390000000001"/>
  </r>
  <r>
    <s v="ORD51488"/>
    <d v="2025-11-06T00:00:00"/>
    <s v="CUST1210"/>
    <s v="P005"/>
    <x v="12"/>
    <s v="Furniture"/>
    <x v="1"/>
    <x v="3"/>
    <n v="5"/>
    <n v="10144.18"/>
    <n v="0.2"/>
    <x v="1485"/>
    <x v="2"/>
    <s v="Credit Card"/>
    <s v="Completed"/>
    <x v="5"/>
    <s v="Completed"/>
    <s v="Store"/>
    <s v="Credit Card"/>
    <x v="2"/>
    <s v="VALID"/>
    <s v="NORMAL"/>
    <s v="Valid"/>
    <n v="50720.9"/>
    <n v="40576.720000000001"/>
  </r>
  <r>
    <s v="ORD51489"/>
    <d v="2025-04-03T00:00:00"/>
    <s v="CUST1105"/>
    <s v="P014"/>
    <x v="5"/>
    <s v="Electronics"/>
    <x v="0"/>
    <x v="0"/>
    <n v="3"/>
    <n v="2624.95"/>
    <n v="0"/>
    <x v="1486"/>
    <x v="2"/>
    <s v="Credit Card"/>
    <s v="Cancelled"/>
    <x v="3"/>
    <s v="Cancelled"/>
    <s v="Store"/>
    <s v="Credit Card"/>
    <x v="1"/>
    <s v="VALID"/>
    <s v="NORMAL"/>
    <s v="Valid"/>
    <n v="7874.8499999999995"/>
    <n v="7874.8499999999995"/>
  </r>
  <r>
    <s v="ORD51490"/>
    <d v="2025-01-03T00:00:00"/>
    <s v="CUST1244"/>
    <s v="P002"/>
    <x v="9"/>
    <s v="Electronics"/>
    <x v="2"/>
    <x v="4"/>
    <n v="3"/>
    <n v="1109.33"/>
    <n v="0.1"/>
    <x v="1487"/>
    <x v="1"/>
    <s v="Credit Card"/>
    <s v="Completed"/>
    <x v="2"/>
    <s v="Completed"/>
    <s v="Marketplace"/>
    <s v="Credit Card"/>
    <x v="1"/>
    <s v="VALID"/>
    <s v="NORMAL"/>
    <s v="Valid"/>
    <n v="3327.99"/>
    <n v="2995.1909999999998"/>
  </r>
  <r>
    <s v="ORD51491"/>
    <d v="2026-04-05T00:00:00"/>
    <s v="CUST1225"/>
    <s v="P001"/>
    <x v="13"/>
    <s v="Electronics"/>
    <x v="2"/>
    <x v="5"/>
    <n v="5"/>
    <n v="60791.19"/>
    <n v="0.15"/>
    <x v="1488"/>
    <x v="0"/>
    <s v="UPI"/>
    <s v="Completed"/>
    <x v="4"/>
    <s v="Completed"/>
    <s v="Online"/>
    <s v="Upi"/>
    <x v="1"/>
    <s v="VALID"/>
    <s v="NORMAL"/>
    <s v="Valid"/>
    <n v="303955.95"/>
    <n v="258362.5575"/>
  </r>
  <r>
    <s v="ORD51492"/>
    <d v="2024-06-18T00:00:00"/>
    <s v="CUST1091"/>
    <s v="P007"/>
    <x v="11"/>
    <s v="Stationery"/>
    <x v="0"/>
    <x v="10"/>
    <n v="4"/>
    <n v="453.58"/>
    <n v="0"/>
    <x v="1489"/>
    <x v="1"/>
    <s v="Debit Card"/>
    <s v="Completed"/>
    <x v="3"/>
    <s v="Completed"/>
    <s v="Marketplace"/>
    <s v="Debit Card"/>
    <x v="3"/>
    <s v="VALID"/>
    <s v="NORMAL"/>
    <s v="Valid"/>
    <n v="1814.32"/>
    <n v="1814.32"/>
  </r>
  <r>
    <s v="ORD51493"/>
    <d v="2024-03-03T00:00:00"/>
    <s v="CUST1017"/>
    <s v="P003"/>
    <x v="3"/>
    <s v="Electronics"/>
    <x v="2"/>
    <x v="5"/>
    <n v="2"/>
    <n v="1689.2"/>
    <n v="0.05"/>
    <x v="1490"/>
    <x v="1"/>
    <s v="UPI"/>
    <s v="Completed"/>
    <x v="7"/>
    <s v="Completed"/>
    <s v="Marketplace"/>
    <s v="Upi"/>
    <x v="1"/>
    <s v="VALID"/>
    <s v="NORMAL"/>
    <s v="Valid"/>
    <n v="3378.4"/>
    <n v="3209.48"/>
  </r>
  <r>
    <s v="ORD51494"/>
    <d v="2024-10-07T00:00:00"/>
    <s v="CUST1182"/>
    <s v="P005"/>
    <x v="12"/>
    <s v="Furniture"/>
    <x v="3"/>
    <x v="15"/>
    <n v="3"/>
    <n v="10144.700000000001"/>
    <n v="0.15"/>
    <x v="1491"/>
    <x v="2"/>
    <s v="Net Banking"/>
    <s v="Completed"/>
    <x v="6"/>
    <s v="Completed"/>
    <s v="Store"/>
    <s v="Net Banking"/>
    <x v="2"/>
    <s v="VALID"/>
    <s v="NORMAL"/>
    <s v="Valid"/>
    <n v="30434.100000000002"/>
    <n v="25868.985000000001"/>
  </r>
  <r>
    <s v="ORD51495"/>
    <d v="2025-04-01T00:00:00"/>
    <s v="CUST1208"/>
    <s v="P007"/>
    <x v="11"/>
    <s v="Stationery"/>
    <x v="3"/>
    <x v="8"/>
    <n v="5"/>
    <n v="414.12"/>
    <n v="0.08"/>
    <x v="1492"/>
    <x v="2"/>
    <s v="Credit Card"/>
    <s v="Completed"/>
    <x v="0"/>
    <s v="Completed"/>
    <s v="Store"/>
    <s v="Credit Card"/>
    <x v="3"/>
    <s v="VALID"/>
    <s v="NORMAL"/>
    <s v="Valid"/>
    <n v="2070.6"/>
    <n v="1904.952"/>
  </r>
  <r>
    <s v="ORD51496"/>
    <d v="2024-03-19T00:00:00"/>
    <s v="CUST1221"/>
    <s v="P010"/>
    <x v="14"/>
    <s v="Electronics"/>
    <x v="1"/>
    <x v="3"/>
    <n v="1"/>
    <n v="2281.02"/>
    <n v="0"/>
    <x v="1493"/>
    <x v="0"/>
    <s v="Debit Card"/>
    <s v="Completed"/>
    <x v="1"/>
    <s v="Completed"/>
    <s v="Online"/>
    <s v="Debit Card"/>
    <x v="1"/>
    <s v="VALID"/>
    <s v="NORMAL"/>
    <s v="Valid"/>
    <n v="2281.02"/>
    <n v="2281.02"/>
  </r>
  <r>
    <s v="ORD51497"/>
    <d v="2024-10-07T00:00:00"/>
    <s v="CUST1063"/>
    <s v="P010"/>
    <x v="14"/>
    <s v="Electronics"/>
    <x v="1"/>
    <x v="1"/>
    <n v="5"/>
    <n v="2112.25"/>
    <n v="0"/>
    <x v="1494"/>
    <x v="2"/>
    <s v="Net Banking"/>
    <s v="Returned"/>
    <x v="0"/>
    <s v="Returned"/>
    <s v="Store"/>
    <s v="Net Banking"/>
    <x v="1"/>
    <s v="VALID"/>
    <s v="NORMAL"/>
    <s v="Valid"/>
    <n v="10561.25"/>
    <n v="10561.25"/>
  </r>
  <r>
    <s v="ORD51498"/>
    <d v="2024-09-29T00:00:00"/>
    <s v="CUST1002"/>
    <s v="P003"/>
    <x v="3"/>
    <s v="Electronics"/>
    <x v="2"/>
    <x v="5"/>
    <n v="4"/>
    <n v="1706.75"/>
    <n v="0.2"/>
    <x v="1495"/>
    <x v="2"/>
    <s v="Debit Card"/>
    <s v="Completed"/>
    <x v="4"/>
    <s v="Completed"/>
    <s v="Store"/>
    <s v="Debit Card"/>
    <x v="1"/>
    <s v="VALID"/>
    <s v="NORMAL"/>
    <s v="Valid"/>
    <n v="6827"/>
    <n v="5461.6"/>
  </r>
  <r>
    <s v="ORD51499"/>
    <d v="2025-02-02T00:00:00"/>
    <s v="CUST1172"/>
    <s v="P003"/>
    <x v="3"/>
    <s v="Electronics"/>
    <x v="2"/>
    <x v="13"/>
    <n v="4"/>
    <n v="1803"/>
    <n v="0.03"/>
    <x v="1496"/>
    <x v="2"/>
    <s v="UPI"/>
    <s v="Completed"/>
    <x v="5"/>
    <s v="Completed"/>
    <s v="Store"/>
    <s v="Upi"/>
    <x v="1"/>
    <s v="VALID"/>
    <s v="NORMAL"/>
    <s v="Valid"/>
    <n v="7212"/>
    <n v="6995.64"/>
  </r>
  <r>
    <s v="ORD51500"/>
    <d v="2025-08-09T00:00:00"/>
    <s v="CUST1256"/>
    <s v="P012"/>
    <x v="0"/>
    <s v="Accessories"/>
    <x v="1"/>
    <x v="3"/>
    <n v="1"/>
    <n v="872.41"/>
    <n v="0.15"/>
    <x v="1497"/>
    <x v="2"/>
    <s v="Cash on Delivery"/>
    <s v="Completed"/>
    <x v="2"/>
    <s v="Completed"/>
    <s v="Store"/>
    <s v="Cash On Delivery"/>
    <x v="0"/>
    <s v="VALID"/>
    <s v="NORMAL"/>
    <s v="Valid"/>
    <n v="872.41"/>
    <n v="741.54849999999999"/>
  </r>
  <r>
    <s v="ORD50371"/>
    <d v="2024-07-04T00:00:00"/>
    <s v="CUST1078"/>
    <s v="P004"/>
    <x v="6"/>
    <s v="Electronics"/>
    <x v="0"/>
    <x v="14"/>
    <n v="3"/>
    <n v="12159.57"/>
    <n v="0.15"/>
    <x v="370"/>
    <x v="1"/>
    <s v="Debit Card"/>
    <s v="Cancelled"/>
    <x v="5"/>
    <s v="Cancelled"/>
    <s v="Marketplace"/>
    <s v="Debit Card"/>
    <x v="1"/>
    <s v="VALID"/>
    <s v="NORMAL"/>
    <s v="Valid"/>
    <n v="36478.71"/>
    <n v="31006.9035"/>
  </r>
  <r>
    <s v="ORD50032"/>
    <d v="2026-06-05T00:00:00"/>
    <s v="CUST1046"/>
    <s v="P008"/>
    <x v="4"/>
    <s v="Stationery"/>
    <x v="0"/>
    <x v="0"/>
    <m/>
    <n v="202.89"/>
    <n v="0.03"/>
    <x v="31"/>
    <x v="0"/>
    <s v="UPI"/>
    <s v="Completed"/>
    <x v="0"/>
    <s v="Completed"/>
    <s v="Online"/>
    <s v="Upi"/>
    <x v="3"/>
    <s v="INVALID"/>
    <s v="NORMAL"/>
    <s v="Valid"/>
    <n v="0"/>
    <n v="0"/>
  </r>
  <r>
    <s v="ORD51210"/>
    <d v="2026-02-06T00:00:00"/>
    <s v="CUST1182"/>
    <s v="P001"/>
    <x v="13"/>
    <s v="Electronics"/>
    <x v="0"/>
    <x v="0"/>
    <n v="4"/>
    <n v="60204.77"/>
    <n v="0.1"/>
    <x v="1207"/>
    <x v="1"/>
    <s v="Debit Card"/>
    <s v="Completed"/>
    <x v="0"/>
    <s v="Completed"/>
    <s v="Marketplace"/>
    <s v="Debit Card"/>
    <x v="1"/>
    <s v="VALID"/>
    <s v="NORMAL"/>
    <s v="Valid"/>
    <n v="240819.08"/>
    <n v="216737.17199999999"/>
  </r>
  <r>
    <s v="ORD50274"/>
    <d v="2025-08-05T00:00:00"/>
    <s v="CUST1184"/>
    <s v="P007"/>
    <x v="11"/>
    <s v="Stationery"/>
    <x v="0"/>
    <x v="16"/>
    <n v="5"/>
    <n v="446.21"/>
    <n v="0.1"/>
    <x v="273"/>
    <x v="0"/>
    <s v="Debit Card"/>
    <s v="Completed"/>
    <x v="2"/>
    <s v="Completed"/>
    <s v="Online"/>
    <s v="Debit Card"/>
    <x v="3"/>
    <s v="VALID"/>
    <s v="NORMAL"/>
    <s v="Valid"/>
    <n v="2231.0499999999997"/>
    <n v="2007.944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70A4A-F3E1-4A7E-A031-52FF8503A58D}" name="Total sales by cit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1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7"/>
        <item x="12"/>
        <item x="10"/>
        <item x="15"/>
        <item x="4"/>
        <item x="11"/>
        <item x="5"/>
        <item x="9"/>
        <item x="0"/>
        <item x="8"/>
        <item x="6"/>
        <item x="14"/>
        <item x="1"/>
        <item x="2"/>
        <item x="3"/>
        <item x="13"/>
        <item h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_Amount" fld="11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D6783-36CA-43A7-801C-D772CCB00585}" name="Top 10 product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3" firstHeaderRow="1" firstDataRow="1" firstDataCol="1"/>
  <pivotFields count="25">
    <pivotField showAll="0"/>
    <pivotField showAll="0"/>
    <pivotField showAll="0"/>
    <pivotField showAll="0"/>
    <pivotField axis="axisRow" showAll="0" measureFilter="1">
      <items count="16">
        <item x="7"/>
        <item x="10"/>
        <item x="2"/>
        <item x="1"/>
        <item x="3"/>
        <item x="13"/>
        <item x="6"/>
        <item x="11"/>
        <item x="12"/>
        <item x="4"/>
        <item x="8"/>
        <item x="14"/>
        <item x="0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1"/>
    </i>
    <i>
      <x v="13"/>
    </i>
    <i t="grand">
      <x/>
    </i>
  </rowItems>
  <colItems count="1">
    <i/>
  </colItems>
  <dataFields count="1">
    <dataField name="Sum of Sales_Amount" fld="11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4" type="button" dataOnly="0" labelOnly="1" outline="0" axis="axisRow" fieldPosition="0"/>
    </format>
    <format dxfId="9">
      <pivotArea dataOnly="0" labelOnly="1" fieldPosition="0">
        <references count="1">
          <reference field="4" count="10">
            <x v="0"/>
            <x v="1"/>
            <x v="2"/>
            <x v="3"/>
            <x v="4"/>
            <x v="5"/>
            <x v="6"/>
            <x v="8"/>
            <x v="11"/>
            <x v="13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ECBCE-3803-4DF7-A3CC-628EE555E85F}" name="Total sales by sales chann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3:N1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1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2" type="button" dataOnly="0" labelOnly="1" outline="0" axis="axisRow" fieldPosition="0"/>
    </format>
    <format dxfId="15">
      <pivotArea dataOnly="0" labelOnly="1" fieldPosition="0">
        <references count="1">
          <reference field="12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3929C-1427-403C-A569-D4E238A71547}" name="Total sales by sales pers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10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0">
        <item x="4"/>
        <item x="0"/>
        <item x="7"/>
        <item x="6"/>
        <item x="2"/>
        <item x="1"/>
        <item x="3"/>
        <item x="5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_Amount" fld="11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5" type="button" dataOnly="0" labelOnly="1" outline="0" axis="axisRow" fieldPosition="0"/>
    </format>
    <format dxfId="21">
      <pivotArea dataOnly="0" labelOnly="1" fieldPosition="0">
        <references count="1">
          <reference field="15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AAB59-CD34-4A84-BD82-3630C121C4E7}" name="Total sales by produc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17" firstHeaderRow="1" firstDataRow="1" firstDataCol="1"/>
  <pivotFields count="25">
    <pivotField showAll="0"/>
    <pivotField showAll="0"/>
    <pivotField showAll="0"/>
    <pivotField showAll="0"/>
    <pivotField axis="axisRow" showAll="0">
      <items count="16">
        <item x="7"/>
        <item x="10"/>
        <item x="2"/>
        <item x="1"/>
        <item x="3"/>
        <item x="13"/>
        <item x="6"/>
        <item x="11"/>
        <item x="12"/>
        <item x="4"/>
        <item x="8"/>
        <item x="14"/>
        <item x="0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_Amount" fld="11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A6EF6-98AC-4A06-873C-52AF1928C471}" name="Total sales by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1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6" type="button" dataOnly="0" labelOnly="1" outline="0" axis="axisRow" fieldPosition="0"/>
    </format>
    <format dxfId="33">
      <pivotArea dataOnly="0" labelOnly="1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3647E-B690-4369-882A-7EBE8A5FC2F2}" name="Total sales by 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1" baseField="0" baseItem="0"/>
  </dataFields>
  <formats count="8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9" type="button" dataOnly="0" labelOnly="1" outline="0" axis="axisRow" fieldPosition="0"/>
    </format>
    <format dxfId="41">
      <pivotArea dataOnly="0" labelOnly="1" fieldPosition="0">
        <references count="1">
          <reference field="19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field="19" type="button" dataOnly="0" labelOnly="1" outline="0" axis="axisRow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B60FF-5AF6-4DDD-BBEA-4B2DE6E01A0C}" name="Table1" displayName="Table1" ref="A1:P1529" totalsRowShown="0" headerRowDxfId="46">
  <autoFilter ref="A1:P1529" xr:uid="{E91B60FF-5AF6-4DDD-BBEA-4B2DE6E01A0C}"/>
  <tableColumns count="16">
    <tableColumn id="1" xr3:uid="{E3D06399-A4B6-41E2-A846-183D6ED4CBA5}" name="Order_ID"/>
    <tableColumn id="2" xr3:uid="{051FC328-74FE-476C-82F1-44328A920FA3}" name="Order_Date" dataDxfId="45"/>
    <tableColumn id="3" xr3:uid="{1BE47454-E4FB-4F1E-9149-CF55D19BEF26}" name="Customer_ID"/>
    <tableColumn id="4" xr3:uid="{B56D1001-0FDF-4F64-A5C7-97606CDD96B9}" name="Product_ID"/>
    <tableColumn id="5" xr3:uid="{F065AD7B-EDFF-43FE-889D-B354467C4322}" name="Product_Name"/>
    <tableColumn id="6" xr3:uid="{0285F450-EF61-4926-BDAA-5F54B23C5A0D}" name="Category"/>
    <tableColumn id="7" xr3:uid="{68044175-5A15-4D06-B506-32C6042184E6}" name="Region"/>
    <tableColumn id="8" xr3:uid="{FFB95E34-549B-4DB9-98D4-5BC97F2084A9}" name="City"/>
    <tableColumn id="9" xr3:uid="{454AAD3B-9B2F-4294-8C47-7310B60C4892}" name="Quantity"/>
    <tableColumn id="10" xr3:uid="{41391F12-696C-47FB-B7E1-3E3682E90C28}" name="Unit_Price"/>
    <tableColumn id="11" xr3:uid="{B4FCE15C-6F65-46F7-B350-AB5A35CF301F}" name="Discount"/>
    <tableColumn id="12" xr3:uid="{48919B5E-26B2-40A7-ACBB-14AB5CE3DE50}" name="Sales_Amount"/>
    <tableColumn id="13" xr3:uid="{D0308645-9A80-4A84-A1DA-24F87EEA054B}" name="Sales_Channel"/>
    <tableColumn id="14" xr3:uid="{F86E847E-9722-4EC9-85BA-FA42419E56C5}" name="Payment_Method"/>
    <tableColumn id="15" xr3:uid="{E419A88E-372B-4241-A257-291234B93036}" name="Order_Status"/>
    <tableColumn id="16" xr3:uid="{6101EB54-0888-492D-8EBB-E38D43020356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BC61-E6FB-444A-AF7D-C3932EAA2785}">
  <dimension ref="A1:S1529"/>
  <sheetViews>
    <sheetView zoomScale="80" zoomScaleNormal="80" workbookViewId="0"/>
  </sheetViews>
  <sheetFormatPr defaultRowHeight="14.4" x14ac:dyDescent="0.3"/>
  <cols>
    <col min="1" max="1" width="11.109375" customWidth="1"/>
    <col min="2" max="2" width="13.33203125" customWidth="1"/>
    <col min="3" max="3" width="14.44140625" customWidth="1"/>
    <col min="4" max="4" width="12.6640625" customWidth="1"/>
    <col min="5" max="5" width="15.88671875" customWidth="1"/>
    <col min="6" max="6" width="11" bestFit="1" customWidth="1"/>
    <col min="7" max="7" width="9" customWidth="1"/>
    <col min="8" max="8" width="14.5546875" bestFit="1" customWidth="1"/>
    <col min="9" max="9" width="10.6640625" customWidth="1"/>
    <col min="10" max="10" width="12" customWidth="1"/>
    <col min="11" max="11" width="10.6640625" customWidth="1"/>
    <col min="12" max="13" width="15.44140625" customWidth="1"/>
    <col min="14" max="14" width="18.77734375" customWidth="1"/>
    <col min="15" max="15" width="14.5546875" customWidth="1"/>
    <col min="16" max="16" width="13.44140625" customWidth="1"/>
    <col min="18" max="18" width="23.21875" bestFit="1" customWidth="1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R1" s="7" t="s">
        <v>1853</v>
      </c>
      <c r="S1" s="8">
        <f>COUNTA(A2:A1529)</f>
        <v>1528</v>
      </c>
    </row>
    <row r="2" spans="1:19" x14ac:dyDescent="0.3">
      <c r="A2" t="s">
        <v>16</v>
      </c>
      <c r="B2" s="1">
        <v>45373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>
        <v>876.84</v>
      </c>
      <c r="K2">
        <v>0.08</v>
      </c>
      <c r="L2">
        <v>2420.08</v>
      </c>
      <c r="M2" t="s">
        <v>23</v>
      </c>
      <c r="N2" t="s">
        <v>24</v>
      </c>
      <c r="O2" t="s">
        <v>25</v>
      </c>
      <c r="P2" t="s">
        <v>26</v>
      </c>
      <c r="R2" s="9" t="s">
        <v>1856</v>
      </c>
      <c r="S2" s="10">
        <v>16</v>
      </c>
    </row>
    <row r="3" spans="1:19" x14ac:dyDescent="0.3">
      <c r="A3" t="s">
        <v>27</v>
      </c>
      <c r="B3" s="1">
        <v>45986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3</v>
      </c>
      <c r="J3">
        <v>3174.6</v>
      </c>
      <c r="K3">
        <v>0</v>
      </c>
      <c r="L3">
        <v>9523.7999999999993</v>
      </c>
      <c r="M3" t="s">
        <v>23</v>
      </c>
      <c r="N3" t="s">
        <v>34</v>
      </c>
      <c r="O3" t="s">
        <v>35</v>
      </c>
      <c r="P3" t="s">
        <v>26</v>
      </c>
      <c r="R3" s="9" t="s">
        <v>1854</v>
      </c>
      <c r="S3" s="10">
        <f>COUNTBLANK(C2:C1529)</f>
        <v>35</v>
      </c>
    </row>
    <row r="4" spans="1:19" x14ac:dyDescent="0.3">
      <c r="A4" t="s">
        <v>36</v>
      </c>
      <c r="B4" s="1">
        <v>45659</v>
      </c>
      <c r="C4" t="s">
        <v>37</v>
      </c>
      <c r="D4" t="s">
        <v>38</v>
      </c>
      <c r="E4" t="s">
        <v>39</v>
      </c>
      <c r="F4" t="s">
        <v>40</v>
      </c>
      <c r="G4" t="s">
        <v>21</v>
      </c>
      <c r="H4" t="s">
        <v>41</v>
      </c>
      <c r="I4">
        <v>3</v>
      </c>
      <c r="J4">
        <v>1613.97</v>
      </c>
      <c r="K4">
        <v>0.08</v>
      </c>
      <c r="L4">
        <v>4454.5600000000004</v>
      </c>
      <c r="M4" t="s">
        <v>23</v>
      </c>
      <c r="N4" t="s">
        <v>34</v>
      </c>
      <c r="O4" t="s">
        <v>35</v>
      </c>
      <c r="P4" t="s">
        <v>42</v>
      </c>
      <c r="R4" s="9" t="s">
        <v>1855</v>
      </c>
      <c r="S4" s="10">
        <f>COUNTBLANK(H2:H1529)</f>
        <v>22</v>
      </c>
    </row>
    <row r="5" spans="1:19" x14ac:dyDescent="0.3">
      <c r="A5" t="s">
        <v>43</v>
      </c>
      <c r="B5" s="1">
        <v>45868</v>
      </c>
      <c r="C5" t="s">
        <v>44</v>
      </c>
      <c r="D5" t="s">
        <v>45</v>
      </c>
      <c r="E5" t="s">
        <v>46</v>
      </c>
      <c r="F5" t="s">
        <v>31</v>
      </c>
      <c r="G5" t="s">
        <v>32</v>
      </c>
      <c r="H5" t="s">
        <v>47</v>
      </c>
      <c r="I5">
        <v>4</v>
      </c>
      <c r="J5">
        <v>1935.56</v>
      </c>
      <c r="K5">
        <v>0.05</v>
      </c>
      <c r="L5">
        <v>7355.13</v>
      </c>
      <c r="M5" t="s">
        <v>48</v>
      </c>
      <c r="N5" t="s">
        <v>49</v>
      </c>
      <c r="O5" t="s">
        <v>35</v>
      </c>
      <c r="P5" t="s">
        <v>50</v>
      </c>
      <c r="R5" s="9" t="s">
        <v>1857</v>
      </c>
      <c r="S5" s="10">
        <f>COUNTBLANK(I2:I1529)</f>
        <v>12</v>
      </c>
    </row>
    <row r="6" spans="1:19" x14ac:dyDescent="0.3">
      <c r="A6" t="s">
        <v>51</v>
      </c>
      <c r="B6" s="1">
        <v>45623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>
        <v>1</v>
      </c>
      <c r="J6">
        <v>226.44</v>
      </c>
      <c r="K6">
        <v>0.08</v>
      </c>
      <c r="L6">
        <v>208.32</v>
      </c>
      <c r="M6" t="s">
        <v>48</v>
      </c>
      <c r="N6" t="s">
        <v>58</v>
      </c>
      <c r="O6" t="s">
        <v>25</v>
      </c>
      <c r="P6" t="s">
        <v>59</v>
      </c>
      <c r="R6" s="9" t="s">
        <v>1858</v>
      </c>
      <c r="S6" s="10">
        <f>COUNTBLANK(K2:K1529)</f>
        <v>10</v>
      </c>
    </row>
    <row r="7" spans="1:19" x14ac:dyDescent="0.3">
      <c r="A7" t="s">
        <v>60</v>
      </c>
      <c r="B7" s="1">
        <v>45589</v>
      </c>
      <c r="C7" t="s">
        <v>61</v>
      </c>
      <c r="D7" t="s">
        <v>62</v>
      </c>
      <c r="E7" t="s">
        <v>63</v>
      </c>
      <c r="F7" t="s">
        <v>31</v>
      </c>
      <c r="G7" t="s">
        <v>56</v>
      </c>
      <c r="H7" t="s">
        <v>64</v>
      </c>
      <c r="I7">
        <v>1</v>
      </c>
      <c r="J7">
        <v>2660.88</v>
      </c>
      <c r="K7">
        <v>0.08</v>
      </c>
      <c r="L7">
        <v>2448.0100000000002</v>
      </c>
      <c r="M7" t="s">
        <v>48</v>
      </c>
      <c r="N7" t="s">
        <v>24</v>
      </c>
      <c r="O7" t="s">
        <v>65</v>
      </c>
      <c r="P7" t="s">
        <v>50</v>
      </c>
      <c r="R7" s="9" t="s">
        <v>1859</v>
      </c>
      <c r="S7" s="10">
        <f>COUNTBLANK(N2:N1529)</f>
        <v>18</v>
      </c>
    </row>
    <row r="8" spans="1:19" ht="15" thickBot="1" x14ac:dyDescent="0.35">
      <c r="A8" t="s">
        <v>66</v>
      </c>
      <c r="B8" s="1">
        <v>45806</v>
      </c>
      <c r="C8" t="s">
        <v>67</v>
      </c>
      <c r="D8" t="s">
        <v>29</v>
      </c>
      <c r="E8" t="s">
        <v>30</v>
      </c>
      <c r="F8" t="s">
        <v>31</v>
      </c>
      <c r="G8" t="s">
        <v>32</v>
      </c>
      <c r="H8" t="s">
        <v>68</v>
      </c>
      <c r="I8">
        <v>3</v>
      </c>
      <c r="J8">
        <v>3302.54</v>
      </c>
      <c r="K8">
        <v>0.03</v>
      </c>
      <c r="L8">
        <v>9610.39</v>
      </c>
      <c r="M8" t="s">
        <v>23</v>
      </c>
      <c r="N8" t="s">
        <v>49</v>
      </c>
      <c r="O8" t="s">
        <v>35</v>
      </c>
      <c r="P8" t="s">
        <v>59</v>
      </c>
      <c r="R8" s="11" t="s">
        <v>1860</v>
      </c>
      <c r="S8" s="12">
        <f>COUNTBLANK(P2:P1529)</f>
        <v>15</v>
      </c>
    </row>
    <row r="9" spans="1:19" x14ac:dyDescent="0.3">
      <c r="A9" t="s">
        <v>69</v>
      </c>
      <c r="B9" s="1">
        <v>46025</v>
      </c>
      <c r="C9" t="s">
        <v>70</v>
      </c>
      <c r="D9" t="s">
        <v>38</v>
      </c>
      <c r="E9" t="s">
        <v>39</v>
      </c>
      <c r="F9" t="s">
        <v>40</v>
      </c>
      <c r="G9" t="s">
        <v>56</v>
      </c>
      <c r="H9" t="s">
        <v>64</v>
      </c>
      <c r="I9">
        <v>5</v>
      </c>
      <c r="J9">
        <v>1646.72</v>
      </c>
      <c r="K9">
        <v>0.05</v>
      </c>
      <c r="L9">
        <v>7821.92</v>
      </c>
      <c r="M9" t="s">
        <v>48</v>
      </c>
      <c r="N9" t="s">
        <v>71</v>
      </c>
      <c r="O9" t="s">
        <v>35</v>
      </c>
      <c r="P9" t="s">
        <v>72</v>
      </c>
    </row>
    <row r="10" spans="1:19" x14ac:dyDescent="0.3">
      <c r="A10" t="s">
        <v>73</v>
      </c>
      <c r="B10" s="1">
        <v>46018</v>
      </c>
      <c r="C10" t="s">
        <v>74</v>
      </c>
      <c r="D10" t="s">
        <v>18</v>
      </c>
      <c r="E10" t="s">
        <v>19</v>
      </c>
      <c r="F10" t="s">
        <v>20</v>
      </c>
      <c r="G10" t="s">
        <v>32</v>
      </c>
      <c r="H10" t="s">
        <v>75</v>
      </c>
      <c r="I10">
        <v>4</v>
      </c>
      <c r="J10">
        <v>888.18</v>
      </c>
      <c r="K10">
        <v>0.08</v>
      </c>
      <c r="L10">
        <v>3268.5</v>
      </c>
      <c r="M10" t="s">
        <v>76</v>
      </c>
      <c r="N10" t="s">
        <v>24</v>
      </c>
      <c r="O10" t="s">
        <v>65</v>
      </c>
      <c r="P10" t="s">
        <v>72</v>
      </c>
    </row>
    <row r="11" spans="1:19" x14ac:dyDescent="0.3">
      <c r="A11" t="s">
        <v>77</v>
      </c>
      <c r="B11" s="1">
        <v>45419</v>
      </c>
      <c r="C11" t="s">
        <v>78</v>
      </c>
      <c r="D11" t="s">
        <v>79</v>
      </c>
      <c r="E11" t="s">
        <v>80</v>
      </c>
      <c r="F11" t="s">
        <v>31</v>
      </c>
      <c r="G11" t="s">
        <v>81</v>
      </c>
      <c r="H11" t="s">
        <v>82</v>
      </c>
      <c r="I11">
        <v>3</v>
      </c>
      <c r="J11">
        <v>12442.19</v>
      </c>
      <c r="K11">
        <v>0.1</v>
      </c>
      <c r="L11">
        <v>33593.910000000003</v>
      </c>
      <c r="M11" t="s">
        <v>23</v>
      </c>
      <c r="N11" t="s">
        <v>49</v>
      </c>
      <c r="O11" t="s">
        <v>65</v>
      </c>
      <c r="P11" t="s">
        <v>26</v>
      </c>
    </row>
    <row r="12" spans="1:19" x14ac:dyDescent="0.3">
      <c r="A12" t="s">
        <v>83</v>
      </c>
      <c r="B12" s="1">
        <v>45807</v>
      </c>
      <c r="C12" t="s">
        <v>84</v>
      </c>
      <c r="D12" t="s">
        <v>85</v>
      </c>
      <c r="E12" t="s">
        <v>86</v>
      </c>
      <c r="F12" t="s">
        <v>20</v>
      </c>
      <c r="G12" t="s">
        <v>81</v>
      </c>
      <c r="H12" t="s">
        <v>87</v>
      </c>
      <c r="I12">
        <v>3</v>
      </c>
      <c r="J12">
        <v>1664.88</v>
      </c>
      <c r="K12">
        <v>0.15</v>
      </c>
      <c r="L12">
        <v>4245.4399999999996</v>
      </c>
      <c r="M12" t="s">
        <v>76</v>
      </c>
      <c r="N12" t="s">
        <v>34</v>
      </c>
      <c r="O12" t="s">
        <v>65</v>
      </c>
      <c r="P12" t="s">
        <v>42</v>
      </c>
    </row>
    <row r="13" spans="1:19" x14ac:dyDescent="0.3">
      <c r="A13" t="s">
        <v>88</v>
      </c>
      <c r="B13" s="1">
        <v>45664</v>
      </c>
      <c r="C13" t="s">
        <v>78</v>
      </c>
      <c r="D13" t="s">
        <v>89</v>
      </c>
      <c r="E13" t="s">
        <v>90</v>
      </c>
      <c r="F13" t="s">
        <v>20</v>
      </c>
      <c r="G13" t="s">
        <v>32</v>
      </c>
      <c r="H13" t="s">
        <v>33</v>
      </c>
      <c r="I13">
        <v>1</v>
      </c>
      <c r="J13">
        <v>650.53</v>
      </c>
      <c r="K13">
        <v>0.03</v>
      </c>
      <c r="L13">
        <v>631.01</v>
      </c>
      <c r="M13" t="s">
        <v>48</v>
      </c>
      <c r="N13" t="s">
        <v>58</v>
      </c>
      <c r="O13" t="s">
        <v>65</v>
      </c>
      <c r="P13" t="s">
        <v>26</v>
      </c>
    </row>
    <row r="14" spans="1:19" x14ac:dyDescent="0.3">
      <c r="A14" t="s">
        <v>91</v>
      </c>
      <c r="B14" s="1">
        <v>45407</v>
      </c>
      <c r="C14" t="s">
        <v>92</v>
      </c>
      <c r="D14" t="s">
        <v>85</v>
      </c>
      <c r="E14" t="s">
        <v>86</v>
      </c>
      <c r="F14" t="s">
        <v>20</v>
      </c>
      <c r="G14" t="s">
        <v>21</v>
      </c>
      <c r="H14" t="s">
        <v>93</v>
      </c>
      <c r="I14">
        <v>4</v>
      </c>
      <c r="J14">
        <v>1773.04</v>
      </c>
      <c r="K14">
        <v>0.2</v>
      </c>
      <c r="L14">
        <v>5673.73</v>
      </c>
      <c r="M14" t="s">
        <v>48</v>
      </c>
      <c r="N14" t="s">
        <v>58</v>
      </c>
      <c r="O14" t="s">
        <v>65</v>
      </c>
      <c r="P14" t="s">
        <v>42</v>
      </c>
    </row>
    <row r="15" spans="1:19" x14ac:dyDescent="0.3">
      <c r="A15" t="s">
        <v>94</v>
      </c>
      <c r="B15" s="1">
        <v>45312</v>
      </c>
      <c r="C15" t="s">
        <v>95</v>
      </c>
      <c r="D15" t="s">
        <v>96</v>
      </c>
      <c r="E15" t="s">
        <v>97</v>
      </c>
      <c r="F15" t="s">
        <v>31</v>
      </c>
      <c r="G15" t="s">
        <v>81</v>
      </c>
      <c r="H15" t="s">
        <v>98</v>
      </c>
      <c r="I15">
        <v>4</v>
      </c>
      <c r="J15">
        <v>1192.68</v>
      </c>
      <c r="K15">
        <v>0.15</v>
      </c>
      <c r="L15">
        <v>4055.11</v>
      </c>
      <c r="M15" t="s">
        <v>48</v>
      </c>
      <c r="N15" t="s">
        <v>24</v>
      </c>
      <c r="O15" t="s">
        <v>25</v>
      </c>
      <c r="P15" t="s">
        <v>50</v>
      </c>
    </row>
    <row r="16" spans="1:19" x14ac:dyDescent="0.3">
      <c r="A16" t="s">
        <v>99</v>
      </c>
      <c r="B16" s="1">
        <v>45745</v>
      </c>
      <c r="C16" t="s">
        <v>100</v>
      </c>
      <c r="D16" t="s">
        <v>29</v>
      </c>
      <c r="E16" t="s">
        <v>30</v>
      </c>
      <c r="F16" t="s">
        <v>31</v>
      </c>
      <c r="G16" t="s">
        <v>56</v>
      </c>
      <c r="H16" t="s">
        <v>101</v>
      </c>
      <c r="I16">
        <v>3</v>
      </c>
      <c r="J16">
        <v>3098.37</v>
      </c>
      <c r="K16">
        <v>0.03</v>
      </c>
      <c r="L16">
        <v>9016.26</v>
      </c>
      <c r="M16" t="s">
        <v>76</v>
      </c>
      <c r="N16" t="s">
        <v>49</v>
      </c>
      <c r="O16" t="s">
        <v>65</v>
      </c>
      <c r="P16" t="s">
        <v>102</v>
      </c>
    </row>
    <row r="17" spans="1:16" x14ac:dyDescent="0.3">
      <c r="A17" t="s">
        <v>103</v>
      </c>
      <c r="B17" s="1">
        <v>45371</v>
      </c>
      <c r="C17" t="s">
        <v>104</v>
      </c>
      <c r="D17" t="s">
        <v>105</v>
      </c>
      <c r="E17" t="s">
        <v>106</v>
      </c>
      <c r="F17" t="s">
        <v>40</v>
      </c>
      <c r="G17" t="s">
        <v>81</v>
      </c>
      <c r="H17" t="s">
        <v>82</v>
      </c>
      <c r="I17">
        <v>2</v>
      </c>
      <c r="J17">
        <v>7670.68</v>
      </c>
      <c r="K17">
        <v>0.2</v>
      </c>
      <c r="L17">
        <v>12273.09</v>
      </c>
      <c r="M17" t="s">
        <v>76</v>
      </c>
      <c r="N17" t="s">
        <v>58</v>
      </c>
      <c r="O17" t="s">
        <v>35</v>
      </c>
      <c r="P17" t="s">
        <v>102</v>
      </c>
    </row>
    <row r="18" spans="1:16" x14ac:dyDescent="0.3">
      <c r="A18" t="s">
        <v>107</v>
      </c>
      <c r="B18" s="1">
        <v>45532</v>
      </c>
      <c r="C18" t="s">
        <v>108</v>
      </c>
      <c r="D18" t="s">
        <v>18</v>
      </c>
      <c r="E18" t="s">
        <v>19</v>
      </c>
      <c r="F18" t="s">
        <v>20</v>
      </c>
      <c r="G18" t="s">
        <v>56</v>
      </c>
      <c r="H18" t="s">
        <v>64</v>
      </c>
      <c r="I18">
        <v>4</v>
      </c>
      <c r="J18">
        <v>819.02</v>
      </c>
      <c r="K18">
        <v>0.15</v>
      </c>
      <c r="L18">
        <v>2784.67</v>
      </c>
      <c r="M18" t="s">
        <v>23</v>
      </c>
      <c r="N18" t="s">
        <v>24</v>
      </c>
      <c r="O18" t="s">
        <v>25</v>
      </c>
      <c r="P18" t="s">
        <v>50</v>
      </c>
    </row>
    <row r="19" spans="1:16" x14ac:dyDescent="0.3">
      <c r="A19" t="s">
        <v>109</v>
      </c>
      <c r="B19" s="1">
        <v>45707</v>
      </c>
      <c r="C19" t="s">
        <v>110</v>
      </c>
      <c r="D19" t="s">
        <v>29</v>
      </c>
      <c r="E19" t="s">
        <v>30</v>
      </c>
      <c r="F19" t="s">
        <v>31</v>
      </c>
      <c r="G19" t="s">
        <v>81</v>
      </c>
      <c r="H19" t="s">
        <v>98</v>
      </c>
      <c r="I19">
        <v>4</v>
      </c>
      <c r="J19">
        <v>3240.56</v>
      </c>
      <c r="K19">
        <v>0.05</v>
      </c>
      <c r="L19">
        <v>12314.13</v>
      </c>
      <c r="M19" t="s">
        <v>76</v>
      </c>
      <c r="N19" t="s">
        <v>34</v>
      </c>
      <c r="O19" t="s">
        <v>65</v>
      </c>
      <c r="P19" t="s">
        <v>111</v>
      </c>
    </row>
    <row r="20" spans="1:16" x14ac:dyDescent="0.3">
      <c r="A20" t="s">
        <v>112</v>
      </c>
      <c r="B20" s="1">
        <v>45741</v>
      </c>
      <c r="C20" t="s">
        <v>113</v>
      </c>
      <c r="D20" t="s">
        <v>29</v>
      </c>
      <c r="E20" t="s">
        <v>30</v>
      </c>
      <c r="F20" t="s">
        <v>31</v>
      </c>
      <c r="G20" t="s">
        <v>21</v>
      </c>
      <c r="H20" t="s">
        <v>22</v>
      </c>
      <c r="I20">
        <v>3</v>
      </c>
      <c r="J20">
        <v>3243.06</v>
      </c>
      <c r="K20">
        <v>0.05</v>
      </c>
      <c r="L20">
        <v>9242.7199999999993</v>
      </c>
      <c r="M20" t="s">
        <v>76</v>
      </c>
      <c r="N20" t="s">
        <v>49</v>
      </c>
      <c r="O20" t="s">
        <v>65</v>
      </c>
      <c r="P20" t="s">
        <v>111</v>
      </c>
    </row>
    <row r="21" spans="1:16" x14ac:dyDescent="0.3">
      <c r="A21" t="s">
        <v>114</v>
      </c>
      <c r="B21" s="1">
        <v>45671</v>
      </c>
      <c r="C21" t="s">
        <v>115</v>
      </c>
      <c r="D21" t="s">
        <v>18</v>
      </c>
      <c r="E21" t="s">
        <v>19</v>
      </c>
      <c r="F21" t="s">
        <v>20</v>
      </c>
      <c r="G21" t="s">
        <v>81</v>
      </c>
      <c r="H21" t="s">
        <v>98</v>
      </c>
      <c r="I21">
        <v>1</v>
      </c>
      <c r="J21">
        <v>826.86</v>
      </c>
      <c r="K21">
        <v>0.08</v>
      </c>
      <c r="L21">
        <v>760.71</v>
      </c>
      <c r="M21" t="s">
        <v>48</v>
      </c>
      <c r="N21" t="s">
        <v>71</v>
      </c>
      <c r="O21" t="s">
        <v>65</v>
      </c>
      <c r="P21" t="s">
        <v>116</v>
      </c>
    </row>
    <row r="22" spans="1:16" x14ac:dyDescent="0.3">
      <c r="A22" t="s">
        <v>117</v>
      </c>
      <c r="B22" s="1">
        <v>46015</v>
      </c>
      <c r="C22" t="s">
        <v>118</v>
      </c>
      <c r="D22" t="s">
        <v>45</v>
      </c>
      <c r="E22" t="s">
        <v>46</v>
      </c>
      <c r="F22" t="s">
        <v>31</v>
      </c>
      <c r="G22" t="s">
        <v>56</v>
      </c>
      <c r="H22" t="s">
        <v>101</v>
      </c>
      <c r="I22">
        <v>5</v>
      </c>
      <c r="J22">
        <v>1755.9</v>
      </c>
      <c r="K22">
        <v>0.2</v>
      </c>
      <c r="L22">
        <v>7023.6</v>
      </c>
      <c r="M22" t="s">
        <v>76</v>
      </c>
      <c r="N22" t="s">
        <v>58</v>
      </c>
      <c r="O22" t="s">
        <v>65</v>
      </c>
      <c r="P22" t="s">
        <v>50</v>
      </c>
    </row>
    <row r="23" spans="1:16" x14ac:dyDescent="0.3">
      <c r="A23" t="s">
        <v>119</v>
      </c>
      <c r="B23" s="1">
        <v>46166</v>
      </c>
      <c r="C23" t="s">
        <v>120</v>
      </c>
      <c r="D23" t="s">
        <v>121</v>
      </c>
      <c r="E23" t="s">
        <v>122</v>
      </c>
      <c r="F23" t="s">
        <v>55</v>
      </c>
      <c r="G23" t="s">
        <v>56</v>
      </c>
      <c r="H23" t="s">
        <v>123</v>
      </c>
      <c r="I23">
        <v>3</v>
      </c>
      <c r="J23">
        <v>419.96</v>
      </c>
      <c r="K23">
        <v>0.15</v>
      </c>
      <c r="L23">
        <v>1070.9000000000001</v>
      </c>
      <c r="M23" t="s">
        <v>48</v>
      </c>
      <c r="N23" t="s">
        <v>24</v>
      </c>
      <c r="O23" t="s">
        <v>65</v>
      </c>
      <c r="P23" t="s">
        <v>102</v>
      </c>
    </row>
    <row r="24" spans="1:16" x14ac:dyDescent="0.3">
      <c r="A24" t="s">
        <v>124</v>
      </c>
      <c r="B24" s="1">
        <v>45438</v>
      </c>
      <c r="C24" t="s">
        <v>125</v>
      </c>
      <c r="D24" t="s">
        <v>85</v>
      </c>
      <c r="E24" t="s">
        <v>86</v>
      </c>
      <c r="F24" t="s">
        <v>20</v>
      </c>
      <c r="G24" t="s">
        <v>21</v>
      </c>
      <c r="H24" t="s">
        <v>126</v>
      </c>
      <c r="I24">
        <v>3</v>
      </c>
      <c r="J24">
        <v>1751.49</v>
      </c>
      <c r="K24">
        <v>0.15</v>
      </c>
      <c r="L24">
        <v>4466.3</v>
      </c>
      <c r="M24" t="s">
        <v>76</v>
      </c>
      <c r="N24" t="s">
        <v>34</v>
      </c>
      <c r="O24" t="s">
        <v>65</v>
      </c>
      <c r="P24" t="s">
        <v>42</v>
      </c>
    </row>
    <row r="25" spans="1:16" x14ac:dyDescent="0.3">
      <c r="A25" t="s">
        <v>127</v>
      </c>
      <c r="B25" s="1">
        <v>45311</v>
      </c>
      <c r="C25" t="s">
        <v>128</v>
      </c>
      <c r="D25" t="s">
        <v>105</v>
      </c>
      <c r="E25" t="s">
        <v>106</v>
      </c>
      <c r="F25" t="s">
        <v>40</v>
      </c>
      <c r="G25" t="s">
        <v>32</v>
      </c>
      <c r="H25" t="s">
        <v>75</v>
      </c>
      <c r="I25">
        <v>1</v>
      </c>
      <c r="J25">
        <v>6785.57</v>
      </c>
      <c r="K25">
        <v>0.2</v>
      </c>
      <c r="L25">
        <v>5428.46</v>
      </c>
      <c r="M25" t="s">
        <v>23</v>
      </c>
      <c r="N25" t="s">
        <v>71</v>
      </c>
      <c r="O25" t="s">
        <v>65</v>
      </c>
      <c r="P25" t="s">
        <v>26</v>
      </c>
    </row>
    <row r="26" spans="1:16" x14ac:dyDescent="0.3">
      <c r="A26" t="s">
        <v>129</v>
      </c>
      <c r="B26" s="1">
        <v>45400</v>
      </c>
      <c r="C26" t="s">
        <v>130</v>
      </c>
      <c r="D26" t="s">
        <v>131</v>
      </c>
      <c r="E26" t="s">
        <v>132</v>
      </c>
      <c r="F26" t="s">
        <v>40</v>
      </c>
      <c r="G26" t="s">
        <v>81</v>
      </c>
      <c r="H26" t="s">
        <v>87</v>
      </c>
      <c r="I26">
        <v>4</v>
      </c>
      <c r="J26">
        <v>9908.34</v>
      </c>
      <c r="K26">
        <v>0.15</v>
      </c>
      <c r="L26">
        <v>33688.36</v>
      </c>
      <c r="M26" t="s">
        <v>23</v>
      </c>
      <c r="N26" t="s">
        <v>49</v>
      </c>
      <c r="O26" t="s">
        <v>25</v>
      </c>
      <c r="P26" t="s">
        <v>102</v>
      </c>
    </row>
    <row r="27" spans="1:16" x14ac:dyDescent="0.3">
      <c r="A27" t="s">
        <v>133</v>
      </c>
      <c r="B27" s="1">
        <v>45501</v>
      </c>
      <c r="C27" t="s">
        <v>134</v>
      </c>
      <c r="D27" t="s">
        <v>79</v>
      </c>
      <c r="E27" t="s">
        <v>80</v>
      </c>
      <c r="F27" t="s">
        <v>31</v>
      </c>
      <c r="G27" t="s">
        <v>81</v>
      </c>
      <c r="H27" t="s">
        <v>135</v>
      </c>
      <c r="I27">
        <v>1</v>
      </c>
      <c r="J27">
        <v>12241.84</v>
      </c>
      <c r="K27">
        <v>0.08</v>
      </c>
      <c r="L27">
        <v>11262.49</v>
      </c>
      <c r="M27" t="s">
        <v>76</v>
      </c>
      <c r="N27" t="s">
        <v>34</v>
      </c>
      <c r="O27" t="s">
        <v>25</v>
      </c>
      <c r="P27" t="s">
        <v>42</v>
      </c>
    </row>
    <row r="28" spans="1:16" x14ac:dyDescent="0.3">
      <c r="A28" t="s">
        <v>136</v>
      </c>
      <c r="B28" s="1">
        <v>45476</v>
      </c>
      <c r="C28" t="s">
        <v>137</v>
      </c>
      <c r="D28" t="s">
        <v>89</v>
      </c>
      <c r="E28" t="s">
        <v>90</v>
      </c>
      <c r="F28" t="s">
        <v>20</v>
      </c>
      <c r="G28" t="s">
        <v>21</v>
      </c>
      <c r="H28" t="s">
        <v>41</v>
      </c>
      <c r="I28">
        <v>2</v>
      </c>
      <c r="J28">
        <v>672.67</v>
      </c>
      <c r="K28">
        <v>0.1</v>
      </c>
      <c r="L28">
        <v>1210.81</v>
      </c>
      <c r="M28" t="s">
        <v>48</v>
      </c>
      <c r="N28" t="s">
        <v>71</v>
      </c>
      <c r="O28" t="s">
        <v>65</v>
      </c>
      <c r="P28" t="s">
        <v>116</v>
      </c>
    </row>
    <row r="29" spans="1:16" x14ac:dyDescent="0.3">
      <c r="A29" t="s">
        <v>138</v>
      </c>
      <c r="B29" s="1">
        <v>45332</v>
      </c>
      <c r="C29" t="s">
        <v>139</v>
      </c>
      <c r="D29" t="s">
        <v>131</v>
      </c>
      <c r="E29" t="s">
        <v>132</v>
      </c>
      <c r="F29" t="s">
        <v>40</v>
      </c>
      <c r="G29" t="s">
        <v>56</v>
      </c>
      <c r="H29" t="s">
        <v>101</v>
      </c>
      <c r="I29">
        <v>5</v>
      </c>
      <c r="J29">
        <v>10095.35</v>
      </c>
      <c r="K29">
        <v>0.2</v>
      </c>
      <c r="L29">
        <v>40381.4</v>
      </c>
      <c r="M29" t="s">
        <v>48</v>
      </c>
      <c r="N29" t="s">
        <v>34</v>
      </c>
      <c r="O29" t="s">
        <v>65</v>
      </c>
      <c r="P29" t="s">
        <v>102</v>
      </c>
    </row>
    <row r="30" spans="1:16" x14ac:dyDescent="0.3">
      <c r="A30" t="s">
        <v>140</v>
      </c>
      <c r="B30" s="1">
        <v>45397</v>
      </c>
      <c r="C30" t="s">
        <v>141</v>
      </c>
      <c r="D30" t="s">
        <v>53</v>
      </c>
      <c r="E30" t="s">
        <v>54</v>
      </c>
      <c r="F30" t="s">
        <v>55</v>
      </c>
      <c r="G30" t="s">
        <v>56</v>
      </c>
      <c r="H30" t="s">
        <v>123</v>
      </c>
      <c r="I30">
        <v>2</v>
      </c>
      <c r="J30">
        <v>225.69</v>
      </c>
      <c r="K30">
        <v>0</v>
      </c>
      <c r="L30">
        <v>451.38</v>
      </c>
      <c r="M30" t="s">
        <v>76</v>
      </c>
      <c r="N30" t="s">
        <v>34</v>
      </c>
      <c r="O30" t="s">
        <v>65</v>
      </c>
      <c r="P30" t="s">
        <v>26</v>
      </c>
    </row>
    <row r="31" spans="1:16" x14ac:dyDescent="0.3">
      <c r="A31" t="s">
        <v>142</v>
      </c>
      <c r="B31" s="1">
        <v>45973</v>
      </c>
      <c r="C31" t="s">
        <v>143</v>
      </c>
      <c r="D31" t="s">
        <v>105</v>
      </c>
      <c r="E31" t="s">
        <v>106</v>
      </c>
      <c r="F31" t="s">
        <v>40</v>
      </c>
      <c r="G31" t="s">
        <v>56</v>
      </c>
      <c r="H31" t="s">
        <v>64</v>
      </c>
      <c r="I31">
        <v>1</v>
      </c>
      <c r="J31">
        <v>6901.6</v>
      </c>
      <c r="K31">
        <v>0.2</v>
      </c>
      <c r="L31">
        <v>5521.28</v>
      </c>
      <c r="M31" t="s">
        <v>23</v>
      </c>
      <c r="N31" t="s">
        <v>34</v>
      </c>
      <c r="O31" t="s">
        <v>25</v>
      </c>
      <c r="P31" t="s">
        <v>50</v>
      </c>
    </row>
    <row r="32" spans="1:16" x14ac:dyDescent="0.3">
      <c r="A32" t="s">
        <v>144</v>
      </c>
      <c r="B32" s="1">
        <v>45973</v>
      </c>
      <c r="D32" t="s">
        <v>45</v>
      </c>
      <c r="E32" t="s">
        <v>46</v>
      </c>
      <c r="F32" t="s">
        <v>31</v>
      </c>
      <c r="G32" t="s">
        <v>56</v>
      </c>
      <c r="H32" t="s">
        <v>123</v>
      </c>
      <c r="I32">
        <v>3</v>
      </c>
      <c r="J32">
        <v>1712.57</v>
      </c>
      <c r="K32">
        <v>0.15</v>
      </c>
      <c r="L32">
        <v>4367.05</v>
      </c>
      <c r="M32" t="s">
        <v>23</v>
      </c>
      <c r="N32" t="s">
        <v>34</v>
      </c>
      <c r="O32" t="s">
        <v>35</v>
      </c>
      <c r="P32" t="s">
        <v>42</v>
      </c>
    </row>
    <row r="33" spans="1:16" x14ac:dyDescent="0.3">
      <c r="A33" t="s">
        <v>145</v>
      </c>
      <c r="B33" s="1">
        <v>46178</v>
      </c>
      <c r="D33" t="s">
        <v>53</v>
      </c>
      <c r="E33" t="s">
        <v>54</v>
      </c>
      <c r="F33" t="s">
        <v>55</v>
      </c>
      <c r="G33" t="s">
        <v>21</v>
      </c>
      <c r="H33" t="s">
        <v>22</v>
      </c>
      <c r="I33">
        <v>3</v>
      </c>
      <c r="J33">
        <v>202.89</v>
      </c>
      <c r="K33">
        <v>0.03</v>
      </c>
      <c r="L33">
        <v>590.41</v>
      </c>
      <c r="M33" t="s">
        <v>23</v>
      </c>
      <c r="N33" t="s">
        <v>71</v>
      </c>
      <c r="O33" t="s">
        <v>65</v>
      </c>
      <c r="P33" t="s">
        <v>26</v>
      </c>
    </row>
    <row r="34" spans="1:16" x14ac:dyDescent="0.3">
      <c r="A34" t="s">
        <v>146</v>
      </c>
      <c r="B34" s="1">
        <v>46176</v>
      </c>
      <c r="C34" t="s">
        <v>147</v>
      </c>
      <c r="D34" t="s">
        <v>96</v>
      </c>
      <c r="E34" t="s">
        <v>97</v>
      </c>
      <c r="F34" t="s">
        <v>31</v>
      </c>
      <c r="G34" t="s">
        <v>56</v>
      </c>
      <c r="H34" t="s">
        <v>123</v>
      </c>
      <c r="I34">
        <v>0</v>
      </c>
      <c r="J34">
        <v>1215.57</v>
      </c>
      <c r="K34">
        <v>0.2</v>
      </c>
      <c r="L34">
        <v>2917.37</v>
      </c>
      <c r="M34" t="s">
        <v>23</v>
      </c>
      <c r="N34" t="s">
        <v>34</v>
      </c>
      <c r="O34" t="s">
        <v>35</v>
      </c>
      <c r="P34" t="s">
        <v>72</v>
      </c>
    </row>
    <row r="35" spans="1:16" x14ac:dyDescent="0.3">
      <c r="A35" t="s">
        <v>148</v>
      </c>
      <c r="B35" s="1">
        <v>45944</v>
      </c>
      <c r="C35" t="s">
        <v>149</v>
      </c>
      <c r="D35" t="s">
        <v>96</v>
      </c>
      <c r="E35" t="s">
        <v>97</v>
      </c>
      <c r="F35" t="s">
        <v>31</v>
      </c>
      <c r="G35" t="s">
        <v>21</v>
      </c>
      <c r="H35" t="s">
        <v>41</v>
      </c>
      <c r="I35">
        <v>5</v>
      </c>
      <c r="J35">
        <v>1127.76</v>
      </c>
      <c r="K35">
        <v>0</v>
      </c>
      <c r="L35">
        <v>5638.8</v>
      </c>
      <c r="M35" t="s">
        <v>23</v>
      </c>
      <c r="N35" t="s">
        <v>58</v>
      </c>
      <c r="O35" t="s">
        <v>25</v>
      </c>
      <c r="P35" t="s">
        <v>42</v>
      </c>
    </row>
    <row r="36" spans="1:16" x14ac:dyDescent="0.3">
      <c r="A36" t="s">
        <v>150</v>
      </c>
      <c r="B36" s="1">
        <v>45412</v>
      </c>
      <c r="C36" t="s">
        <v>151</v>
      </c>
      <c r="D36" t="s">
        <v>53</v>
      </c>
      <c r="E36" t="s">
        <v>54</v>
      </c>
      <c r="F36" t="s">
        <v>55</v>
      </c>
      <c r="G36" t="s">
        <v>21</v>
      </c>
      <c r="H36" t="s">
        <v>41</v>
      </c>
      <c r="I36">
        <v>4</v>
      </c>
      <c r="J36">
        <v>212.48</v>
      </c>
      <c r="K36">
        <v>0.05</v>
      </c>
      <c r="L36">
        <v>807.42</v>
      </c>
      <c r="M36" t="s">
        <v>48</v>
      </c>
      <c r="N36" t="s">
        <v>24</v>
      </c>
      <c r="O36" t="s">
        <v>65</v>
      </c>
      <c r="P36" t="s">
        <v>116</v>
      </c>
    </row>
    <row r="37" spans="1:16" x14ac:dyDescent="0.3">
      <c r="A37" t="s">
        <v>152</v>
      </c>
      <c r="B37" s="1">
        <v>45798</v>
      </c>
      <c r="C37" t="s">
        <v>153</v>
      </c>
      <c r="D37" t="s">
        <v>45</v>
      </c>
      <c r="E37" t="s">
        <v>46</v>
      </c>
      <c r="F37" t="s">
        <v>31</v>
      </c>
      <c r="G37" t="s">
        <v>21</v>
      </c>
      <c r="H37" t="s">
        <v>93</v>
      </c>
      <c r="I37">
        <v>5</v>
      </c>
      <c r="J37">
        <v>1696.42</v>
      </c>
      <c r="K37">
        <v>0</v>
      </c>
      <c r="L37">
        <v>8482.1</v>
      </c>
      <c r="M37" t="s">
        <v>23</v>
      </c>
      <c r="N37" t="s">
        <v>34</v>
      </c>
      <c r="O37" t="s">
        <v>65</v>
      </c>
      <c r="P37" t="s">
        <v>116</v>
      </c>
    </row>
    <row r="38" spans="1:16" x14ac:dyDescent="0.3">
      <c r="A38" t="s">
        <v>154</v>
      </c>
      <c r="B38" s="1">
        <v>45457</v>
      </c>
      <c r="C38" t="s">
        <v>155</v>
      </c>
      <c r="D38" t="s">
        <v>62</v>
      </c>
      <c r="E38" t="s">
        <v>63</v>
      </c>
      <c r="F38" t="s">
        <v>31</v>
      </c>
      <c r="G38" t="s">
        <v>21</v>
      </c>
      <c r="H38" t="s">
        <v>41</v>
      </c>
      <c r="I38">
        <v>5</v>
      </c>
      <c r="J38">
        <v>2927.57</v>
      </c>
      <c r="K38">
        <v>0.08</v>
      </c>
      <c r="L38">
        <v>13466.82</v>
      </c>
      <c r="M38" t="s">
        <v>23</v>
      </c>
      <c r="N38" t="s">
        <v>49</v>
      </c>
      <c r="O38" t="s">
        <v>65</v>
      </c>
      <c r="P38" t="s">
        <v>42</v>
      </c>
    </row>
    <row r="39" spans="1:16" x14ac:dyDescent="0.3">
      <c r="A39" t="s">
        <v>156</v>
      </c>
      <c r="B39" s="1">
        <v>46048</v>
      </c>
      <c r="C39" t="s">
        <v>157</v>
      </c>
      <c r="D39" t="s">
        <v>79</v>
      </c>
      <c r="E39" t="s">
        <v>80</v>
      </c>
      <c r="F39" t="s">
        <v>31</v>
      </c>
      <c r="G39" t="s">
        <v>32</v>
      </c>
      <c r="H39" t="s">
        <v>75</v>
      </c>
      <c r="I39">
        <v>3</v>
      </c>
      <c r="J39">
        <v>12561.54</v>
      </c>
      <c r="K39">
        <v>0.03</v>
      </c>
      <c r="L39">
        <v>36554.080000000002</v>
      </c>
      <c r="M39" t="s">
        <v>48</v>
      </c>
      <c r="N39" t="s">
        <v>34</v>
      </c>
      <c r="O39" t="s">
        <v>35</v>
      </c>
      <c r="P39" t="s">
        <v>116</v>
      </c>
    </row>
    <row r="40" spans="1:16" x14ac:dyDescent="0.3">
      <c r="A40" t="s">
        <v>158</v>
      </c>
      <c r="B40" s="1">
        <v>45556</v>
      </c>
      <c r="C40" t="s">
        <v>159</v>
      </c>
      <c r="D40" t="s">
        <v>121</v>
      </c>
      <c r="E40" t="s">
        <v>122</v>
      </c>
      <c r="F40" t="s">
        <v>55</v>
      </c>
      <c r="G40" t="s">
        <v>81</v>
      </c>
      <c r="H40" t="s">
        <v>135</v>
      </c>
      <c r="I40">
        <v>2</v>
      </c>
      <c r="J40">
        <v>460.94</v>
      </c>
      <c r="K40">
        <v>0.2</v>
      </c>
      <c r="L40">
        <v>737.5</v>
      </c>
      <c r="M40" t="s">
        <v>48</v>
      </c>
      <c r="N40" t="s">
        <v>58</v>
      </c>
      <c r="O40" t="s">
        <v>65</v>
      </c>
      <c r="P40" t="s">
        <v>116</v>
      </c>
    </row>
    <row r="41" spans="1:16" x14ac:dyDescent="0.3">
      <c r="A41" t="s">
        <v>160</v>
      </c>
      <c r="B41" s="1">
        <v>45518</v>
      </c>
      <c r="C41" t="s">
        <v>161</v>
      </c>
      <c r="D41" t="s">
        <v>131</v>
      </c>
      <c r="E41" t="s">
        <v>132</v>
      </c>
      <c r="F41" t="s">
        <v>40</v>
      </c>
      <c r="G41" t="s">
        <v>81</v>
      </c>
      <c r="H41" t="s">
        <v>98</v>
      </c>
      <c r="I41">
        <v>5</v>
      </c>
      <c r="J41">
        <v>9981.18</v>
      </c>
      <c r="K41">
        <v>0.15</v>
      </c>
      <c r="L41">
        <v>42420.01</v>
      </c>
      <c r="M41" t="s">
        <v>48</v>
      </c>
      <c r="N41" t="s">
        <v>71</v>
      </c>
      <c r="O41" t="s">
        <v>65</v>
      </c>
      <c r="P41" t="s">
        <v>116</v>
      </c>
    </row>
    <row r="42" spans="1:16" x14ac:dyDescent="0.3">
      <c r="A42" t="s">
        <v>162</v>
      </c>
      <c r="B42" s="1">
        <v>45618</v>
      </c>
      <c r="C42" t="s">
        <v>134</v>
      </c>
      <c r="D42" t="s">
        <v>45</v>
      </c>
      <c r="E42" t="s">
        <v>46</v>
      </c>
      <c r="F42" t="s">
        <v>31</v>
      </c>
      <c r="G42" t="s">
        <v>81</v>
      </c>
      <c r="H42" t="s">
        <v>135</v>
      </c>
      <c r="I42">
        <v>5</v>
      </c>
      <c r="J42">
        <v>1697.44</v>
      </c>
      <c r="K42">
        <v>0.05</v>
      </c>
      <c r="L42">
        <v>8062.84</v>
      </c>
      <c r="M42" t="s">
        <v>48</v>
      </c>
      <c r="N42" t="s">
        <v>24</v>
      </c>
      <c r="O42" t="s">
        <v>65</v>
      </c>
      <c r="P42" t="s">
        <v>50</v>
      </c>
    </row>
    <row r="43" spans="1:16" x14ac:dyDescent="0.3">
      <c r="A43" t="s">
        <v>163</v>
      </c>
      <c r="B43" s="1">
        <v>45551</v>
      </c>
      <c r="C43" t="s">
        <v>164</v>
      </c>
      <c r="D43" t="s">
        <v>85</v>
      </c>
      <c r="E43" t="s">
        <v>86</v>
      </c>
      <c r="F43" t="s">
        <v>20</v>
      </c>
      <c r="G43" t="s">
        <v>81</v>
      </c>
      <c r="H43" t="s">
        <v>98</v>
      </c>
      <c r="I43">
        <v>3</v>
      </c>
      <c r="J43">
        <v>1662.09</v>
      </c>
      <c r="K43">
        <v>0</v>
      </c>
      <c r="L43">
        <v>4986.2700000000004</v>
      </c>
      <c r="M43" t="s">
        <v>23</v>
      </c>
      <c r="N43" t="s">
        <v>71</v>
      </c>
      <c r="O43" t="s">
        <v>35</v>
      </c>
      <c r="P43" t="s">
        <v>72</v>
      </c>
    </row>
    <row r="44" spans="1:16" x14ac:dyDescent="0.3">
      <c r="A44" t="s">
        <v>165</v>
      </c>
      <c r="B44" s="1">
        <v>45683</v>
      </c>
      <c r="C44" t="s">
        <v>166</v>
      </c>
      <c r="D44" t="s">
        <v>85</v>
      </c>
      <c r="E44" t="s">
        <v>86</v>
      </c>
      <c r="F44" t="s">
        <v>20</v>
      </c>
      <c r="G44" t="s">
        <v>21</v>
      </c>
      <c r="H44" t="s">
        <v>41</v>
      </c>
      <c r="I44">
        <v>4</v>
      </c>
      <c r="J44">
        <v>1747.58</v>
      </c>
      <c r="K44">
        <v>0.15</v>
      </c>
      <c r="L44">
        <v>5941.77</v>
      </c>
      <c r="M44" t="s">
        <v>76</v>
      </c>
      <c r="N44" t="s">
        <v>49</v>
      </c>
      <c r="O44" t="s">
        <v>25</v>
      </c>
      <c r="P44" t="s">
        <v>111</v>
      </c>
    </row>
    <row r="45" spans="1:16" x14ac:dyDescent="0.3">
      <c r="A45" t="s">
        <v>167</v>
      </c>
      <c r="B45" s="1">
        <v>46068</v>
      </c>
      <c r="C45" t="s">
        <v>37</v>
      </c>
      <c r="D45" t="s">
        <v>85</v>
      </c>
      <c r="E45" t="s">
        <v>86</v>
      </c>
      <c r="F45" t="s">
        <v>20</v>
      </c>
      <c r="G45" t="s">
        <v>81</v>
      </c>
      <c r="H45" t="s">
        <v>98</v>
      </c>
      <c r="I45">
        <v>3</v>
      </c>
      <c r="J45">
        <v>1724.18</v>
      </c>
      <c r="K45">
        <v>0.03</v>
      </c>
      <c r="L45">
        <v>5017.3599999999997</v>
      </c>
      <c r="M45" t="s">
        <v>76</v>
      </c>
      <c r="N45" t="s">
        <v>24</v>
      </c>
      <c r="O45" t="s">
        <v>25</v>
      </c>
      <c r="P45" t="s">
        <v>59</v>
      </c>
    </row>
    <row r="46" spans="1:16" x14ac:dyDescent="0.3">
      <c r="A46" t="s">
        <v>168</v>
      </c>
      <c r="B46" s="1">
        <v>45549</v>
      </c>
      <c r="C46" t="s">
        <v>169</v>
      </c>
      <c r="D46" t="s">
        <v>170</v>
      </c>
      <c r="E46" t="s">
        <v>171</v>
      </c>
      <c r="F46" t="s">
        <v>31</v>
      </c>
      <c r="G46" t="s">
        <v>81</v>
      </c>
      <c r="H46" t="s">
        <v>98</v>
      </c>
      <c r="I46">
        <v>2</v>
      </c>
      <c r="J46">
        <v>60857.39</v>
      </c>
      <c r="K46">
        <v>0.2</v>
      </c>
      <c r="L46">
        <v>97371.82</v>
      </c>
      <c r="M46" t="s">
        <v>48</v>
      </c>
      <c r="N46" t="s">
        <v>71</v>
      </c>
      <c r="O46" t="s">
        <v>65</v>
      </c>
      <c r="P46" t="s">
        <v>59</v>
      </c>
    </row>
    <row r="47" spans="1:16" x14ac:dyDescent="0.3">
      <c r="A47" t="s">
        <v>172</v>
      </c>
      <c r="B47" s="1">
        <v>46135</v>
      </c>
      <c r="C47" t="s">
        <v>173</v>
      </c>
      <c r="D47" t="s">
        <v>29</v>
      </c>
      <c r="E47" t="s">
        <v>30</v>
      </c>
      <c r="F47" t="s">
        <v>31</v>
      </c>
      <c r="G47" t="s">
        <v>81</v>
      </c>
      <c r="H47" t="s">
        <v>135</v>
      </c>
      <c r="I47">
        <v>5</v>
      </c>
      <c r="J47">
        <v>3406.16</v>
      </c>
      <c r="K47">
        <v>0.15</v>
      </c>
      <c r="L47">
        <v>14476.18</v>
      </c>
      <c r="M47" t="s">
        <v>23</v>
      </c>
      <c r="N47" t="s">
        <v>34</v>
      </c>
      <c r="O47" t="s">
        <v>65</v>
      </c>
      <c r="P47" t="s">
        <v>111</v>
      </c>
    </row>
    <row r="48" spans="1:16" x14ac:dyDescent="0.3">
      <c r="A48" t="s">
        <v>174</v>
      </c>
      <c r="B48" s="1">
        <v>45864</v>
      </c>
      <c r="C48" t="s">
        <v>175</v>
      </c>
      <c r="D48" t="s">
        <v>176</v>
      </c>
      <c r="E48" t="s">
        <v>177</v>
      </c>
      <c r="F48" t="s">
        <v>31</v>
      </c>
      <c r="G48" t="s">
        <v>21</v>
      </c>
      <c r="H48" t="s">
        <v>93</v>
      </c>
      <c r="I48">
        <v>4</v>
      </c>
      <c r="J48">
        <v>2212.6999999999998</v>
      </c>
      <c r="K48">
        <v>0.15</v>
      </c>
      <c r="L48">
        <v>7523.18</v>
      </c>
      <c r="M48" t="s">
        <v>76</v>
      </c>
      <c r="N48" t="s">
        <v>34</v>
      </c>
      <c r="O48" t="s">
        <v>25</v>
      </c>
      <c r="P48" t="s">
        <v>111</v>
      </c>
    </row>
    <row r="49" spans="1:16" x14ac:dyDescent="0.3">
      <c r="A49" t="s">
        <v>178</v>
      </c>
      <c r="B49" s="1">
        <v>45714</v>
      </c>
      <c r="C49" t="s">
        <v>179</v>
      </c>
      <c r="D49" t="s">
        <v>18</v>
      </c>
      <c r="E49" t="s">
        <v>19</v>
      </c>
      <c r="F49" t="s">
        <v>20</v>
      </c>
      <c r="G49" t="s">
        <v>56</v>
      </c>
      <c r="H49" t="s">
        <v>64</v>
      </c>
      <c r="I49">
        <v>4</v>
      </c>
      <c r="J49">
        <v>818.24</v>
      </c>
      <c r="K49">
        <v>0.1</v>
      </c>
      <c r="L49">
        <v>2945.66</v>
      </c>
      <c r="M49" t="s">
        <v>76</v>
      </c>
      <c r="N49" t="s">
        <v>24</v>
      </c>
      <c r="O49" t="s">
        <v>65</v>
      </c>
      <c r="P49" t="s">
        <v>59</v>
      </c>
    </row>
    <row r="50" spans="1:16" x14ac:dyDescent="0.3">
      <c r="A50" t="s">
        <v>180</v>
      </c>
      <c r="B50" s="1">
        <v>45843</v>
      </c>
      <c r="C50" t="s">
        <v>181</v>
      </c>
      <c r="D50" t="s">
        <v>79</v>
      </c>
      <c r="E50" t="s">
        <v>80</v>
      </c>
      <c r="F50" t="s">
        <v>31</v>
      </c>
      <c r="G50" t="s">
        <v>56</v>
      </c>
      <c r="H50" t="s">
        <v>123</v>
      </c>
      <c r="I50">
        <v>2</v>
      </c>
      <c r="J50">
        <v>12154.99</v>
      </c>
      <c r="K50">
        <v>0.08</v>
      </c>
      <c r="L50">
        <v>22365.18</v>
      </c>
      <c r="M50" t="s">
        <v>76</v>
      </c>
      <c r="N50" t="s">
        <v>71</v>
      </c>
      <c r="O50" t="s">
        <v>35</v>
      </c>
      <c r="P50" t="s">
        <v>50</v>
      </c>
    </row>
    <row r="51" spans="1:16" x14ac:dyDescent="0.3">
      <c r="A51" t="s">
        <v>182</v>
      </c>
      <c r="B51" s="1">
        <v>45562</v>
      </c>
      <c r="C51" t="s">
        <v>141</v>
      </c>
      <c r="D51" t="s">
        <v>18</v>
      </c>
      <c r="E51" t="s">
        <v>19</v>
      </c>
      <c r="F51" t="s">
        <v>20</v>
      </c>
      <c r="G51" t="s">
        <v>32</v>
      </c>
      <c r="H51" t="s">
        <v>33</v>
      </c>
      <c r="I51">
        <v>4</v>
      </c>
      <c r="J51">
        <v>847.4</v>
      </c>
      <c r="K51">
        <v>0.2</v>
      </c>
      <c r="L51">
        <v>2711.68</v>
      </c>
      <c r="M51" t="s">
        <v>76</v>
      </c>
      <c r="N51" t="s">
        <v>24</v>
      </c>
      <c r="O51" t="s">
        <v>25</v>
      </c>
      <c r="P51" t="s">
        <v>111</v>
      </c>
    </row>
    <row r="52" spans="1:16" x14ac:dyDescent="0.3">
      <c r="A52" t="s">
        <v>183</v>
      </c>
      <c r="B52" s="1">
        <v>45738</v>
      </c>
      <c r="C52" t="s">
        <v>184</v>
      </c>
      <c r="D52" t="s">
        <v>176</v>
      </c>
      <c r="E52" t="s">
        <v>177</v>
      </c>
      <c r="F52" t="s">
        <v>31</v>
      </c>
      <c r="G52" t="s">
        <v>81</v>
      </c>
      <c r="H52" t="s">
        <v>98</v>
      </c>
      <c r="I52">
        <v>5</v>
      </c>
      <c r="J52">
        <v>2246.79</v>
      </c>
      <c r="K52">
        <v>0.08</v>
      </c>
      <c r="L52">
        <v>10335.23</v>
      </c>
      <c r="M52" t="s">
        <v>23</v>
      </c>
      <c r="N52" t="s">
        <v>71</v>
      </c>
      <c r="O52" t="s">
        <v>35</v>
      </c>
      <c r="P52" t="s">
        <v>72</v>
      </c>
    </row>
    <row r="53" spans="1:16" x14ac:dyDescent="0.3">
      <c r="A53" t="s">
        <v>185</v>
      </c>
      <c r="B53" s="1">
        <v>45476</v>
      </c>
      <c r="C53" t="s">
        <v>186</v>
      </c>
      <c r="D53" t="s">
        <v>85</v>
      </c>
      <c r="E53" t="s">
        <v>86</v>
      </c>
      <c r="F53" t="s">
        <v>20</v>
      </c>
      <c r="G53" t="s">
        <v>21</v>
      </c>
      <c r="H53" t="s">
        <v>126</v>
      </c>
      <c r="I53">
        <v>3</v>
      </c>
      <c r="J53">
        <v>1694.05</v>
      </c>
      <c r="K53">
        <v>0.2</v>
      </c>
      <c r="L53">
        <v>4065.72</v>
      </c>
      <c r="M53" t="s">
        <v>76</v>
      </c>
      <c r="N53" t="s">
        <v>71</v>
      </c>
      <c r="O53" t="s">
        <v>65</v>
      </c>
      <c r="P53" t="s">
        <v>26</v>
      </c>
    </row>
    <row r="54" spans="1:16" x14ac:dyDescent="0.3">
      <c r="A54" t="s">
        <v>187</v>
      </c>
      <c r="B54" s="1">
        <v>45821</v>
      </c>
      <c r="C54" t="s">
        <v>188</v>
      </c>
      <c r="D54" t="s">
        <v>96</v>
      </c>
      <c r="E54" t="s">
        <v>97</v>
      </c>
      <c r="F54" t="s">
        <v>31</v>
      </c>
      <c r="G54" t="s">
        <v>21</v>
      </c>
      <c r="H54" t="s">
        <v>22</v>
      </c>
      <c r="I54">
        <v>5</v>
      </c>
      <c r="J54">
        <v>1288.1099999999999</v>
      </c>
      <c r="K54">
        <v>0.15</v>
      </c>
      <c r="L54">
        <v>5474.47</v>
      </c>
      <c r="M54" t="s">
        <v>48</v>
      </c>
      <c r="N54" t="s">
        <v>24</v>
      </c>
      <c r="O54" t="s">
        <v>65</v>
      </c>
      <c r="P54" t="s">
        <v>59</v>
      </c>
    </row>
    <row r="55" spans="1:16" x14ac:dyDescent="0.3">
      <c r="A55" t="s">
        <v>189</v>
      </c>
      <c r="B55" s="1">
        <v>46005</v>
      </c>
      <c r="C55" t="s">
        <v>190</v>
      </c>
      <c r="D55" t="s">
        <v>89</v>
      </c>
      <c r="E55" t="s">
        <v>90</v>
      </c>
      <c r="F55" t="s">
        <v>20</v>
      </c>
      <c r="G55" t="s">
        <v>32</v>
      </c>
      <c r="I55">
        <v>5</v>
      </c>
      <c r="J55">
        <v>672.38</v>
      </c>
      <c r="K55">
        <v>0.2</v>
      </c>
      <c r="L55">
        <v>2689.52</v>
      </c>
      <c r="M55" t="s">
        <v>23</v>
      </c>
      <c r="N55" t="s">
        <v>71</v>
      </c>
      <c r="O55" t="s">
        <v>65</v>
      </c>
      <c r="P55" t="s">
        <v>116</v>
      </c>
    </row>
    <row r="56" spans="1:16" x14ac:dyDescent="0.3">
      <c r="A56" t="s">
        <v>191</v>
      </c>
      <c r="B56" s="1">
        <v>45444</v>
      </c>
      <c r="C56" t="s">
        <v>192</v>
      </c>
      <c r="D56" t="s">
        <v>45</v>
      </c>
      <c r="E56" t="s">
        <v>46</v>
      </c>
      <c r="F56" t="s">
        <v>31</v>
      </c>
      <c r="G56" t="s">
        <v>81</v>
      </c>
      <c r="H56" t="s">
        <v>82</v>
      </c>
      <c r="I56">
        <v>3</v>
      </c>
      <c r="J56">
        <v>1790.2</v>
      </c>
      <c r="L56">
        <v>5370.6</v>
      </c>
      <c r="M56" t="s">
        <v>76</v>
      </c>
      <c r="N56" t="s">
        <v>49</v>
      </c>
      <c r="O56" t="s">
        <v>35</v>
      </c>
      <c r="P56" t="s">
        <v>102</v>
      </c>
    </row>
    <row r="57" spans="1:16" x14ac:dyDescent="0.3">
      <c r="A57" t="s">
        <v>193</v>
      </c>
      <c r="B57" s="1">
        <v>46020</v>
      </c>
      <c r="C57" t="s">
        <v>194</v>
      </c>
      <c r="D57" t="s">
        <v>53</v>
      </c>
      <c r="E57" t="s">
        <v>54</v>
      </c>
      <c r="F57" t="s">
        <v>55</v>
      </c>
      <c r="G57" t="s">
        <v>56</v>
      </c>
      <c r="H57" t="s">
        <v>64</v>
      </c>
      <c r="I57">
        <v>2</v>
      </c>
      <c r="J57">
        <v>235.18</v>
      </c>
      <c r="K57">
        <v>0.1</v>
      </c>
      <c r="L57">
        <v>423.32</v>
      </c>
      <c r="M57" t="s">
        <v>48</v>
      </c>
      <c r="N57" t="s">
        <v>71</v>
      </c>
      <c r="O57" t="s">
        <v>35</v>
      </c>
      <c r="P57" t="s">
        <v>72</v>
      </c>
    </row>
    <row r="58" spans="1:16" x14ac:dyDescent="0.3">
      <c r="A58" t="s">
        <v>195</v>
      </c>
      <c r="B58" s="1">
        <v>45737</v>
      </c>
      <c r="C58" t="s">
        <v>196</v>
      </c>
      <c r="D58" t="s">
        <v>176</v>
      </c>
      <c r="E58" t="s">
        <v>177</v>
      </c>
      <c r="F58" t="s">
        <v>31</v>
      </c>
      <c r="G58" t="s">
        <v>21</v>
      </c>
      <c r="H58" t="s">
        <v>126</v>
      </c>
      <c r="I58">
        <v>3</v>
      </c>
      <c r="J58">
        <v>2260.27</v>
      </c>
      <c r="K58">
        <v>0.2</v>
      </c>
      <c r="L58">
        <v>5424.65</v>
      </c>
      <c r="M58" t="s">
        <v>76</v>
      </c>
      <c r="N58" t="s">
        <v>49</v>
      </c>
      <c r="O58" t="s">
        <v>25</v>
      </c>
      <c r="P58" t="s">
        <v>111</v>
      </c>
    </row>
    <row r="59" spans="1:16" x14ac:dyDescent="0.3">
      <c r="A59" t="s">
        <v>197</v>
      </c>
      <c r="B59" s="1">
        <v>45987</v>
      </c>
      <c r="D59" t="s">
        <v>176</v>
      </c>
      <c r="E59" t="s">
        <v>177</v>
      </c>
      <c r="F59" t="s">
        <v>31</v>
      </c>
      <c r="G59" t="s">
        <v>56</v>
      </c>
      <c r="H59" t="s">
        <v>64</v>
      </c>
      <c r="I59">
        <v>4</v>
      </c>
      <c r="J59">
        <v>2134.6799999999998</v>
      </c>
      <c r="K59">
        <v>0.05</v>
      </c>
      <c r="L59">
        <v>8111.78</v>
      </c>
      <c r="M59" t="s">
        <v>48</v>
      </c>
      <c r="O59" t="s">
        <v>65</v>
      </c>
      <c r="P59" t="s">
        <v>102</v>
      </c>
    </row>
    <row r="60" spans="1:16" x14ac:dyDescent="0.3">
      <c r="A60" t="s">
        <v>198</v>
      </c>
      <c r="B60" s="1">
        <v>45798</v>
      </c>
      <c r="C60" t="s">
        <v>130</v>
      </c>
      <c r="D60" t="s">
        <v>121</v>
      </c>
      <c r="E60" t="s">
        <v>122</v>
      </c>
      <c r="F60" t="s">
        <v>55</v>
      </c>
      <c r="G60" t="s">
        <v>21</v>
      </c>
      <c r="H60" t="s">
        <v>41</v>
      </c>
      <c r="I60">
        <v>2</v>
      </c>
      <c r="J60">
        <v>453.82</v>
      </c>
      <c r="K60">
        <v>0</v>
      </c>
      <c r="L60">
        <v>907.64</v>
      </c>
      <c r="M60" t="s">
        <v>48</v>
      </c>
      <c r="N60" t="s">
        <v>58</v>
      </c>
      <c r="O60" t="s">
        <v>35</v>
      </c>
      <c r="P60" t="s">
        <v>116</v>
      </c>
    </row>
    <row r="61" spans="1:16" x14ac:dyDescent="0.3">
      <c r="A61" t="s">
        <v>199</v>
      </c>
      <c r="B61" s="1">
        <v>45729</v>
      </c>
      <c r="C61" t="s">
        <v>200</v>
      </c>
      <c r="D61" t="s">
        <v>45</v>
      </c>
      <c r="E61" t="s">
        <v>46</v>
      </c>
      <c r="F61" t="s">
        <v>31</v>
      </c>
      <c r="G61" t="s">
        <v>56</v>
      </c>
      <c r="H61" t="s">
        <v>57</v>
      </c>
      <c r="I61">
        <v>-2</v>
      </c>
      <c r="J61">
        <v>1862.71</v>
      </c>
      <c r="K61">
        <v>0.2</v>
      </c>
      <c r="L61">
        <v>5960.67</v>
      </c>
      <c r="M61" t="s">
        <v>76</v>
      </c>
      <c r="N61" t="s">
        <v>71</v>
      </c>
      <c r="O61" t="s">
        <v>65</v>
      </c>
      <c r="P61" t="s">
        <v>111</v>
      </c>
    </row>
    <row r="62" spans="1:16" x14ac:dyDescent="0.3">
      <c r="A62" t="s">
        <v>201</v>
      </c>
      <c r="B62" s="1">
        <v>46092</v>
      </c>
      <c r="C62" t="s">
        <v>202</v>
      </c>
      <c r="D62" t="s">
        <v>176</v>
      </c>
      <c r="E62" t="s">
        <v>177</v>
      </c>
      <c r="F62" t="s">
        <v>31</v>
      </c>
      <c r="G62" t="s">
        <v>81</v>
      </c>
      <c r="H62" t="s">
        <v>82</v>
      </c>
      <c r="I62">
        <v>1</v>
      </c>
      <c r="J62">
        <v>2265.5100000000002</v>
      </c>
      <c r="K62">
        <v>0.08</v>
      </c>
      <c r="L62">
        <v>2084.27</v>
      </c>
      <c r="M62" t="s">
        <v>23</v>
      </c>
      <c r="N62" t="s">
        <v>71</v>
      </c>
      <c r="O62" t="s">
        <v>65</v>
      </c>
      <c r="P62" t="s">
        <v>26</v>
      </c>
    </row>
    <row r="63" spans="1:16" x14ac:dyDescent="0.3">
      <c r="A63" t="s">
        <v>203</v>
      </c>
      <c r="B63" s="1">
        <v>46044</v>
      </c>
      <c r="C63" t="s">
        <v>204</v>
      </c>
      <c r="D63" t="s">
        <v>121</v>
      </c>
      <c r="E63" t="s">
        <v>122</v>
      </c>
      <c r="F63" t="s">
        <v>55</v>
      </c>
      <c r="G63" t="s">
        <v>56</v>
      </c>
      <c r="H63" t="s">
        <v>123</v>
      </c>
      <c r="I63">
        <v>5</v>
      </c>
      <c r="J63">
        <v>445.85</v>
      </c>
      <c r="K63">
        <v>0.08</v>
      </c>
      <c r="L63">
        <v>2050.91</v>
      </c>
      <c r="M63" t="s">
        <v>76</v>
      </c>
      <c r="N63" t="s">
        <v>34</v>
      </c>
      <c r="O63" t="s">
        <v>35</v>
      </c>
      <c r="P63" t="s">
        <v>111</v>
      </c>
    </row>
    <row r="64" spans="1:16" x14ac:dyDescent="0.3">
      <c r="A64" t="s">
        <v>205</v>
      </c>
      <c r="B64" s="1">
        <v>45788</v>
      </c>
      <c r="C64" t="s">
        <v>206</v>
      </c>
      <c r="D64" t="s">
        <v>96</v>
      </c>
      <c r="E64" t="s">
        <v>97</v>
      </c>
      <c r="F64" t="s">
        <v>31</v>
      </c>
      <c r="G64" t="s">
        <v>56</v>
      </c>
      <c r="H64" t="s">
        <v>57</v>
      </c>
      <c r="I64">
        <v>5</v>
      </c>
      <c r="J64">
        <v>1158.51</v>
      </c>
      <c r="K64">
        <v>0</v>
      </c>
      <c r="L64">
        <v>5792.55</v>
      </c>
      <c r="M64" t="s">
        <v>48</v>
      </c>
      <c r="N64" t="s">
        <v>71</v>
      </c>
      <c r="O64" t="s">
        <v>65</v>
      </c>
      <c r="P64" t="s">
        <v>26</v>
      </c>
    </row>
    <row r="65" spans="1:16" x14ac:dyDescent="0.3">
      <c r="A65" t="s">
        <v>207</v>
      </c>
      <c r="B65" s="1">
        <v>46203</v>
      </c>
      <c r="C65" t="s">
        <v>208</v>
      </c>
      <c r="D65" t="s">
        <v>170</v>
      </c>
      <c r="E65" t="s">
        <v>171</v>
      </c>
      <c r="F65" t="s">
        <v>31</v>
      </c>
      <c r="G65" t="s">
        <v>21</v>
      </c>
      <c r="H65" t="s">
        <v>41</v>
      </c>
      <c r="I65">
        <v>1</v>
      </c>
      <c r="J65">
        <v>60740.58</v>
      </c>
      <c r="K65">
        <v>0.1</v>
      </c>
      <c r="L65">
        <v>54666.52</v>
      </c>
      <c r="M65" t="s">
        <v>48</v>
      </c>
      <c r="N65" t="s">
        <v>71</v>
      </c>
      <c r="O65" t="s">
        <v>65</v>
      </c>
      <c r="P65" t="s">
        <v>50</v>
      </c>
    </row>
    <row r="66" spans="1:16" x14ac:dyDescent="0.3">
      <c r="A66" t="s">
        <v>209</v>
      </c>
      <c r="B66" s="1">
        <v>45705</v>
      </c>
      <c r="C66" t="s">
        <v>210</v>
      </c>
      <c r="D66" t="s">
        <v>45</v>
      </c>
      <c r="E66" t="s">
        <v>46</v>
      </c>
      <c r="F66" t="s">
        <v>31</v>
      </c>
      <c r="G66" t="s">
        <v>32</v>
      </c>
      <c r="H66" t="s">
        <v>33</v>
      </c>
      <c r="I66">
        <v>4</v>
      </c>
      <c r="J66">
        <v>1918.26</v>
      </c>
      <c r="K66">
        <v>0.15</v>
      </c>
      <c r="L66">
        <v>6522.08</v>
      </c>
      <c r="M66" t="s">
        <v>76</v>
      </c>
      <c r="N66" t="s">
        <v>34</v>
      </c>
      <c r="O66" t="s">
        <v>65</v>
      </c>
      <c r="P66" t="s">
        <v>72</v>
      </c>
    </row>
    <row r="67" spans="1:16" x14ac:dyDescent="0.3">
      <c r="A67" t="s">
        <v>211</v>
      </c>
      <c r="B67" s="1">
        <v>45296</v>
      </c>
      <c r="C67" t="s">
        <v>212</v>
      </c>
      <c r="D67" t="s">
        <v>45</v>
      </c>
      <c r="E67" t="s">
        <v>46</v>
      </c>
      <c r="F67" t="s">
        <v>31</v>
      </c>
      <c r="G67" t="s">
        <v>81</v>
      </c>
      <c r="H67" t="s">
        <v>98</v>
      </c>
      <c r="I67">
        <v>5</v>
      </c>
      <c r="J67">
        <v>1886.83</v>
      </c>
      <c r="K67">
        <v>0.1</v>
      </c>
      <c r="L67">
        <v>8490.74</v>
      </c>
      <c r="M67" t="s">
        <v>23</v>
      </c>
      <c r="N67" t="s">
        <v>34</v>
      </c>
      <c r="O67" t="s">
        <v>65</v>
      </c>
      <c r="P67" t="s">
        <v>72</v>
      </c>
    </row>
    <row r="68" spans="1:16" x14ac:dyDescent="0.3">
      <c r="A68" t="s">
        <v>213</v>
      </c>
      <c r="B68" s="1">
        <v>45902</v>
      </c>
      <c r="C68" t="s">
        <v>141</v>
      </c>
      <c r="D68" t="s">
        <v>38</v>
      </c>
      <c r="E68" t="s">
        <v>39</v>
      </c>
      <c r="F68" t="s">
        <v>40</v>
      </c>
      <c r="G68" t="s">
        <v>32</v>
      </c>
      <c r="H68" t="s">
        <v>47</v>
      </c>
      <c r="I68">
        <v>5</v>
      </c>
      <c r="J68">
        <v>1650.72</v>
      </c>
      <c r="K68">
        <v>0</v>
      </c>
      <c r="L68">
        <v>8253.6</v>
      </c>
      <c r="M68" t="s">
        <v>48</v>
      </c>
      <c r="N68" t="s">
        <v>24</v>
      </c>
      <c r="O68" t="s">
        <v>65</v>
      </c>
      <c r="P68" t="s">
        <v>59</v>
      </c>
    </row>
    <row r="69" spans="1:16" x14ac:dyDescent="0.3">
      <c r="A69" t="s">
        <v>214</v>
      </c>
      <c r="B69" s="1">
        <v>45476</v>
      </c>
      <c r="C69" t="s">
        <v>110</v>
      </c>
      <c r="D69" t="s">
        <v>96</v>
      </c>
      <c r="E69" t="s">
        <v>97</v>
      </c>
      <c r="F69" t="s">
        <v>31</v>
      </c>
      <c r="G69" t="s">
        <v>81</v>
      </c>
      <c r="H69" t="s">
        <v>82</v>
      </c>
      <c r="I69">
        <v>4</v>
      </c>
      <c r="J69">
        <v>1247.08</v>
      </c>
      <c r="K69">
        <v>0.08</v>
      </c>
      <c r="L69">
        <v>4589.25</v>
      </c>
      <c r="M69" t="s">
        <v>23</v>
      </c>
      <c r="N69" t="s">
        <v>34</v>
      </c>
      <c r="O69" t="s">
        <v>65</v>
      </c>
      <c r="P69" t="s">
        <v>50</v>
      </c>
    </row>
    <row r="70" spans="1:16" x14ac:dyDescent="0.3">
      <c r="A70" t="s">
        <v>215</v>
      </c>
      <c r="B70" s="1">
        <v>46033</v>
      </c>
      <c r="C70" t="s">
        <v>216</v>
      </c>
      <c r="D70" t="s">
        <v>18</v>
      </c>
      <c r="E70" t="s">
        <v>19</v>
      </c>
      <c r="F70" t="s">
        <v>20</v>
      </c>
      <c r="G70" t="s">
        <v>81</v>
      </c>
      <c r="I70">
        <v>1</v>
      </c>
      <c r="J70">
        <v>878.55</v>
      </c>
      <c r="K70">
        <v>0</v>
      </c>
      <c r="L70">
        <v>878.55</v>
      </c>
      <c r="M70" t="s">
        <v>48</v>
      </c>
      <c r="N70" t="s">
        <v>49</v>
      </c>
      <c r="O70" t="s">
        <v>65</v>
      </c>
      <c r="P70" t="s">
        <v>116</v>
      </c>
    </row>
    <row r="71" spans="1:16" x14ac:dyDescent="0.3">
      <c r="A71" t="s">
        <v>217</v>
      </c>
      <c r="B71" s="1">
        <v>45341</v>
      </c>
      <c r="C71" t="s">
        <v>218</v>
      </c>
      <c r="D71" t="s">
        <v>96</v>
      </c>
      <c r="E71" t="s">
        <v>97</v>
      </c>
      <c r="F71" t="s">
        <v>31</v>
      </c>
      <c r="G71" t="s">
        <v>21</v>
      </c>
      <c r="H71" t="s">
        <v>126</v>
      </c>
      <c r="I71">
        <v>1</v>
      </c>
      <c r="J71">
        <v>1273.76</v>
      </c>
      <c r="K71">
        <v>0</v>
      </c>
      <c r="L71">
        <v>1273.76</v>
      </c>
      <c r="M71" t="s">
        <v>76</v>
      </c>
      <c r="N71" t="s">
        <v>71</v>
      </c>
      <c r="O71" t="s">
        <v>65</v>
      </c>
      <c r="P71" t="s">
        <v>72</v>
      </c>
    </row>
    <row r="72" spans="1:16" x14ac:dyDescent="0.3">
      <c r="A72" t="s">
        <v>219</v>
      </c>
      <c r="B72" s="1">
        <v>45994</v>
      </c>
      <c r="C72" t="s">
        <v>218</v>
      </c>
      <c r="D72" t="s">
        <v>45</v>
      </c>
      <c r="E72" t="s">
        <v>46</v>
      </c>
      <c r="F72" t="s">
        <v>31</v>
      </c>
      <c r="G72" t="s">
        <v>56</v>
      </c>
      <c r="H72" t="s">
        <v>123</v>
      </c>
      <c r="I72">
        <v>5</v>
      </c>
      <c r="J72">
        <v>1881.82</v>
      </c>
      <c r="K72">
        <v>0.1</v>
      </c>
      <c r="L72">
        <v>8468.19</v>
      </c>
      <c r="M72" t="s">
        <v>76</v>
      </c>
      <c r="N72" t="s">
        <v>34</v>
      </c>
      <c r="O72" t="s">
        <v>65</v>
      </c>
    </row>
    <row r="73" spans="1:16" x14ac:dyDescent="0.3">
      <c r="A73" t="s">
        <v>220</v>
      </c>
      <c r="B73" s="1">
        <v>45424</v>
      </c>
      <c r="C73" t="s">
        <v>221</v>
      </c>
      <c r="D73" t="s">
        <v>79</v>
      </c>
      <c r="E73" t="s">
        <v>80</v>
      </c>
      <c r="F73" t="s">
        <v>31</v>
      </c>
      <c r="G73" t="s">
        <v>32</v>
      </c>
      <c r="H73" t="s">
        <v>75</v>
      </c>
      <c r="I73">
        <v>3</v>
      </c>
      <c r="J73">
        <v>12656.03</v>
      </c>
      <c r="K73">
        <v>0.05</v>
      </c>
      <c r="L73">
        <v>36069.69</v>
      </c>
      <c r="M73" t="s">
        <v>23</v>
      </c>
      <c r="N73" t="s">
        <v>49</v>
      </c>
      <c r="O73" t="s">
        <v>65</v>
      </c>
      <c r="P73" t="s">
        <v>102</v>
      </c>
    </row>
    <row r="74" spans="1:16" x14ac:dyDescent="0.3">
      <c r="A74" t="s">
        <v>222</v>
      </c>
      <c r="B74" s="1">
        <v>45436</v>
      </c>
      <c r="C74" t="s">
        <v>223</v>
      </c>
      <c r="D74" t="s">
        <v>45</v>
      </c>
      <c r="E74" t="s">
        <v>46</v>
      </c>
      <c r="F74" t="s">
        <v>31</v>
      </c>
      <c r="G74" t="s">
        <v>56</v>
      </c>
      <c r="H74" t="s">
        <v>64</v>
      </c>
      <c r="I74">
        <v>3</v>
      </c>
      <c r="J74">
        <v>1792.56</v>
      </c>
      <c r="K74">
        <v>0.1</v>
      </c>
      <c r="L74">
        <v>4839.91</v>
      </c>
      <c r="M74" t="s">
        <v>23</v>
      </c>
      <c r="N74" t="s">
        <v>34</v>
      </c>
      <c r="O74" t="s">
        <v>65</v>
      </c>
      <c r="P74" t="s">
        <v>102</v>
      </c>
    </row>
    <row r="75" spans="1:16" x14ac:dyDescent="0.3">
      <c r="A75" t="s">
        <v>224</v>
      </c>
      <c r="B75" s="1">
        <v>45545</v>
      </c>
      <c r="C75" t="s">
        <v>225</v>
      </c>
      <c r="D75" t="s">
        <v>96</v>
      </c>
      <c r="E75" t="s">
        <v>97</v>
      </c>
      <c r="F75" t="s">
        <v>31</v>
      </c>
      <c r="G75" t="s">
        <v>56</v>
      </c>
      <c r="H75" t="s">
        <v>101</v>
      </c>
      <c r="I75">
        <v>4</v>
      </c>
      <c r="J75">
        <v>1221.31</v>
      </c>
      <c r="K75">
        <v>0.05</v>
      </c>
      <c r="L75">
        <v>4640.9799999999996</v>
      </c>
      <c r="M75" t="s">
        <v>48</v>
      </c>
      <c r="N75" t="s">
        <v>24</v>
      </c>
      <c r="O75" t="s">
        <v>65</v>
      </c>
      <c r="P75" t="s">
        <v>59</v>
      </c>
    </row>
    <row r="76" spans="1:16" x14ac:dyDescent="0.3">
      <c r="A76" t="s">
        <v>226</v>
      </c>
      <c r="B76" s="1">
        <v>46058</v>
      </c>
      <c r="C76" t="s">
        <v>227</v>
      </c>
      <c r="D76" t="s">
        <v>79</v>
      </c>
      <c r="E76" t="s">
        <v>80</v>
      </c>
      <c r="F76" t="s">
        <v>31</v>
      </c>
      <c r="G76" t="s">
        <v>32</v>
      </c>
      <c r="H76" t="s">
        <v>33</v>
      </c>
      <c r="I76">
        <v>3</v>
      </c>
      <c r="J76">
        <v>11572.12</v>
      </c>
      <c r="K76">
        <v>0.1</v>
      </c>
      <c r="L76">
        <v>31244.720000000001</v>
      </c>
      <c r="M76" t="s">
        <v>76</v>
      </c>
      <c r="N76" t="s">
        <v>24</v>
      </c>
      <c r="O76" t="s">
        <v>65</v>
      </c>
      <c r="P76" t="s">
        <v>50</v>
      </c>
    </row>
    <row r="77" spans="1:16" x14ac:dyDescent="0.3">
      <c r="A77" t="s">
        <v>228</v>
      </c>
      <c r="B77" s="1">
        <v>45497</v>
      </c>
      <c r="C77" t="s">
        <v>110</v>
      </c>
      <c r="D77" t="s">
        <v>96</v>
      </c>
      <c r="E77" t="s">
        <v>97</v>
      </c>
      <c r="F77" t="s">
        <v>31</v>
      </c>
      <c r="G77" t="s">
        <v>21</v>
      </c>
      <c r="H77" t="s">
        <v>126</v>
      </c>
      <c r="I77">
        <v>2</v>
      </c>
      <c r="J77">
        <v>1238.78</v>
      </c>
      <c r="K77">
        <v>0.08</v>
      </c>
      <c r="L77">
        <v>2279.36</v>
      </c>
      <c r="M77" t="s">
        <v>76</v>
      </c>
      <c r="N77" t="s">
        <v>49</v>
      </c>
      <c r="O77" t="s">
        <v>65</v>
      </c>
      <c r="P77" t="s">
        <v>42</v>
      </c>
    </row>
    <row r="78" spans="1:16" x14ac:dyDescent="0.3">
      <c r="A78" t="s">
        <v>229</v>
      </c>
      <c r="B78" s="1">
        <v>45516</v>
      </c>
      <c r="C78" t="s">
        <v>230</v>
      </c>
      <c r="D78" t="s">
        <v>18</v>
      </c>
      <c r="E78" t="s">
        <v>19</v>
      </c>
      <c r="F78" t="s">
        <v>20</v>
      </c>
      <c r="G78" t="s">
        <v>56</v>
      </c>
      <c r="H78" t="s">
        <v>101</v>
      </c>
      <c r="I78">
        <v>3</v>
      </c>
      <c r="J78">
        <v>867.14</v>
      </c>
      <c r="K78">
        <v>0.03</v>
      </c>
      <c r="L78">
        <v>2523.38</v>
      </c>
      <c r="M78" t="s">
        <v>76</v>
      </c>
      <c r="N78" t="s">
        <v>34</v>
      </c>
      <c r="O78" t="s">
        <v>65</v>
      </c>
      <c r="P78" t="s">
        <v>111</v>
      </c>
    </row>
    <row r="79" spans="1:16" x14ac:dyDescent="0.3">
      <c r="A79" t="s">
        <v>231</v>
      </c>
      <c r="B79" s="1">
        <v>45963</v>
      </c>
      <c r="C79" t="s">
        <v>232</v>
      </c>
      <c r="D79" t="s">
        <v>85</v>
      </c>
      <c r="E79" t="s">
        <v>86</v>
      </c>
      <c r="F79" t="s">
        <v>20</v>
      </c>
      <c r="G79" t="s">
        <v>32</v>
      </c>
      <c r="I79">
        <v>1</v>
      </c>
      <c r="J79">
        <v>1801.05</v>
      </c>
      <c r="K79">
        <v>0.2</v>
      </c>
      <c r="L79">
        <v>1440.84</v>
      </c>
      <c r="M79" t="s">
        <v>23</v>
      </c>
      <c r="N79" t="s">
        <v>49</v>
      </c>
      <c r="O79" t="s">
        <v>65</v>
      </c>
      <c r="P79" t="s">
        <v>42</v>
      </c>
    </row>
    <row r="80" spans="1:16" x14ac:dyDescent="0.3">
      <c r="A80" t="s">
        <v>233</v>
      </c>
      <c r="B80" s="1">
        <v>45765</v>
      </c>
      <c r="C80" t="s">
        <v>234</v>
      </c>
      <c r="D80" t="s">
        <v>38</v>
      </c>
      <c r="E80" t="s">
        <v>39</v>
      </c>
      <c r="F80" t="s">
        <v>40</v>
      </c>
      <c r="G80" t="s">
        <v>56</v>
      </c>
      <c r="H80" t="s">
        <v>57</v>
      </c>
      <c r="I80">
        <v>3</v>
      </c>
      <c r="J80">
        <v>1490.45</v>
      </c>
      <c r="K80">
        <v>0</v>
      </c>
      <c r="L80">
        <v>4471.3500000000004</v>
      </c>
      <c r="M80" t="s">
        <v>48</v>
      </c>
      <c r="N80" t="s">
        <v>34</v>
      </c>
      <c r="O80" t="s">
        <v>65</v>
      </c>
      <c r="P80" t="s">
        <v>72</v>
      </c>
    </row>
    <row r="81" spans="1:16" x14ac:dyDescent="0.3">
      <c r="A81" t="s">
        <v>235</v>
      </c>
      <c r="B81" s="1">
        <v>45547</v>
      </c>
      <c r="C81" t="s">
        <v>236</v>
      </c>
      <c r="D81" t="s">
        <v>85</v>
      </c>
      <c r="E81" t="s">
        <v>86</v>
      </c>
      <c r="F81" t="s">
        <v>20</v>
      </c>
      <c r="G81" t="s">
        <v>56</v>
      </c>
      <c r="H81" t="s">
        <v>101</v>
      </c>
      <c r="I81">
        <v>3</v>
      </c>
      <c r="J81">
        <v>1746.4</v>
      </c>
      <c r="K81">
        <v>0.03</v>
      </c>
      <c r="L81">
        <v>5082.0200000000004</v>
      </c>
      <c r="M81" t="s">
        <v>48</v>
      </c>
      <c r="N81" t="s">
        <v>71</v>
      </c>
      <c r="O81" t="s">
        <v>65</v>
      </c>
      <c r="P81" t="s">
        <v>111</v>
      </c>
    </row>
    <row r="82" spans="1:16" x14ac:dyDescent="0.3">
      <c r="A82" t="s">
        <v>237</v>
      </c>
      <c r="B82" s="1">
        <v>45936</v>
      </c>
      <c r="C82" t="s">
        <v>238</v>
      </c>
      <c r="D82" t="s">
        <v>38</v>
      </c>
      <c r="E82" t="s">
        <v>39</v>
      </c>
      <c r="F82" t="s">
        <v>40</v>
      </c>
      <c r="G82" t="s">
        <v>56</v>
      </c>
      <c r="H82" t="s">
        <v>101</v>
      </c>
      <c r="I82">
        <v>2</v>
      </c>
      <c r="J82">
        <v>1625.82</v>
      </c>
      <c r="K82">
        <v>0.1</v>
      </c>
      <c r="L82">
        <v>2926.48</v>
      </c>
      <c r="M82" t="s">
        <v>23</v>
      </c>
      <c r="N82" t="s">
        <v>24</v>
      </c>
      <c r="O82" t="s">
        <v>65</v>
      </c>
      <c r="P82" t="s">
        <v>116</v>
      </c>
    </row>
    <row r="83" spans="1:16" x14ac:dyDescent="0.3">
      <c r="A83" t="s">
        <v>239</v>
      </c>
      <c r="B83" s="1">
        <v>46166</v>
      </c>
      <c r="D83" t="s">
        <v>96</v>
      </c>
      <c r="E83" t="s">
        <v>97</v>
      </c>
      <c r="F83" t="s">
        <v>31</v>
      </c>
      <c r="G83" t="s">
        <v>32</v>
      </c>
      <c r="H83" t="s">
        <v>75</v>
      </c>
      <c r="I83">
        <v>3</v>
      </c>
      <c r="J83">
        <v>1163.7</v>
      </c>
      <c r="K83">
        <v>0.15</v>
      </c>
      <c r="L83">
        <v>2967.44</v>
      </c>
      <c r="M83" t="s">
        <v>23</v>
      </c>
      <c r="N83" t="s">
        <v>49</v>
      </c>
      <c r="O83" t="s">
        <v>35</v>
      </c>
      <c r="P83" t="s">
        <v>59</v>
      </c>
    </row>
    <row r="84" spans="1:16" x14ac:dyDescent="0.3">
      <c r="A84" t="s">
        <v>240</v>
      </c>
      <c r="B84" s="1">
        <v>46136</v>
      </c>
      <c r="C84" t="s">
        <v>241</v>
      </c>
      <c r="D84" t="s">
        <v>176</v>
      </c>
      <c r="E84" t="s">
        <v>177</v>
      </c>
      <c r="F84" t="s">
        <v>31</v>
      </c>
      <c r="G84" t="s">
        <v>56</v>
      </c>
      <c r="H84" t="s">
        <v>123</v>
      </c>
      <c r="I84">
        <v>1</v>
      </c>
      <c r="J84">
        <v>2208.83</v>
      </c>
      <c r="K84">
        <v>0.1</v>
      </c>
      <c r="L84">
        <v>1987.95</v>
      </c>
      <c r="M84" t="s">
        <v>23</v>
      </c>
      <c r="N84" t="s">
        <v>49</v>
      </c>
      <c r="O84" t="s">
        <v>65</v>
      </c>
      <c r="P84" t="s">
        <v>59</v>
      </c>
    </row>
    <row r="85" spans="1:16" x14ac:dyDescent="0.3">
      <c r="A85" t="s">
        <v>242</v>
      </c>
      <c r="B85" s="1">
        <v>46054</v>
      </c>
      <c r="C85" t="s">
        <v>243</v>
      </c>
      <c r="D85" t="s">
        <v>62</v>
      </c>
      <c r="E85" t="s">
        <v>63</v>
      </c>
      <c r="F85" t="s">
        <v>31</v>
      </c>
      <c r="G85" t="s">
        <v>32</v>
      </c>
      <c r="H85" t="s">
        <v>47</v>
      </c>
      <c r="I85">
        <v>5</v>
      </c>
      <c r="J85">
        <v>2951.9</v>
      </c>
      <c r="K85">
        <v>0.08</v>
      </c>
      <c r="L85">
        <v>13578.74</v>
      </c>
      <c r="M85" t="s">
        <v>76</v>
      </c>
      <c r="N85" t="s">
        <v>71</v>
      </c>
      <c r="O85" t="s">
        <v>65</v>
      </c>
      <c r="P85" t="s">
        <v>59</v>
      </c>
    </row>
    <row r="86" spans="1:16" x14ac:dyDescent="0.3">
      <c r="A86" t="s">
        <v>244</v>
      </c>
      <c r="B86" s="1">
        <v>46060</v>
      </c>
      <c r="C86" t="s">
        <v>245</v>
      </c>
      <c r="D86" t="s">
        <v>105</v>
      </c>
      <c r="E86" t="s">
        <v>106</v>
      </c>
      <c r="F86" t="s">
        <v>40</v>
      </c>
      <c r="G86" t="s">
        <v>56</v>
      </c>
      <c r="H86" t="s">
        <v>123</v>
      </c>
      <c r="I86">
        <v>1</v>
      </c>
      <c r="J86">
        <v>7123.71</v>
      </c>
      <c r="K86">
        <v>0.15</v>
      </c>
      <c r="L86">
        <v>6055.15</v>
      </c>
      <c r="M86" t="s">
        <v>76</v>
      </c>
      <c r="O86" t="s">
        <v>65</v>
      </c>
      <c r="P86" t="s">
        <v>42</v>
      </c>
    </row>
    <row r="87" spans="1:16" x14ac:dyDescent="0.3">
      <c r="A87" t="s">
        <v>246</v>
      </c>
      <c r="B87" s="1">
        <v>45457</v>
      </c>
      <c r="C87" t="s">
        <v>247</v>
      </c>
      <c r="D87" t="s">
        <v>79</v>
      </c>
      <c r="E87" t="s">
        <v>80</v>
      </c>
      <c r="F87" t="s">
        <v>31</v>
      </c>
      <c r="G87" t="s">
        <v>32</v>
      </c>
      <c r="H87" t="s">
        <v>33</v>
      </c>
      <c r="I87">
        <v>5</v>
      </c>
      <c r="J87">
        <v>11965.7</v>
      </c>
      <c r="K87">
        <v>0</v>
      </c>
      <c r="L87">
        <v>59828.5</v>
      </c>
      <c r="M87" t="s">
        <v>23</v>
      </c>
      <c r="O87" t="s">
        <v>25</v>
      </c>
      <c r="P87" t="s">
        <v>116</v>
      </c>
    </row>
    <row r="88" spans="1:16" x14ac:dyDescent="0.3">
      <c r="A88" t="s">
        <v>248</v>
      </c>
      <c r="B88" s="1">
        <v>45951</v>
      </c>
      <c r="C88" t="s">
        <v>249</v>
      </c>
      <c r="D88" t="s">
        <v>53</v>
      </c>
      <c r="E88" t="s">
        <v>54</v>
      </c>
      <c r="F88" t="s">
        <v>55</v>
      </c>
      <c r="G88" t="s">
        <v>81</v>
      </c>
      <c r="H88" t="s">
        <v>135</v>
      </c>
      <c r="I88">
        <v>1</v>
      </c>
      <c r="J88">
        <v>232.09</v>
      </c>
      <c r="K88">
        <v>0.03</v>
      </c>
      <c r="L88">
        <v>225.13</v>
      </c>
      <c r="M88" t="s">
        <v>76</v>
      </c>
      <c r="N88" t="s">
        <v>24</v>
      </c>
      <c r="O88" t="s">
        <v>65</v>
      </c>
      <c r="P88" t="s">
        <v>59</v>
      </c>
    </row>
    <row r="89" spans="1:16" x14ac:dyDescent="0.3">
      <c r="A89" t="s">
        <v>250</v>
      </c>
      <c r="B89" s="1">
        <v>45903</v>
      </c>
      <c r="C89" t="s">
        <v>251</v>
      </c>
      <c r="D89" t="s">
        <v>18</v>
      </c>
      <c r="E89" t="s">
        <v>19</v>
      </c>
      <c r="F89" t="s">
        <v>20</v>
      </c>
      <c r="G89" t="s">
        <v>32</v>
      </c>
      <c r="H89" t="s">
        <v>75</v>
      </c>
      <c r="I89">
        <v>4</v>
      </c>
      <c r="J89">
        <v>831.86</v>
      </c>
      <c r="K89">
        <v>0</v>
      </c>
      <c r="L89">
        <v>3327.44</v>
      </c>
      <c r="M89" t="s">
        <v>48</v>
      </c>
      <c r="N89" t="s">
        <v>58</v>
      </c>
      <c r="O89" t="s">
        <v>25</v>
      </c>
      <c r="P89" t="s">
        <v>111</v>
      </c>
    </row>
    <row r="90" spans="1:16" x14ac:dyDescent="0.3">
      <c r="A90" t="s">
        <v>252</v>
      </c>
      <c r="B90" s="1">
        <v>45593</v>
      </c>
      <c r="C90" t="s">
        <v>253</v>
      </c>
      <c r="D90" t="s">
        <v>53</v>
      </c>
      <c r="E90" t="s">
        <v>54</v>
      </c>
      <c r="F90" t="s">
        <v>55</v>
      </c>
      <c r="G90" t="s">
        <v>254</v>
      </c>
      <c r="H90" t="s">
        <v>93</v>
      </c>
      <c r="I90">
        <v>4</v>
      </c>
      <c r="J90">
        <v>220.17</v>
      </c>
      <c r="K90">
        <v>0.1</v>
      </c>
      <c r="L90">
        <v>792.61</v>
      </c>
      <c r="M90" t="s">
        <v>48</v>
      </c>
      <c r="N90" t="s">
        <v>58</v>
      </c>
      <c r="O90" t="s">
        <v>65</v>
      </c>
      <c r="P90" t="s">
        <v>72</v>
      </c>
    </row>
    <row r="91" spans="1:16" x14ac:dyDescent="0.3">
      <c r="A91" t="s">
        <v>255</v>
      </c>
      <c r="B91" s="1">
        <v>46067</v>
      </c>
      <c r="D91" t="s">
        <v>105</v>
      </c>
      <c r="E91" t="s">
        <v>106</v>
      </c>
      <c r="F91" t="s">
        <v>40</v>
      </c>
      <c r="G91" t="s">
        <v>56</v>
      </c>
      <c r="H91" t="s">
        <v>64</v>
      </c>
      <c r="I91">
        <v>3</v>
      </c>
      <c r="J91">
        <v>7236.19</v>
      </c>
      <c r="K91">
        <v>0.08</v>
      </c>
      <c r="L91">
        <v>19971.88</v>
      </c>
      <c r="M91" t="s">
        <v>23</v>
      </c>
      <c r="N91" t="s">
        <v>58</v>
      </c>
      <c r="O91" t="s">
        <v>25</v>
      </c>
      <c r="P91" t="s">
        <v>102</v>
      </c>
    </row>
    <row r="92" spans="1:16" x14ac:dyDescent="0.3">
      <c r="A92" t="s">
        <v>256</v>
      </c>
      <c r="B92" s="1">
        <v>45865</v>
      </c>
      <c r="C92" t="s">
        <v>257</v>
      </c>
      <c r="D92" t="s">
        <v>176</v>
      </c>
      <c r="E92" t="s">
        <v>177</v>
      </c>
      <c r="F92" t="s">
        <v>31</v>
      </c>
      <c r="G92" t="s">
        <v>56</v>
      </c>
      <c r="H92" t="s">
        <v>123</v>
      </c>
      <c r="I92">
        <v>1</v>
      </c>
      <c r="J92">
        <v>2091.44</v>
      </c>
      <c r="K92">
        <v>0</v>
      </c>
      <c r="L92">
        <v>2091.44</v>
      </c>
      <c r="M92" t="s">
        <v>23</v>
      </c>
      <c r="N92" t="s">
        <v>49</v>
      </c>
      <c r="O92" t="s">
        <v>25</v>
      </c>
      <c r="P92" t="s">
        <v>26</v>
      </c>
    </row>
    <row r="93" spans="1:16" x14ac:dyDescent="0.3">
      <c r="A93" t="s">
        <v>258</v>
      </c>
      <c r="B93" s="1">
        <v>45700</v>
      </c>
      <c r="C93" t="s">
        <v>259</v>
      </c>
      <c r="D93" t="s">
        <v>121</v>
      </c>
      <c r="E93" t="s">
        <v>122</v>
      </c>
      <c r="F93" t="s">
        <v>55</v>
      </c>
      <c r="G93" t="s">
        <v>260</v>
      </c>
      <c r="H93" t="s">
        <v>123</v>
      </c>
      <c r="I93">
        <v>1</v>
      </c>
      <c r="J93">
        <v>414.53</v>
      </c>
      <c r="K93">
        <v>0.1</v>
      </c>
      <c r="L93">
        <v>373.08</v>
      </c>
      <c r="M93" t="s">
        <v>23</v>
      </c>
      <c r="N93" t="s">
        <v>49</v>
      </c>
      <c r="O93" t="s">
        <v>65</v>
      </c>
      <c r="P93" t="s">
        <v>26</v>
      </c>
    </row>
    <row r="94" spans="1:16" x14ac:dyDescent="0.3">
      <c r="A94" t="s">
        <v>261</v>
      </c>
      <c r="B94" s="1">
        <v>45942</v>
      </c>
      <c r="C94" t="s">
        <v>262</v>
      </c>
      <c r="D94" t="s">
        <v>89</v>
      </c>
      <c r="E94" t="s">
        <v>90</v>
      </c>
      <c r="F94" t="s">
        <v>20</v>
      </c>
      <c r="G94" t="s">
        <v>32</v>
      </c>
      <c r="H94" t="s">
        <v>75</v>
      </c>
      <c r="I94">
        <v>4</v>
      </c>
      <c r="J94">
        <v>729.28</v>
      </c>
      <c r="K94">
        <v>0.2</v>
      </c>
      <c r="L94">
        <v>2333.6999999999998</v>
      </c>
      <c r="M94" t="s">
        <v>48</v>
      </c>
      <c r="N94" t="s">
        <v>24</v>
      </c>
      <c r="O94" t="s">
        <v>35</v>
      </c>
      <c r="P94" t="s">
        <v>42</v>
      </c>
    </row>
    <row r="95" spans="1:16" x14ac:dyDescent="0.3">
      <c r="A95" t="s">
        <v>263</v>
      </c>
      <c r="B95" s="1">
        <v>46170</v>
      </c>
      <c r="C95" t="s">
        <v>264</v>
      </c>
      <c r="D95" t="s">
        <v>176</v>
      </c>
      <c r="E95" t="s">
        <v>177</v>
      </c>
      <c r="F95" t="s">
        <v>31</v>
      </c>
      <c r="G95" t="s">
        <v>32</v>
      </c>
      <c r="H95" t="s">
        <v>75</v>
      </c>
      <c r="I95">
        <v>3</v>
      </c>
      <c r="J95">
        <v>2064.16</v>
      </c>
      <c r="K95">
        <v>0.2</v>
      </c>
      <c r="L95">
        <v>4953.9799999999996</v>
      </c>
      <c r="M95" t="s">
        <v>48</v>
      </c>
      <c r="N95" t="s">
        <v>24</v>
      </c>
      <c r="O95" t="s">
        <v>65</v>
      </c>
      <c r="P95" t="s">
        <v>116</v>
      </c>
    </row>
    <row r="96" spans="1:16" x14ac:dyDescent="0.3">
      <c r="A96" t="s">
        <v>265</v>
      </c>
      <c r="B96" s="1">
        <v>46168</v>
      </c>
      <c r="C96" t="s">
        <v>266</v>
      </c>
      <c r="D96" t="s">
        <v>176</v>
      </c>
      <c r="E96" t="s">
        <v>177</v>
      </c>
      <c r="F96" t="s">
        <v>31</v>
      </c>
      <c r="G96" t="s">
        <v>56</v>
      </c>
      <c r="H96" t="s">
        <v>57</v>
      </c>
      <c r="I96">
        <v>5</v>
      </c>
      <c r="J96">
        <v>2125.46</v>
      </c>
      <c r="K96">
        <v>0</v>
      </c>
      <c r="L96">
        <v>10627.3</v>
      </c>
      <c r="M96" t="s">
        <v>48</v>
      </c>
      <c r="N96" t="s">
        <v>34</v>
      </c>
      <c r="O96" t="s">
        <v>35</v>
      </c>
      <c r="P96" t="s">
        <v>26</v>
      </c>
    </row>
    <row r="97" spans="1:16" x14ac:dyDescent="0.3">
      <c r="A97" t="s">
        <v>267</v>
      </c>
      <c r="B97" s="1">
        <v>45608</v>
      </c>
      <c r="C97" t="s">
        <v>212</v>
      </c>
      <c r="D97" t="s">
        <v>170</v>
      </c>
      <c r="E97" t="s">
        <v>171</v>
      </c>
      <c r="F97" t="s">
        <v>31</v>
      </c>
      <c r="G97" t="s">
        <v>81</v>
      </c>
      <c r="H97" t="s">
        <v>87</v>
      </c>
      <c r="I97">
        <v>2</v>
      </c>
      <c r="J97">
        <v>67884.37</v>
      </c>
      <c r="K97">
        <v>0</v>
      </c>
      <c r="L97">
        <v>135768.74</v>
      </c>
      <c r="M97" t="s">
        <v>48</v>
      </c>
      <c r="N97" t="s">
        <v>34</v>
      </c>
      <c r="O97" t="s">
        <v>25</v>
      </c>
      <c r="P97" t="s">
        <v>59</v>
      </c>
    </row>
    <row r="98" spans="1:16" x14ac:dyDescent="0.3">
      <c r="A98" t="s">
        <v>268</v>
      </c>
      <c r="B98" s="1">
        <v>45588</v>
      </c>
      <c r="C98" t="s">
        <v>269</v>
      </c>
      <c r="D98" t="s">
        <v>89</v>
      </c>
      <c r="E98" t="s">
        <v>90</v>
      </c>
      <c r="F98" t="s">
        <v>20</v>
      </c>
      <c r="G98" t="s">
        <v>81</v>
      </c>
      <c r="H98" t="s">
        <v>98</v>
      </c>
      <c r="I98">
        <v>3</v>
      </c>
      <c r="J98">
        <v>653.5</v>
      </c>
      <c r="K98">
        <v>0</v>
      </c>
      <c r="L98">
        <v>1960.5</v>
      </c>
      <c r="M98" t="s">
        <v>76</v>
      </c>
      <c r="N98" t="s">
        <v>24</v>
      </c>
      <c r="O98" t="s">
        <v>35</v>
      </c>
      <c r="P98" t="s">
        <v>42</v>
      </c>
    </row>
    <row r="99" spans="1:16" x14ac:dyDescent="0.3">
      <c r="A99" t="s">
        <v>270</v>
      </c>
      <c r="B99" s="1">
        <v>46135</v>
      </c>
      <c r="C99" t="s">
        <v>186</v>
      </c>
      <c r="D99" t="s">
        <v>121</v>
      </c>
      <c r="E99" t="s">
        <v>122</v>
      </c>
      <c r="F99" t="s">
        <v>55</v>
      </c>
      <c r="G99" t="s">
        <v>32</v>
      </c>
      <c r="H99" t="s">
        <v>68</v>
      </c>
      <c r="I99">
        <v>2</v>
      </c>
      <c r="J99">
        <v>440.83</v>
      </c>
      <c r="K99">
        <v>0</v>
      </c>
      <c r="L99">
        <v>881.66</v>
      </c>
      <c r="M99" t="s">
        <v>76</v>
      </c>
      <c r="N99" t="s">
        <v>71</v>
      </c>
      <c r="O99" t="s">
        <v>25</v>
      </c>
      <c r="P99" t="s">
        <v>26</v>
      </c>
    </row>
    <row r="100" spans="1:16" x14ac:dyDescent="0.3">
      <c r="A100" t="s">
        <v>271</v>
      </c>
      <c r="B100" s="1">
        <v>45987</v>
      </c>
      <c r="C100" t="s">
        <v>272</v>
      </c>
      <c r="D100" t="s">
        <v>29</v>
      </c>
      <c r="E100" t="s">
        <v>30</v>
      </c>
      <c r="F100" t="s">
        <v>31</v>
      </c>
      <c r="G100" t="s">
        <v>21</v>
      </c>
      <c r="H100" t="s">
        <v>93</v>
      </c>
      <c r="I100">
        <v>4</v>
      </c>
      <c r="J100">
        <v>3322.59</v>
      </c>
      <c r="K100">
        <v>0</v>
      </c>
      <c r="L100">
        <v>13290.36</v>
      </c>
      <c r="M100" t="s">
        <v>48</v>
      </c>
      <c r="N100" t="s">
        <v>58</v>
      </c>
      <c r="O100" t="s">
        <v>65</v>
      </c>
      <c r="P100" t="s">
        <v>102</v>
      </c>
    </row>
    <row r="101" spans="1:16" x14ac:dyDescent="0.3">
      <c r="A101" t="s">
        <v>273</v>
      </c>
      <c r="B101" s="1">
        <v>45505</v>
      </c>
      <c r="C101" t="s">
        <v>186</v>
      </c>
      <c r="D101" t="s">
        <v>96</v>
      </c>
      <c r="E101" t="s">
        <v>97</v>
      </c>
      <c r="F101" t="s">
        <v>31</v>
      </c>
      <c r="G101" t="s">
        <v>21</v>
      </c>
      <c r="H101" t="s">
        <v>126</v>
      </c>
      <c r="I101">
        <v>2</v>
      </c>
      <c r="J101">
        <v>1104.8599999999999</v>
      </c>
      <c r="K101">
        <v>0.2</v>
      </c>
      <c r="L101">
        <v>1767.78</v>
      </c>
      <c r="M101" t="s">
        <v>23</v>
      </c>
      <c r="N101" t="s">
        <v>49</v>
      </c>
      <c r="O101" t="s">
        <v>65</v>
      </c>
      <c r="P101" t="s">
        <v>72</v>
      </c>
    </row>
    <row r="102" spans="1:16" x14ac:dyDescent="0.3">
      <c r="A102" t="s">
        <v>274</v>
      </c>
      <c r="B102" s="1">
        <v>45984</v>
      </c>
      <c r="C102" t="s">
        <v>275</v>
      </c>
      <c r="D102" t="s">
        <v>121</v>
      </c>
      <c r="E102" t="s">
        <v>122</v>
      </c>
      <c r="F102" t="s">
        <v>55</v>
      </c>
      <c r="G102" t="s">
        <v>21</v>
      </c>
      <c r="H102" t="s">
        <v>93</v>
      </c>
      <c r="I102">
        <v>5</v>
      </c>
      <c r="J102">
        <v>431.11</v>
      </c>
      <c r="K102">
        <v>0.1</v>
      </c>
      <c r="L102">
        <v>1940</v>
      </c>
      <c r="M102" t="s">
        <v>48</v>
      </c>
      <c r="N102" t="s">
        <v>24</v>
      </c>
      <c r="O102" t="s">
        <v>65</v>
      </c>
      <c r="P102" t="s">
        <v>111</v>
      </c>
    </row>
    <row r="103" spans="1:16" x14ac:dyDescent="0.3">
      <c r="A103" t="s">
        <v>276</v>
      </c>
      <c r="B103" s="1">
        <v>46070</v>
      </c>
      <c r="C103" t="s">
        <v>277</v>
      </c>
      <c r="D103" t="s">
        <v>62</v>
      </c>
      <c r="E103" t="s">
        <v>63</v>
      </c>
      <c r="F103" t="s">
        <v>31</v>
      </c>
      <c r="G103" t="s">
        <v>56</v>
      </c>
      <c r="H103" t="s">
        <v>123</v>
      </c>
      <c r="I103">
        <v>4</v>
      </c>
      <c r="J103">
        <v>2753.83</v>
      </c>
      <c r="K103">
        <v>0.1</v>
      </c>
      <c r="L103">
        <v>9913.7900000000009</v>
      </c>
      <c r="M103" t="s">
        <v>76</v>
      </c>
      <c r="N103" t="s">
        <v>34</v>
      </c>
      <c r="O103" t="s">
        <v>25</v>
      </c>
      <c r="P103" t="s">
        <v>50</v>
      </c>
    </row>
    <row r="104" spans="1:16" x14ac:dyDescent="0.3">
      <c r="A104" t="s">
        <v>278</v>
      </c>
      <c r="B104" s="1">
        <v>45911</v>
      </c>
      <c r="C104" t="s">
        <v>95</v>
      </c>
      <c r="D104" t="s">
        <v>96</v>
      </c>
      <c r="E104" t="s">
        <v>97</v>
      </c>
      <c r="F104" t="s">
        <v>31</v>
      </c>
      <c r="G104" t="s">
        <v>21</v>
      </c>
      <c r="H104" t="s">
        <v>126</v>
      </c>
      <c r="I104">
        <v>2</v>
      </c>
      <c r="J104">
        <v>1259.03</v>
      </c>
      <c r="K104">
        <v>0.08</v>
      </c>
      <c r="L104">
        <v>2316.62</v>
      </c>
      <c r="M104" t="s">
        <v>48</v>
      </c>
      <c r="N104" t="s">
        <v>49</v>
      </c>
      <c r="O104" t="s">
        <v>65</v>
      </c>
      <c r="P104" t="s">
        <v>111</v>
      </c>
    </row>
    <row r="105" spans="1:16" x14ac:dyDescent="0.3">
      <c r="A105" t="s">
        <v>279</v>
      </c>
      <c r="B105" s="1">
        <v>45664</v>
      </c>
      <c r="C105" t="s">
        <v>78</v>
      </c>
      <c r="D105" t="s">
        <v>85</v>
      </c>
      <c r="E105" t="s">
        <v>86</v>
      </c>
      <c r="F105" t="s">
        <v>20</v>
      </c>
      <c r="G105" t="s">
        <v>81</v>
      </c>
      <c r="H105" t="s">
        <v>82</v>
      </c>
      <c r="I105">
        <v>1</v>
      </c>
      <c r="J105">
        <v>1943.3</v>
      </c>
      <c r="K105">
        <v>0.1</v>
      </c>
      <c r="L105">
        <v>1748.97</v>
      </c>
      <c r="M105" t="s">
        <v>48</v>
      </c>
      <c r="N105" t="s">
        <v>24</v>
      </c>
      <c r="O105" t="s">
        <v>65</v>
      </c>
      <c r="P105" t="s">
        <v>59</v>
      </c>
    </row>
    <row r="106" spans="1:16" x14ac:dyDescent="0.3">
      <c r="A106" t="s">
        <v>280</v>
      </c>
      <c r="B106" s="1">
        <v>45744</v>
      </c>
      <c r="C106" t="s">
        <v>175</v>
      </c>
      <c r="D106" t="s">
        <v>62</v>
      </c>
      <c r="E106" t="s">
        <v>63</v>
      </c>
      <c r="F106" t="s">
        <v>31</v>
      </c>
      <c r="G106" t="s">
        <v>81</v>
      </c>
      <c r="H106" t="s">
        <v>98</v>
      </c>
      <c r="I106">
        <v>3</v>
      </c>
      <c r="J106">
        <v>2739.69</v>
      </c>
      <c r="K106">
        <v>0.05</v>
      </c>
      <c r="L106">
        <v>7808.12</v>
      </c>
      <c r="M106" t="s">
        <v>23</v>
      </c>
      <c r="N106" t="s">
        <v>58</v>
      </c>
      <c r="O106" t="s">
        <v>65</v>
      </c>
      <c r="P106" t="s">
        <v>116</v>
      </c>
    </row>
    <row r="107" spans="1:16" x14ac:dyDescent="0.3">
      <c r="A107" t="s">
        <v>281</v>
      </c>
      <c r="B107" s="1">
        <v>45308</v>
      </c>
      <c r="C107" t="s">
        <v>108</v>
      </c>
      <c r="D107" t="s">
        <v>131</v>
      </c>
      <c r="E107" t="s">
        <v>132</v>
      </c>
      <c r="F107" t="s">
        <v>40</v>
      </c>
      <c r="G107" t="s">
        <v>56</v>
      </c>
      <c r="H107" t="s">
        <v>123</v>
      </c>
      <c r="I107">
        <v>5</v>
      </c>
      <c r="J107">
        <v>9261.7999999999993</v>
      </c>
      <c r="K107">
        <v>0.1</v>
      </c>
      <c r="L107">
        <v>41678.1</v>
      </c>
      <c r="M107" t="s">
        <v>48</v>
      </c>
      <c r="N107" t="s">
        <v>34</v>
      </c>
      <c r="O107" t="s">
        <v>25</v>
      </c>
      <c r="P107" t="s">
        <v>111</v>
      </c>
    </row>
    <row r="108" spans="1:16" x14ac:dyDescent="0.3">
      <c r="A108" t="s">
        <v>282</v>
      </c>
      <c r="B108" s="1">
        <v>45750</v>
      </c>
      <c r="C108" t="s">
        <v>283</v>
      </c>
      <c r="D108" t="s">
        <v>85</v>
      </c>
      <c r="E108" t="s">
        <v>86</v>
      </c>
      <c r="F108" t="s">
        <v>20</v>
      </c>
      <c r="G108" t="s">
        <v>32</v>
      </c>
      <c r="H108" t="s">
        <v>75</v>
      </c>
      <c r="I108">
        <v>2</v>
      </c>
      <c r="J108">
        <v>1723.71</v>
      </c>
      <c r="K108">
        <v>0.05</v>
      </c>
      <c r="L108">
        <v>3275.05</v>
      </c>
      <c r="M108" t="s">
        <v>23</v>
      </c>
      <c r="N108" t="s">
        <v>34</v>
      </c>
      <c r="O108" t="s">
        <v>25</v>
      </c>
      <c r="P108" t="s">
        <v>42</v>
      </c>
    </row>
    <row r="109" spans="1:16" x14ac:dyDescent="0.3">
      <c r="A109" t="s">
        <v>284</v>
      </c>
      <c r="B109" s="1">
        <v>45774</v>
      </c>
      <c r="C109" t="s">
        <v>285</v>
      </c>
      <c r="D109" t="s">
        <v>89</v>
      </c>
      <c r="E109" t="s">
        <v>90</v>
      </c>
      <c r="F109" t="s">
        <v>20</v>
      </c>
      <c r="G109" t="s">
        <v>21</v>
      </c>
      <c r="H109" t="s">
        <v>93</v>
      </c>
      <c r="I109">
        <v>2</v>
      </c>
      <c r="J109">
        <v>717.19</v>
      </c>
      <c r="K109">
        <v>0.1</v>
      </c>
      <c r="L109">
        <v>1290.94</v>
      </c>
      <c r="M109" t="s">
        <v>48</v>
      </c>
      <c r="N109" t="s">
        <v>58</v>
      </c>
      <c r="O109" t="s">
        <v>65</v>
      </c>
      <c r="P109" t="s">
        <v>42</v>
      </c>
    </row>
    <row r="110" spans="1:16" x14ac:dyDescent="0.3">
      <c r="A110" t="s">
        <v>286</v>
      </c>
      <c r="B110" s="1">
        <v>45453</v>
      </c>
      <c r="C110" t="s">
        <v>287</v>
      </c>
      <c r="D110" t="s">
        <v>45</v>
      </c>
      <c r="E110" t="s">
        <v>46</v>
      </c>
      <c r="F110" t="s">
        <v>31</v>
      </c>
      <c r="G110" t="s">
        <v>56</v>
      </c>
      <c r="H110" t="s">
        <v>123</v>
      </c>
      <c r="I110">
        <v>5</v>
      </c>
      <c r="J110">
        <v>1817.71</v>
      </c>
      <c r="K110">
        <v>0</v>
      </c>
      <c r="L110">
        <v>9088.5499999999993</v>
      </c>
      <c r="M110" t="s">
        <v>48</v>
      </c>
      <c r="N110" t="s">
        <v>24</v>
      </c>
      <c r="O110" t="s">
        <v>35</v>
      </c>
      <c r="P110" t="s">
        <v>26</v>
      </c>
    </row>
    <row r="111" spans="1:16" x14ac:dyDescent="0.3">
      <c r="A111" t="s">
        <v>288</v>
      </c>
      <c r="B111" s="1">
        <v>45691</v>
      </c>
      <c r="C111" t="s">
        <v>289</v>
      </c>
      <c r="D111" t="s">
        <v>38</v>
      </c>
      <c r="E111" t="s">
        <v>39</v>
      </c>
      <c r="F111" t="s">
        <v>40</v>
      </c>
      <c r="G111" t="s">
        <v>56</v>
      </c>
      <c r="H111" t="s">
        <v>57</v>
      </c>
      <c r="I111">
        <v>5</v>
      </c>
      <c r="J111">
        <v>1644.7</v>
      </c>
      <c r="K111">
        <v>0.2</v>
      </c>
      <c r="L111">
        <v>6578.8</v>
      </c>
      <c r="M111" t="s">
        <v>48</v>
      </c>
      <c r="N111" t="s">
        <v>34</v>
      </c>
      <c r="O111" t="s">
        <v>65</v>
      </c>
      <c r="P111" t="s">
        <v>111</v>
      </c>
    </row>
    <row r="112" spans="1:16" x14ac:dyDescent="0.3">
      <c r="A112" t="s">
        <v>290</v>
      </c>
      <c r="B112" s="1">
        <v>45720</v>
      </c>
      <c r="C112" t="s">
        <v>291</v>
      </c>
      <c r="D112" t="s">
        <v>45</v>
      </c>
      <c r="E112" t="s">
        <v>46</v>
      </c>
      <c r="F112" t="s">
        <v>31</v>
      </c>
      <c r="G112" t="s">
        <v>81</v>
      </c>
      <c r="H112" t="s">
        <v>87</v>
      </c>
      <c r="I112">
        <v>3</v>
      </c>
      <c r="J112">
        <v>1844.04</v>
      </c>
      <c r="K112">
        <v>0.05</v>
      </c>
      <c r="L112">
        <v>5255.51</v>
      </c>
      <c r="M112" t="s">
        <v>48</v>
      </c>
      <c r="N112" t="s">
        <v>49</v>
      </c>
      <c r="O112" t="s">
        <v>65</v>
      </c>
      <c r="P112" t="s">
        <v>102</v>
      </c>
    </row>
    <row r="113" spans="1:16" x14ac:dyDescent="0.3">
      <c r="A113" t="s">
        <v>292</v>
      </c>
      <c r="B113" s="1">
        <v>45686</v>
      </c>
      <c r="C113" t="s">
        <v>293</v>
      </c>
      <c r="D113" t="s">
        <v>45</v>
      </c>
      <c r="E113" t="s">
        <v>46</v>
      </c>
      <c r="F113" t="s">
        <v>31</v>
      </c>
      <c r="G113" t="s">
        <v>81</v>
      </c>
      <c r="H113" t="s">
        <v>98</v>
      </c>
      <c r="I113">
        <v>5</v>
      </c>
      <c r="J113">
        <v>1685.66</v>
      </c>
      <c r="K113">
        <v>0.2</v>
      </c>
      <c r="L113">
        <v>6742.64</v>
      </c>
      <c r="M113" t="s">
        <v>23</v>
      </c>
      <c r="N113" t="s">
        <v>58</v>
      </c>
      <c r="O113" t="s">
        <v>65</v>
      </c>
      <c r="P113" t="s">
        <v>72</v>
      </c>
    </row>
    <row r="114" spans="1:16" x14ac:dyDescent="0.3">
      <c r="A114" t="s">
        <v>294</v>
      </c>
      <c r="B114" s="1">
        <v>46189</v>
      </c>
      <c r="C114" t="s">
        <v>295</v>
      </c>
      <c r="D114" t="s">
        <v>121</v>
      </c>
      <c r="E114" t="s">
        <v>122</v>
      </c>
      <c r="F114" t="s">
        <v>55</v>
      </c>
      <c r="G114" t="s">
        <v>56</v>
      </c>
      <c r="H114" t="s">
        <v>57</v>
      </c>
      <c r="J114">
        <v>417.67</v>
      </c>
      <c r="K114">
        <v>0.15</v>
      </c>
      <c r="L114">
        <v>1065.06</v>
      </c>
      <c r="M114" t="s">
        <v>23</v>
      </c>
      <c r="N114" t="s">
        <v>49</v>
      </c>
      <c r="O114" t="s">
        <v>65</v>
      </c>
      <c r="P114" t="s">
        <v>111</v>
      </c>
    </row>
    <row r="115" spans="1:16" x14ac:dyDescent="0.3">
      <c r="A115" t="s">
        <v>296</v>
      </c>
      <c r="B115" s="1">
        <v>45347</v>
      </c>
      <c r="C115" t="s">
        <v>297</v>
      </c>
      <c r="D115" t="s">
        <v>62</v>
      </c>
      <c r="E115" t="s">
        <v>63</v>
      </c>
      <c r="F115" t="s">
        <v>31</v>
      </c>
      <c r="G115" t="s">
        <v>21</v>
      </c>
      <c r="H115" t="s">
        <v>93</v>
      </c>
      <c r="I115">
        <v>3</v>
      </c>
      <c r="J115">
        <v>2711.33</v>
      </c>
      <c r="K115">
        <v>0.03</v>
      </c>
      <c r="L115">
        <v>7889.97</v>
      </c>
      <c r="M115" t="s">
        <v>23</v>
      </c>
      <c r="N115" t="s">
        <v>24</v>
      </c>
      <c r="O115" t="s">
        <v>65</v>
      </c>
      <c r="P115" t="s">
        <v>72</v>
      </c>
    </row>
    <row r="116" spans="1:16" x14ac:dyDescent="0.3">
      <c r="A116" t="s">
        <v>298</v>
      </c>
      <c r="B116" s="1">
        <v>45556</v>
      </c>
      <c r="C116" t="s">
        <v>299</v>
      </c>
      <c r="D116" t="s">
        <v>96</v>
      </c>
      <c r="E116" t="s">
        <v>97</v>
      </c>
      <c r="F116" t="s">
        <v>31</v>
      </c>
      <c r="G116" t="s">
        <v>56</v>
      </c>
      <c r="H116" t="s">
        <v>123</v>
      </c>
      <c r="I116">
        <v>5</v>
      </c>
      <c r="J116">
        <v>1201.57</v>
      </c>
      <c r="K116">
        <v>0.03</v>
      </c>
      <c r="L116">
        <v>5827.61</v>
      </c>
      <c r="M116" t="s">
        <v>76</v>
      </c>
      <c r="N116" t="s">
        <v>71</v>
      </c>
      <c r="O116" t="s">
        <v>65</v>
      </c>
      <c r="P116" t="s">
        <v>59</v>
      </c>
    </row>
    <row r="117" spans="1:16" x14ac:dyDescent="0.3">
      <c r="A117" t="s">
        <v>300</v>
      </c>
      <c r="B117" s="1">
        <v>45685</v>
      </c>
      <c r="D117" t="s">
        <v>85</v>
      </c>
      <c r="E117" t="s">
        <v>86</v>
      </c>
      <c r="F117" t="s">
        <v>20</v>
      </c>
      <c r="G117" t="s">
        <v>32</v>
      </c>
      <c r="H117" t="s">
        <v>33</v>
      </c>
      <c r="I117">
        <v>3</v>
      </c>
      <c r="J117">
        <v>1730.98</v>
      </c>
      <c r="K117">
        <v>0.15</v>
      </c>
      <c r="L117">
        <v>4414</v>
      </c>
      <c r="M117" t="s">
        <v>76</v>
      </c>
      <c r="N117" t="s">
        <v>58</v>
      </c>
      <c r="O117" t="s">
        <v>25</v>
      </c>
      <c r="P117" t="s">
        <v>59</v>
      </c>
    </row>
    <row r="118" spans="1:16" x14ac:dyDescent="0.3">
      <c r="A118" t="s">
        <v>301</v>
      </c>
      <c r="B118" s="1">
        <v>46079</v>
      </c>
      <c r="C118" t="s">
        <v>302</v>
      </c>
      <c r="D118" t="s">
        <v>29</v>
      </c>
      <c r="E118" t="s">
        <v>30</v>
      </c>
      <c r="F118" t="s">
        <v>31</v>
      </c>
      <c r="G118" t="s">
        <v>56</v>
      </c>
      <c r="H118" t="s">
        <v>123</v>
      </c>
      <c r="I118">
        <v>2</v>
      </c>
      <c r="J118">
        <v>3420.36</v>
      </c>
      <c r="K118">
        <v>0.15</v>
      </c>
      <c r="L118">
        <v>5814.61</v>
      </c>
      <c r="M118" t="s">
        <v>23</v>
      </c>
      <c r="N118" t="s">
        <v>24</v>
      </c>
      <c r="O118" t="s">
        <v>65</v>
      </c>
      <c r="P118" t="s">
        <v>111</v>
      </c>
    </row>
    <row r="119" spans="1:16" x14ac:dyDescent="0.3">
      <c r="A119" t="s">
        <v>303</v>
      </c>
      <c r="B119" s="1">
        <v>45940</v>
      </c>
      <c r="C119" t="s">
        <v>304</v>
      </c>
      <c r="D119" t="s">
        <v>45</v>
      </c>
      <c r="E119" t="s">
        <v>46</v>
      </c>
      <c r="F119" t="s">
        <v>31</v>
      </c>
      <c r="G119" t="s">
        <v>81</v>
      </c>
      <c r="H119" t="s">
        <v>135</v>
      </c>
      <c r="I119">
        <v>4</v>
      </c>
      <c r="J119">
        <v>1695.8</v>
      </c>
      <c r="K119">
        <v>0</v>
      </c>
      <c r="L119">
        <v>6783.2</v>
      </c>
      <c r="M119" t="s">
        <v>23</v>
      </c>
      <c r="N119" t="s">
        <v>71</v>
      </c>
      <c r="O119" t="s">
        <v>25</v>
      </c>
      <c r="P119" t="s">
        <v>50</v>
      </c>
    </row>
    <row r="120" spans="1:16" x14ac:dyDescent="0.3">
      <c r="A120" t="s">
        <v>305</v>
      </c>
      <c r="B120" s="1">
        <v>46036</v>
      </c>
      <c r="C120" t="s">
        <v>306</v>
      </c>
      <c r="D120" t="s">
        <v>170</v>
      </c>
      <c r="E120" t="s">
        <v>171</v>
      </c>
      <c r="F120" t="s">
        <v>31</v>
      </c>
      <c r="G120" t="s">
        <v>81</v>
      </c>
      <c r="H120" t="s">
        <v>98</v>
      </c>
      <c r="I120">
        <v>1</v>
      </c>
      <c r="J120">
        <v>62313.04</v>
      </c>
      <c r="K120">
        <v>0.1</v>
      </c>
      <c r="L120">
        <v>56081.74</v>
      </c>
      <c r="M120" t="s">
        <v>76</v>
      </c>
      <c r="N120" t="s">
        <v>58</v>
      </c>
      <c r="O120" t="s">
        <v>65</v>
      </c>
      <c r="P120" t="s">
        <v>26</v>
      </c>
    </row>
    <row r="121" spans="1:16" x14ac:dyDescent="0.3">
      <c r="A121" t="s">
        <v>307</v>
      </c>
      <c r="B121" s="1">
        <v>46066</v>
      </c>
      <c r="C121" t="s">
        <v>218</v>
      </c>
      <c r="D121" t="s">
        <v>53</v>
      </c>
      <c r="E121" t="s">
        <v>54</v>
      </c>
      <c r="F121" t="s">
        <v>55</v>
      </c>
      <c r="G121" t="s">
        <v>81</v>
      </c>
      <c r="H121" t="s">
        <v>98</v>
      </c>
      <c r="I121">
        <v>2</v>
      </c>
      <c r="J121">
        <v>224.19</v>
      </c>
      <c r="K121">
        <v>0.15</v>
      </c>
      <c r="L121">
        <v>381.12</v>
      </c>
      <c r="M121" t="s">
        <v>48</v>
      </c>
      <c r="N121" t="s">
        <v>49</v>
      </c>
      <c r="O121" t="s">
        <v>25</v>
      </c>
      <c r="P121" t="s">
        <v>111</v>
      </c>
    </row>
    <row r="122" spans="1:16" x14ac:dyDescent="0.3">
      <c r="A122" t="s">
        <v>308</v>
      </c>
      <c r="B122" s="1">
        <v>45557</v>
      </c>
      <c r="C122" t="s">
        <v>309</v>
      </c>
      <c r="D122" t="s">
        <v>79</v>
      </c>
      <c r="E122" t="s">
        <v>80</v>
      </c>
      <c r="F122" t="s">
        <v>31</v>
      </c>
      <c r="G122" t="s">
        <v>81</v>
      </c>
      <c r="H122" t="s">
        <v>135</v>
      </c>
      <c r="I122">
        <v>5</v>
      </c>
      <c r="J122">
        <v>12706.85</v>
      </c>
      <c r="K122">
        <v>0.08</v>
      </c>
      <c r="L122">
        <v>58451.51</v>
      </c>
      <c r="M122" t="s">
        <v>48</v>
      </c>
      <c r="N122" t="s">
        <v>71</v>
      </c>
      <c r="O122" t="s">
        <v>65</v>
      </c>
      <c r="P122" t="s">
        <v>26</v>
      </c>
    </row>
    <row r="123" spans="1:16" x14ac:dyDescent="0.3">
      <c r="A123" t="s">
        <v>310</v>
      </c>
      <c r="B123" s="1">
        <v>46033</v>
      </c>
      <c r="C123" t="s">
        <v>311</v>
      </c>
      <c r="D123" t="s">
        <v>45</v>
      </c>
      <c r="E123" t="s">
        <v>46</v>
      </c>
      <c r="F123" t="s">
        <v>31</v>
      </c>
      <c r="G123" t="s">
        <v>56</v>
      </c>
      <c r="H123" t="s">
        <v>64</v>
      </c>
      <c r="I123">
        <v>3</v>
      </c>
      <c r="J123">
        <v>1829.01</v>
      </c>
      <c r="K123">
        <v>0.15</v>
      </c>
      <c r="L123">
        <v>4663.9799999999996</v>
      </c>
      <c r="M123" t="s">
        <v>76</v>
      </c>
      <c r="N123" t="s">
        <v>24</v>
      </c>
      <c r="O123" t="s">
        <v>65</v>
      </c>
      <c r="P123" t="s">
        <v>42</v>
      </c>
    </row>
    <row r="124" spans="1:16" x14ac:dyDescent="0.3">
      <c r="A124" t="s">
        <v>312</v>
      </c>
      <c r="B124" s="1">
        <v>46042</v>
      </c>
      <c r="C124" t="s">
        <v>313</v>
      </c>
      <c r="D124" t="s">
        <v>96</v>
      </c>
      <c r="E124" t="s">
        <v>97</v>
      </c>
      <c r="F124" t="s">
        <v>31</v>
      </c>
      <c r="G124" t="s">
        <v>32</v>
      </c>
      <c r="H124" t="s">
        <v>75</v>
      </c>
      <c r="I124">
        <v>1</v>
      </c>
      <c r="J124">
        <v>1107.6500000000001</v>
      </c>
      <c r="K124">
        <v>0.15</v>
      </c>
      <c r="L124">
        <v>941.5</v>
      </c>
      <c r="M124" t="s">
        <v>23</v>
      </c>
      <c r="N124" t="s">
        <v>49</v>
      </c>
      <c r="O124" t="s">
        <v>35</v>
      </c>
      <c r="P124" t="s">
        <v>111</v>
      </c>
    </row>
    <row r="125" spans="1:16" x14ac:dyDescent="0.3">
      <c r="A125" t="s">
        <v>314</v>
      </c>
      <c r="B125" s="1">
        <v>45937</v>
      </c>
      <c r="C125" t="s">
        <v>315</v>
      </c>
      <c r="D125" t="s">
        <v>131</v>
      </c>
      <c r="E125" t="s">
        <v>132</v>
      </c>
      <c r="F125" t="s">
        <v>40</v>
      </c>
      <c r="G125" t="s">
        <v>21</v>
      </c>
      <c r="H125" t="s">
        <v>126</v>
      </c>
      <c r="I125">
        <v>5</v>
      </c>
      <c r="J125">
        <v>10092.83</v>
      </c>
      <c r="K125">
        <v>0.05</v>
      </c>
      <c r="L125">
        <v>47940.94</v>
      </c>
      <c r="M125" t="s">
        <v>23</v>
      </c>
      <c r="N125" t="s">
        <v>71</v>
      </c>
      <c r="O125" t="s">
        <v>35</v>
      </c>
      <c r="P125" t="s">
        <v>50</v>
      </c>
    </row>
    <row r="126" spans="1:16" x14ac:dyDescent="0.3">
      <c r="A126" t="s">
        <v>316</v>
      </c>
      <c r="B126" s="1">
        <v>45903</v>
      </c>
      <c r="C126" t="s">
        <v>264</v>
      </c>
      <c r="D126" t="s">
        <v>29</v>
      </c>
      <c r="E126" t="s">
        <v>30</v>
      </c>
      <c r="F126" t="s">
        <v>31</v>
      </c>
      <c r="G126" t="s">
        <v>81</v>
      </c>
      <c r="H126" t="s">
        <v>87</v>
      </c>
      <c r="I126">
        <v>1</v>
      </c>
      <c r="J126">
        <v>3451.79</v>
      </c>
      <c r="K126">
        <v>0.15</v>
      </c>
      <c r="L126">
        <v>2934.02</v>
      </c>
      <c r="M126" t="s">
        <v>23</v>
      </c>
      <c r="N126" t="s">
        <v>34</v>
      </c>
      <c r="O126" t="s">
        <v>65</v>
      </c>
      <c r="P126" t="s">
        <v>116</v>
      </c>
    </row>
    <row r="127" spans="1:16" x14ac:dyDescent="0.3">
      <c r="A127" t="s">
        <v>317</v>
      </c>
      <c r="B127" s="1">
        <v>46197</v>
      </c>
      <c r="C127" t="s">
        <v>139</v>
      </c>
      <c r="D127" t="s">
        <v>85</v>
      </c>
      <c r="E127" t="s">
        <v>86</v>
      </c>
      <c r="F127" t="s">
        <v>20</v>
      </c>
      <c r="G127" t="s">
        <v>21</v>
      </c>
      <c r="H127" t="s">
        <v>41</v>
      </c>
      <c r="I127">
        <v>2</v>
      </c>
      <c r="J127">
        <v>1914.42</v>
      </c>
      <c r="K127">
        <v>0</v>
      </c>
      <c r="L127">
        <v>3828.84</v>
      </c>
      <c r="M127" t="s">
        <v>76</v>
      </c>
      <c r="N127" t="s">
        <v>24</v>
      </c>
      <c r="O127" t="s">
        <v>65</v>
      </c>
      <c r="P127" t="s">
        <v>116</v>
      </c>
    </row>
    <row r="128" spans="1:16" x14ac:dyDescent="0.3">
      <c r="A128" t="s">
        <v>318</v>
      </c>
      <c r="B128" s="1">
        <v>45458</v>
      </c>
      <c r="C128" t="s">
        <v>319</v>
      </c>
      <c r="D128" t="s">
        <v>131</v>
      </c>
      <c r="E128" t="s">
        <v>132</v>
      </c>
      <c r="F128" t="s">
        <v>40</v>
      </c>
      <c r="G128" t="s">
        <v>21</v>
      </c>
      <c r="H128" t="s">
        <v>93</v>
      </c>
      <c r="I128">
        <v>1</v>
      </c>
      <c r="J128">
        <v>9188.0300000000007</v>
      </c>
      <c r="K128">
        <v>0.08</v>
      </c>
      <c r="L128">
        <v>8452.99</v>
      </c>
      <c r="M128" t="s">
        <v>76</v>
      </c>
      <c r="N128" t="s">
        <v>34</v>
      </c>
      <c r="O128" t="s">
        <v>25</v>
      </c>
      <c r="P128" t="s">
        <v>50</v>
      </c>
    </row>
    <row r="129" spans="1:16" x14ac:dyDescent="0.3">
      <c r="A129" t="s">
        <v>320</v>
      </c>
      <c r="B129" s="1">
        <v>45308</v>
      </c>
      <c r="C129" t="s">
        <v>321</v>
      </c>
      <c r="D129" t="s">
        <v>170</v>
      </c>
      <c r="E129" t="s">
        <v>171</v>
      </c>
      <c r="F129" t="s">
        <v>31</v>
      </c>
      <c r="G129" t="s">
        <v>21</v>
      </c>
      <c r="H129" t="s">
        <v>93</v>
      </c>
      <c r="I129">
        <v>1</v>
      </c>
      <c r="J129">
        <v>68888.44</v>
      </c>
      <c r="K129">
        <v>0.03</v>
      </c>
      <c r="L129">
        <v>66821.789999999994</v>
      </c>
      <c r="M129" t="s">
        <v>76</v>
      </c>
      <c r="N129" t="s">
        <v>49</v>
      </c>
      <c r="O129" t="s">
        <v>65</v>
      </c>
      <c r="P129" t="s">
        <v>116</v>
      </c>
    </row>
    <row r="130" spans="1:16" x14ac:dyDescent="0.3">
      <c r="A130" t="s">
        <v>322</v>
      </c>
      <c r="B130" s="1">
        <v>45771</v>
      </c>
      <c r="C130" t="s">
        <v>323</v>
      </c>
      <c r="D130" t="s">
        <v>105</v>
      </c>
      <c r="E130" t="s">
        <v>106</v>
      </c>
      <c r="F130" t="s">
        <v>40</v>
      </c>
      <c r="G130" t="s">
        <v>32</v>
      </c>
      <c r="H130" t="s">
        <v>33</v>
      </c>
      <c r="I130">
        <v>4</v>
      </c>
      <c r="J130">
        <v>7277.11</v>
      </c>
      <c r="K130">
        <v>0.08</v>
      </c>
      <c r="L130">
        <v>26779.759999999998</v>
      </c>
      <c r="M130" t="s">
        <v>48</v>
      </c>
      <c r="N130" t="s">
        <v>49</v>
      </c>
      <c r="O130" t="s">
        <v>25</v>
      </c>
      <c r="P130" t="s">
        <v>50</v>
      </c>
    </row>
    <row r="131" spans="1:16" x14ac:dyDescent="0.3">
      <c r="A131" t="s">
        <v>324</v>
      </c>
      <c r="B131" s="1">
        <v>45674</v>
      </c>
      <c r="C131" t="s">
        <v>325</v>
      </c>
      <c r="D131" t="s">
        <v>62</v>
      </c>
      <c r="E131" t="s">
        <v>63</v>
      </c>
      <c r="F131" t="s">
        <v>31</v>
      </c>
      <c r="G131" t="s">
        <v>21</v>
      </c>
      <c r="H131" t="s">
        <v>126</v>
      </c>
      <c r="I131">
        <v>5</v>
      </c>
      <c r="J131">
        <v>2932.62</v>
      </c>
      <c r="K131">
        <v>0</v>
      </c>
      <c r="L131">
        <v>14663.1</v>
      </c>
      <c r="M131" t="s">
        <v>76</v>
      </c>
      <c r="N131" t="s">
        <v>24</v>
      </c>
      <c r="O131" t="s">
        <v>25</v>
      </c>
      <c r="P131" t="s">
        <v>72</v>
      </c>
    </row>
    <row r="132" spans="1:16" x14ac:dyDescent="0.3">
      <c r="A132" t="s">
        <v>326</v>
      </c>
      <c r="B132" s="1">
        <v>45996</v>
      </c>
      <c r="C132" t="s">
        <v>327</v>
      </c>
      <c r="D132" t="s">
        <v>62</v>
      </c>
      <c r="E132" t="s">
        <v>63</v>
      </c>
      <c r="F132" t="s">
        <v>31</v>
      </c>
      <c r="G132" t="s">
        <v>21</v>
      </c>
      <c r="H132" t="s">
        <v>93</v>
      </c>
      <c r="I132">
        <v>2</v>
      </c>
      <c r="J132">
        <v>2642.92</v>
      </c>
      <c r="K132">
        <v>0.03</v>
      </c>
      <c r="L132">
        <v>5127.26</v>
      </c>
      <c r="M132" t="s">
        <v>48</v>
      </c>
      <c r="N132" t="s">
        <v>58</v>
      </c>
      <c r="O132" t="s">
        <v>65</v>
      </c>
      <c r="P132" t="s">
        <v>26</v>
      </c>
    </row>
    <row r="133" spans="1:16" x14ac:dyDescent="0.3">
      <c r="A133" t="s">
        <v>328</v>
      </c>
      <c r="B133" s="1">
        <v>45473</v>
      </c>
      <c r="C133" t="s">
        <v>329</v>
      </c>
      <c r="D133" t="s">
        <v>62</v>
      </c>
      <c r="E133" t="s">
        <v>63</v>
      </c>
      <c r="F133" t="s">
        <v>31</v>
      </c>
      <c r="G133" t="s">
        <v>32</v>
      </c>
      <c r="H133" t="s">
        <v>33</v>
      </c>
      <c r="I133">
        <v>5</v>
      </c>
      <c r="J133">
        <v>2671.04</v>
      </c>
      <c r="K133">
        <v>0.2</v>
      </c>
      <c r="L133">
        <v>10684.16</v>
      </c>
      <c r="M133" t="s">
        <v>48</v>
      </c>
      <c r="N133" t="s">
        <v>49</v>
      </c>
      <c r="O133" t="s">
        <v>65</v>
      </c>
      <c r="P133" t="s">
        <v>102</v>
      </c>
    </row>
    <row r="134" spans="1:16" x14ac:dyDescent="0.3">
      <c r="A134" t="s">
        <v>330</v>
      </c>
      <c r="B134" s="1">
        <v>45881</v>
      </c>
      <c r="C134" t="s">
        <v>331</v>
      </c>
      <c r="D134" t="s">
        <v>105</v>
      </c>
      <c r="E134" t="s">
        <v>106</v>
      </c>
      <c r="F134" t="s">
        <v>40</v>
      </c>
      <c r="G134" t="s">
        <v>56</v>
      </c>
      <c r="H134" t="s">
        <v>101</v>
      </c>
      <c r="I134">
        <v>3</v>
      </c>
      <c r="J134">
        <v>7466.27</v>
      </c>
      <c r="K134">
        <v>0</v>
      </c>
      <c r="L134">
        <v>22398.81</v>
      </c>
      <c r="M134" t="s">
        <v>48</v>
      </c>
      <c r="N134" t="s">
        <v>34</v>
      </c>
      <c r="O134" t="s">
        <v>65</v>
      </c>
      <c r="P134" t="s">
        <v>59</v>
      </c>
    </row>
    <row r="135" spans="1:16" x14ac:dyDescent="0.3">
      <c r="A135" t="s">
        <v>332</v>
      </c>
      <c r="B135" s="1">
        <v>45387</v>
      </c>
      <c r="C135" t="s">
        <v>28</v>
      </c>
      <c r="D135" t="s">
        <v>18</v>
      </c>
      <c r="E135" t="s">
        <v>19</v>
      </c>
      <c r="F135" t="s">
        <v>20</v>
      </c>
      <c r="G135" t="s">
        <v>32</v>
      </c>
      <c r="H135" t="s">
        <v>68</v>
      </c>
      <c r="I135">
        <v>4</v>
      </c>
      <c r="J135">
        <v>890.54</v>
      </c>
      <c r="K135">
        <v>0.2</v>
      </c>
      <c r="L135">
        <v>2849.73</v>
      </c>
      <c r="M135" t="s">
        <v>23</v>
      </c>
      <c r="N135" t="s">
        <v>58</v>
      </c>
      <c r="O135" t="s">
        <v>65</v>
      </c>
      <c r="P135" t="s">
        <v>26</v>
      </c>
    </row>
    <row r="136" spans="1:16" x14ac:dyDescent="0.3">
      <c r="A136" t="s">
        <v>333</v>
      </c>
      <c r="B136" s="1">
        <v>45707</v>
      </c>
      <c r="C136" t="s">
        <v>334</v>
      </c>
      <c r="D136" t="s">
        <v>170</v>
      </c>
      <c r="E136" t="s">
        <v>171</v>
      </c>
      <c r="F136" t="s">
        <v>31</v>
      </c>
      <c r="G136" t="s">
        <v>81</v>
      </c>
      <c r="H136" t="s">
        <v>135</v>
      </c>
      <c r="I136">
        <v>5</v>
      </c>
      <c r="J136">
        <v>67280.850000000006</v>
      </c>
      <c r="K136">
        <v>0.2</v>
      </c>
      <c r="L136">
        <v>269123.40000000002</v>
      </c>
      <c r="M136" t="s">
        <v>48</v>
      </c>
      <c r="N136" t="s">
        <v>49</v>
      </c>
      <c r="O136" t="s">
        <v>65</v>
      </c>
      <c r="P136" t="s">
        <v>26</v>
      </c>
    </row>
    <row r="137" spans="1:16" x14ac:dyDescent="0.3">
      <c r="A137" t="s">
        <v>335</v>
      </c>
      <c r="B137" s="1">
        <v>45583</v>
      </c>
      <c r="C137" t="s">
        <v>336</v>
      </c>
      <c r="D137" t="s">
        <v>105</v>
      </c>
      <c r="E137" t="s">
        <v>106</v>
      </c>
      <c r="F137" t="s">
        <v>40</v>
      </c>
      <c r="G137" t="s">
        <v>21</v>
      </c>
      <c r="H137" t="s">
        <v>126</v>
      </c>
      <c r="I137">
        <v>3</v>
      </c>
      <c r="J137">
        <v>7095.33</v>
      </c>
      <c r="K137">
        <v>0.1</v>
      </c>
      <c r="L137">
        <v>19157.39</v>
      </c>
      <c r="M137" t="s">
        <v>76</v>
      </c>
      <c r="N137" t="s">
        <v>34</v>
      </c>
      <c r="O137" t="s">
        <v>65</v>
      </c>
      <c r="P137" t="s">
        <v>59</v>
      </c>
    </row>
    <row r="138" spans="1:16" x14ac:dyDescent="0.3">
      <c r="A138" t="s">
        <v>337</v>
      </c>
      <c r="B138" s="1">
        <v>45353</v>
      </c>
      <c r="C138" t="s">
        <v>166</v>
      </c>
      <c r="D138" t="s">
        <v>45</v>
      </c>
      <c r="E138" t="s">
        <v>46</v>
      </c>
      <c r="F138" t="s">
        <v>31</v>
      </c>
      <c r="G138" t="s">
        <v>56</v>
      </c>
      <c r="H138" t="s">
        <v>123</v>
      </c>
      <c r="I138">
        <v>2</v>
      </c>
      <c r="J138">
        <v>1693.76</v>
      </c>
      <c r="K138">
        <v>0.05</v>
      </c>
      <c r="L138">
        <v>3218.14</v>
      </c>
      <c r="M138" t="s">
        <v>23</v>
      </c>
      <c r="N138" t="s">
        <v>58</v>
      </c>
      <c r="O138" t="s">
        <v>35</v>
      </c>
      <c r="P138" t="s">
        <v>72</v>
      </c>
    </row>
    <row r="139" spans="1:16" x14ac:dyDescent="0.3">
      <c r="A139" t="s">
        <v>338</v>
      </c>
      <c r="B139" s="1">
        <v>45601</v>
      </c>
      <c r="C139" t="s">
        <v>339</v>
      </c>
      <c r="D139" t="s">
        <v>170</v>
      </c>
      <c r="E139" t="s">
        <v>171</v>
      </c>
      <c r="F139" t="s">
        <v>31</v>
      </c>
      <c r="G139" t="s">
        <v>32</v>
      </c>
      <c r="H139" t="s">
        <v>47</v>
      </c>
      <c r="I139">
        <v>4</v>
      </c>
      <c r="J139">
        <v>60828.81</v>
      </c>
      <c r="K139">
        <v>0.03</v>
      </c>
      <c r="L139">
        <v>236015.78</v>
      </c>
      <c r="M139" t="s">
        <v>76</v>
      </c>
      <c r="N139" t="s">
        <v>34</v>
      </c>
      <c r="O139" t="s">
        <v>65</v>
      </c>
      <c r="P139" t="s">
        <v>42</v>
      </c>
    </row>
    <row r="140" spans="1:16" x14ac:dyDescent="0.3">
      <c r="A140" t="s">
        <v>340</v>
      </c>
      <c r="B140" s="1">
        <v>45727</v>
      </c>
      <c r="C140" t="s">
        <v>341</v>
      </c>
      <c r="D140" t="s">
        <v>79</v>
      </c>
      <c r="E140" t="s">
        <v>80</v>
      </c>
      <c r="F140" t="s">
        <v>31</v>
      </c>
      <c r="G140" t="s">
        <v>32</v>
      </c>
      <c r="H140" t="s">
        <v>33</v>
      </c>
      <c r="I140">
        <v>1</v>
      </c>
      <c r="J140">
        <v>12436.83</v>
      </c>
      <c r="K140">
        <v>0.08</v>
      </c>
      <c r="L140">
        <v>11441.88</v>
      </c>
      <c r="M140" t="s">
        <v>23</v>
      </c>
      <c r="N140" t="s">
        <v>71</v>
      </c>
      <c r="O140" t="s">
        <v>65</v>
      </c>
      <c r="P140" t="s">
        <v>72</v>
      </c>
    </row>
    <row r="141" spans="1:16" x14ac:dyDescent="0.3">
      <c r="A141" t="s">
        <v>342</v>
      </c>
      <c r="B141" s="1">
        <v>45731</v>
      </c>
      <c r="C141" t="s">
        <v>343</v>
      </c>
      <c r="D141" t="s">
        <v>96</v>
      </c>
      <c r="E141" t="s">
        <v>97</v>
      </c>
      <c r="F141" t="s">
        <v>31</v>
      </c>
      <c r="G141" t="s">
        <v>32</v>
      </c>
      <c r="H141" t="s">
        <v>68</v>
      </c>
      <c r="I141">
        <v>2</v>
      </c>
      <c r="J141">
        <v>1199.1400000000001</v>
      </c>
      <c r="K141">
        <v>0.1</v>
      </c>
      <c r="L141">
        <v>2158.4499999999998</v>
      </c>
      <c r="M141" t="s">
        <v>23</v>
      </c>
      <c r="N141" t="s">
        <v>58</v>
      </c>
      <c r="O141" t="s">
        <v>65</v>
      </c>
      <c r="P141" t="s">
        <v>42</v>
      </c>
    </row>
    <row r="142" spans="1:16" x14ac:dyDescent="0.3">
      <c r="A142" t="s">
        <v>344</v>
      </c>
      <c r="B142" s="1">
        <v>45577</v>
      </c>
      <c r="C142" t="s">
        <v>345</v>
      </c>
      <c r="D142" t="s">
        <v>18</v>
      </c>
      <c r="E142" t="s">
        <v>19</v>
      </c>
      <c r="F142" t="s">
        <v>20</v>
      </c>
      <c r="G142" t="s">
        <v>56</v>
      </c>
      <c r="H142" t="s">
        <v>101</v>
      </c>
      <c r="I142">
        <v>5</v>
      </c>
      <c r="J142">
        <v>915.9</v>
      </c>
      <c r="K142">
        <v>0.15</v>
      </c>
      <c r="L142">
        <v>3892.57</v>
      </c>
      <c r="M142" t="s">
        <v>48</v>
      </c>
      <c r="N142" t="s">
        <v>58</v>
      </c>
      <c r="O142" t="s">
        <v>25</v>
      </c>
      <c r="P142" t="s">
        <v>116</v>
      </c>
    </row>
    <row r="143" spans="1:16" x14ac:dyDescent="0.3">
      <c r="A143" t="s">
        <v>346</v>
      </c>
      <c r="B143" s="1">
        <v>45357</v>
      </c>
      <c r="C143" t="s">
        <v>159</v>
      </c>
      <c r="D143" t="s">
        <v>121</v>
      </c>
      <c r="E143" t="s">
        <v>122</v>
      </c>
      <c r="F143" t="s">
        <v>55</v>
      </c>
      <c r="G143" t="s">
        <v>81</v>
      </c>
      <c r="H143" t="s">
        <v>98</v>
      </c>
      <c r="I143">
        <v>5</v>
      </c>
      <c r="J143">
        <v>453.81</v>
      </c>
      <c r="K143">
        <v>0.05</v>
      </c>
      <c r="L143">
        <v>2155.6</v>
      </c>
      <c r="M143" t="s">
        <v>48</v>
      </c>
      <c r="N143" t="s">
        <v>34</v>
      </c>
      <c r="O143" t="s">
        <v>35</v>
      </c>
      <c r="P143" t="s">
        <v>116</v>
      </c>
    </row>
    <row r="144" spans="1:16" x14ac:dyDescent="0.3">
      <c r="A144" t="s">
        <v>347</v>
      </c>
      <c r="B144" s="1">
        <v>45659</v>
      </c>
      <c r="C144" t="s">
        <v>348</v>
      </c>
      <c r="D144" t="s">
        <v>85</v>
      </c>
      <c r="E144" t="s">
        <v>86</v>
      </c>
      <c r="F144" t="s">
        <v>20</v>
      </c>
      <c r="G144" t="s">
        <v>21</v>
      </c>
      <c r="H144" t="s">
        <v>22</v>
      </c>
      <c r="I144">
        <v>1</v>
      </c>
      <c r="J144">
        <v>1702.17</v>
      </c>
      <c r="K144">
        <v>0</v>
      </c>
      <c r="L144">
        <v>1702.17</v>
      </c>
      <c r="M144" t="s">
        <v>48</v>
      </c>
      <c r="N144" t="s">
        <v>58</v>
      </c>
      <c r="O144" t="s">
        <v>65</v>
      </c>
      <c r="P144" t="s">
        <v>116</v>
      </c>
    </row>
    <row r="145" spans="1:16" x14ac:dyDescent="0.3">
      <c r="A145" t="s">
        <v>349</v>
      </c>
      <c r="B145" s="1">
        <v>45962</v>
      </c>
      <c r="C145" t="s">
        <v>350</v>
      </c>
      <c r="D145" t="s">
        <v>18</v>
      </c>
      <c r="E145" t="s">
        <v>19</v>
      </c>
      <c r="F145" t="s">
        <v>20</v>
      </c>
      <c r="G145" t="s">
        <v>56</v>
      </c>
      <c r="H145" t="s">
        <v>57</v>
      </c>
      <c r="I145">
        <v>5</v>
      </c>
      <c r="J145">
        <v>837.06</v>
      </c>
      <c r="K145">
        <v>0.05</v>
      </c>
      <c r="L145">
        <v>3976.03</v>
      </c>
      <c r="M145" t="s">
        <v>23</v>
      </c>
      <c r="N145" t="s">
        <v>49</v>
      </c>
      <c r="O145" t="s">
        <v>65</v>
      </c>
      <c r="P145" t="s">
        <v>50</v>
      </c>
    </row>
    <row r="146" spans="1:16" x14ac:dyDescent="0.3">
      <c r="A146" t="s">
        <v>351</v>
      </c>
      <c r="B146" s="1">
        <v>45842</v>
      </c>
      <c r="C146" t="s">
        <v>352</v>
      </c>
      <c r="D146" t="s">
        <v>89</v>
      </c>
      <c r="E146" t="s">
        <v>90</v>
      </c>
      <c r="F146" t="s">
        <v>20</v>
      </c>
      <c r="G146" t="s">
        <v>56</v>
      </c>
      <c r="H146" t="s">
        <v>123</v>
      </c>
      <c r="I146">
        <v>1</v>
      </c>
      <c r="J146">
        <v>655.24</v>
      </c>
      <c r="K146">
        <v>0.03</v>
      </c>
      <c r="L146">
        <v>635.58000000000004</v>
      </c>
      <c r="M146" t="s">
        <v>23</v>
      </c>
      <c r="N146" t="s">
        <v>71</v>
      </c>
      <c r="O146" t="s">
        <v>25</v>
      </c>
      <c r="P146" t="s">
        <v>116</v>
      </c>
    </row>
    <row r="147" spans="1:16" x14ac:dyDescent="0.3">
      <c r="A147" t="s">
        <v>353</v>
      </c>
      <c r="B147" s="1">
        <v>45455</v>
      </c>
      <c r="C147" t="s">
        <v>206</v>
      </c>
      <c r="D147" t="s">
        <v>176</v>
      </c>
      <c r="E147" t="s">
        <v>177</v>
      </c>
      <c r="F147" t="s">
        <v>31</v>
      </c>
      <c r="G147" t="s">
        <v>56</v>
      </c>
      <c r="H147" t="s">
        <v>101</v>
      </c>
      <c r="I147">
        <v>1</v>
      </c>
      <c r="J147">
        <v>2110.33</v>
      </c>
      <c r="K147">
        <v>0.08</v>
      </c>
      <c r="L147">
        <v>1941.5</v>
      </c>
      <c r="M147" t="s">
        <v>23</v>
      </c>
      <c r="N147" t="s">
        <v>34</v>
      </c>
      <c r="O147" t="s">
        <v>65</v>
      </c>
      <c r="P147" t="s">
        <v>111</v>
      </c>
    </row>
    <row r="148" spans="1:16" x14ac:dyDescent="0.3">
      <c r="A148" t="s">
        <v>354</v>
      </c>
      <c r="B148" s="1">
        <v>45973</v>
      </c>
      <c r="C148" t="s">
        <v>355</v>
      </c>
      <c r="D148" t="s">
        <v>105</v>
      </c>
      <c r="E148" t="s">
        <v>106</v>
      </c>
      <c r="F148" t="s">
        <v>40</v>
      </c>
      <c r="G148" t="s">
        <v>21</v>
      </c>
      <c r="H148" t="s">
        <v>93</v>
      </c>
      <c r="I148">
        <v>3</v>
      </c>
      <c r="J148">
        <v>6906.01</v>
      </c>
      <c r="K148">
        <v>0.15</v>
      </c>
      <c r="L148">
        <v>17610.330000000002</v>
      </c>
      <c r="M148" t="s">
        <v>23</v>
      </c>
      <c r="N148" t="s">
        <v>71</v>
      </c>
      <c r="O148" t="s">
        <v>25</v>
      </c>
      <c r="P148" t="s">
        <v>72</v>
      </c>
    </row>
    <row r="149" spans="1:16" x14ac:dyDescent="0.3">
      <c r="A149" t="s">
        <v>356</v>
      </c>
      <c r="B149" s="1">
        <v>46101</v>
      </c>
      <c r="C149" t="s">
        <v>357</v>
      </c>
      <c r="D149" t="s">
        <v>170</v>
      </c>
      <c r="E149" t="s">
        <v>171</v>
      </c>
      <c r="F149" t="s">
        <v>31</v>
      </c>
      <c r="G149" t="s">
        <v>32</v>
      </c>
      <c r="H149" t="s">
        <v>75</v>
      </c>
      <c r="I149">
        <v>2</v>
      </c>
      <c r="J149">
        <v>64902.32</v>
      </c>
      <c r="K149">
        <v>0.08</v>
      </c>
      <c r="L149">
        <v>119420.27</v>
      </c>
      <c r="M149" t="s">
        <v>76</v>
      </c>
      <c r="N149" t="s">
        <v>24</v>
      </c>
      <c r="O149" t="s">
        <v>35</v>
      </c>
      <c r="P149" t="s">
        <v>59</v>
      </c>
    </row>
    <row r="150" spans="1:16" x14ac:dyDescent="0.3">
      <c r="A150" t="s">
        <v>358</v>
      </c>
      <c r="B150" s="1">
        <v>45621</v>
      </c>
      <c r="C150" t="s">
        <v>186</v>
      </c>
      <c r="D150" t="s">
        <v>96</v>
      </c>
      <c r="E150" t="s">
        <v>97</v>
      </c>
      <c r="F150" t="s">
        <v>31</v>
      </c>
      <c r="G150" t="s">
        <v>56</v>
      </c>
      <c r="H150" t="s">
        <v>57</v>
      </c>
      <c r="I150">
        <v>1</v>
      </c>
      <c r="J150">
        <v>1196.55</v>
      </c>
      <c r="K150">
        <v>0.03</v>
      </c>
      <c r="L150">
        <v>1160.6500000000001</v>
      </c>
      <c r="M150" t="s">
        <v>48</v>
      </c>
      <c r="N150" t="s">
        <v>71</v>
      </c>
      <c r="O150" t="s">
        <v>65</v>
      </c>
      <c r="P150" t="s">
        <v>42</v>
      </c>
    </row>
    <row r="151" spans="1:16" x14ac:dyDescent="0.3">
      <c r="A151" t="s">
        <v>359</v>
      </c>
      <c r="B151" s="1">
        <v>45797</v>
      </c>
      <c r="C151" t="s">
        <v>334</v>
      </c>
      <c r="D151" t="s">
        <v>89</v>
      </c>
      <c r="E151" t="s">
        <v>90</v>
      </c>
      <c r="F151" t="s">
        <v>20</v>
      </c>
      <c r="G151" t="s">
        <v>81</v>
      </c>
      <c r="H151" t="s">
        <v>98</v>
      </c>
      <c r="I151">
        <v>1</v>
      </c>
      <c r="J151">
        <v>647.37</v>
      </c>
      <c r="K151">
        <v>0.03</v>
      </c>
      <c r="L151">
        <v>627.95000000000005</v>
      </c>
      <c r="M151" t="s">
        <v>23</v>
      </c>
      <c r="N151" t="s">
        <v>34</v>
      </c>
      <c r="O151" t="s">
        <v>65</v>
      </c>
      <c r="P151" t="s">
        <v>42</v>
      </c>
    </row>
    <row r="152" spans="1:16" x14ac:dyDescent="0.3">
      <c r="A152" t="s">
        <v>360</v>
      </c>
      <c r="B152" s="1">
        <v>46126</v>
      </c>
      <c r="C152" t="s">
        <v>225</v>
      </c>
      <c r="D152" t="s">
        <v>176</v>
      </c>
      <c r="E152" t="s">
        <v>177</v>
      </c>
      <c r="F152" t="s">
        <v>31</v>
      </c>
      <c r="G152" t="s">
        <v>81</v>
      </c>
      <c r="H152" t="s">
        <v>82</v>
      </c>
      <c r="I152">
        <v>3</v>
      </c>
      <c r="J152">
        <v>2211.2199999999998</v>
      </c>
      <c r="K152">
        <v>0.2</v>
      </c>
      <c r="L152">
        <v>5306.93</v>
      </c>
      <c r="M152" t="s">
        <v>23</v>
      </c>
      <c r="N152" t="s">
        <v>34</v>
      </c>
      <c r="O152" t="s">
        <v>25</v>
      </c>
      <c r="P152" t="s">
        <v>50</v>
      </c>
    </row>
    <row r="153" spans="1:16" x14ac:dyDescent="0.3">
      <c r="A153" t="s">
        <v>361</v>
      </c>
      <c r="B153" s="1">
        <v>46038</v>
      </c>
      <c r="C153" t="s">
        <v>362</v>
      </c>
      <c r="D153" t="s">
        <v>38</v>
      </c>
      <c r="E153" t="s">
        <v>39</v>
      </c>
      <c r="F153" t="s">
        <v>40</v>
      </c>
      <c r="G153" t="s">
        <v>21</v>
      </c>
      <c r="H153" t="s">
        <v>41</v>
      </c>
      <c r="I153">
        <v>2</v>
      </c>
      <c r="J153">
        <v>1511.14</v>
      </c>
      <c r="K153">
        <v>0.08</v>
      </c>
      <c r="L153">
        <v>2780.5</v>
      </c>
      <c r="M153" t="s">
        <v>48</v>
      </c>
      <c r="N153" t="s">
        <v>58</v>
      </c>
      <c r="O153" t="s">
        <v>65</v>
      </c>
      <c r="P153" t="s">
        <v>72</v>
      </c>
    </row>
    <row r="154" spans="1:16" x14ac:dyDescent="0.3">
      <c r="A154" t="s">
        <v>363</v>
      </c>
      <c r="B154" s="1">
        <v>46141</v>
      </c>
      <c r="C154" t="s">
        <v>306</v>
      </c>
      <c r="D154" t="s">
        <v>105</v>
      </c>
      <c r="E154" t="s">
        <v>106</v>
      </c>
      <c r="F154" t="s">
        <v>40</v>
      </c>
      <c r="G154" t="s">
        <v>81</v>
      </c>
      <c r="H154" t="s">
        <v>82</v>
      </c>
      <c r="I154">
        <v>4</v>
      </c>
      <c r="J154">
        <v>7488.97</v>
      </c>
      <c r="K154">
        <v>0.1</v>
      </c>
      <c r="L154">
        <v>26960.29</v>
      </c>
      <c r="M154" t="s">
        <v>48</v>
      </c>
      <c r="N154" t="s">
        <v>34</v>
      </c>
      <c r="O154" t="s">
        <v>65</v>
      </c>
      <c r="P154" t="s">
        <v>50</v>
      </c>
    </row>
    <row r="155" spans="1:16" x14ac:dyDescent="0.3">
      <c r="A155" t="s">
        <v>364</v>
      </c>
      <c r="B155" s="1">
        <v>46134</v>
      </c>
      <c r="C155" t="s">
        <v>365</v>
      </c>
      <c r="D155" t="s">
        <v>53</v>
      </c>
      <c r="E155" t="s">
        <v>54</v>
      </c>
      <c r="F155" t="s">
        <v>55</v>
      </c>
      <c r="G155" t="s">
        <v>56</v>
      </c>
      <c r="H155" t="s">
        <v>57</v>
      </c>
      <c r="I155">
        <v>2</v>
      </c>
      <c r="J155">
        <v>202.48</v>
      </c>
      <c r="K155">
        <v>0.1</v>
      </c>
      <c r="L155">
        <v>364.46</v>
      </c>
      <c r="M155" t="s">
        <v>23</v>
      </c>
      <c r="N155" t="s">
        <v>58</v>
      </c>
      <c r="O155" t="s">
        <v>25</v>
      </c>
      <c r="P155" t="s">
        <v>72</v>
      </c>
    </row>
    <row r="156" spans="1:16" x14ac:dyDescent="0.3">
      <c r="A156" t="s">
        <v>366</v>
      </c>
      <c r="B156" s="1">
        <v>45654</v>
      </c>
      <c r="C156" t="s">
        <v>238</v>
      </c>
      <c r="D156" t="s">
        <v>121</v>
      </c>
      <c r="E156" t="s">
        <v>122</v>
      </c>
      <c r="F156" t="s">
        <v>55</v>
      </c>
      <c r="G156" t="s">
        <v>32</v>
      </c>
      <c r="H156" t="s">
        <v>33</v>
      </c>
      <c r="I156">
        <v>1</v>
      </c>
      <c r="J156">
        <v>459.52</v>
      </c>
      <c r="K156">
        <v>0.08</v>
      </c>
      <c r="L156">
        <v>422.76</v>
      </c>
      <c r="M156" t="s">
        <v>76</v>
      </c>
      <c r="N156" t="s">
        <v>71</v>
      </c>
      <c r="O156" t="s">
        <v>25</v>
      </c>
      <c r="P156" t="s">
        <v>26</v>
      </c>
    </row>
    <row r="157" spans="1:16" x14ac:dyDescent="0.3">
      <c r="A157" t="s">
        <v>367</v>
      </c>
      <c r="B157" s="1">
        <v>45583</v>
      </c>
      <c r="C157" t="s">
        <v>115</v>
      </c>
      <c r="D157" t="s">
        <v>121</v>
      </c>
      <c r="E157" t="s">
        <v>122</v>
      </c>
      <c r="F157" t="s">
        <v>55</v>
      </c>
      <c r="G157" t="s">
        <v>21</v>
      </c>
      <c r="H157" t="s">
        <v>126</v>
      </c>
      <c r="I157">
        <v>4</v>
      </c>
      <c r="J157">
        <v>461.52</v>
      </c>
      <c r="K157">
        <v>0.08</v>
      </c>
      <c r="L157">
        <v>1698.39</v>
      </c>
      <c r="M157" t="s">
        <v>23</v>
      </c>
      <c r="N157" t="s">
        <v>24</v>
      </c>
      <c r="O157" t="s">
        <v>65</v>
      </c>
      <c r="P157" t="s">
        <v>102</v>
      </c>
    </row>
    <row r="158" spans="1:16" x14ac:dyDescent="0.3">
      <c r="A158" t="s">
        <v>368</v>
      </c>
      <c r="B158" s="1">
        <v>45771</v>
      </c>
      <c r="C158" t="s">
        <v>208</v>
      </c>
      <c r="D158" t="s">
        <v>105</v>
      </c>
      <c r="E158" t="s">
        <v>106</v>
      </c>
      <c r="F158" t="s">
        <v>40</v>
      </c>
      <c r="G158" t="s">
        <v>21</v>
      </c>
      <c r="H158" t="s">
        <v>126</v>
      </c>
      <c r="I158">
        <v>1</v>
      </c>
      <c r="J158">
        <v>7598.6</v>
      </c>
      <c r="K158">
        <v>0</v>
      </c>
      <c r="L158">
        <v>7598.6</v>
      </c>
      <c r="M158" t="s">
        <v>23</v>
      </c>
      <c r="N158" t="s">
        <v>34</v>
      </c>
      <c r="O158" t="s">
        <v>65</v>
      </c>
      <c r="P158" t="s">
        <v>42</v>
      </c>
    </row>
    <row r="159" spans="1:16" x14ac:dyDescent="0.3">
      <c r="A159" t="s">
        <v>369</v>
      </c>
      <c r="B159" s="1">
        <v>46105</v>
      </c>
      <c r="C159" t="s">
        <v>370</v>
      </c>
      <c r="D159" t="s">
        <v>18</v>
      </c>
      <c r="E159" t="s">
        <v>19</v>
      </c>
      <c r="F159" t="s">
        <v>20</v>
      </c>
      <c r="G159" t="s">
        <v>21</v>
      </c>
      <c r="H159" t="s">
        <v>126</v>
      </c>
      <c r="I159">
        <v>2</v>
      </c>
      <c r="J159">
        <v>854.27</v>
      </c>
      <c r="K159">
        <v>0.2</v>
      </c>
      <c r="L159">
        <v>1366.83</v>
      </c>
      <c r="M159" t="s">
        <v>23</v>
      </c>
      <c r="N159" t="s">
        <v>58</v>
      </c>
      <c r="O159" t="s">
        <v>65</v>
      </c>
      <c r="P159" t="s">
        <v>102</v>
      </c>
    </row>
    <row r="160" spans="1:16" x14ac:dyDescent="0.3">
      <c r="A160" t="s">
        <v>371</v>
      </c>
      <c r="B160" s="1">
        <v>45943</v>
      </c>
      <c r="C160" t="s">
        <v>225</v>
      </c>
      <c r="D160" t="s">
        <v>105</v>
      </c>
      <c r="E160" t="s">
        <v>106</v>
      </c>
      <c r="F160" t="s">
        <v>40</v>
      </c>
      <c r="G160" t="s">
        <v>21</v>
      </c>
      <c r="H160" t="s">
        <v>22</v>
      </c>
      <c r="I160">
        <v>4</v>
      </c>
      <c r="J160">
        <v>7271.22</v>
      </c>
      <c r="K160">
        <v>0.05</v>
      </c>
      <c r="L160">
        <v>27630.639999999999</v>
      </c>
      <c r="M160" t="s">
        <v>48</v>
      </c>
      <c r="N160" t="s">
        <v>24</v>
      </c>
      <c r="O160" t="s">
        <v>65</v>
      </c>
      <c r="P160" t="s">
        <v>26</v>
      </c>
    </row>
    <row r="161" spans="1:16" x14ac:dyDescent="0.3">
      <c r="A161" t="s">
        <v>372</v>
      </c>
      <c r="B161" s="1">
        <v>46119</v>
      </c>
      <c r="C161" t="s">
        <v>373</v>
      </c>
      <c r="D161" t="s">
        <v>131</v>
      </c>
      <c r="E161" t="s">
        <v>132</v>
      </c>
      <c r="F161" t="s">
        <v>40</v>
      </c>
      <c r="G161" t="s">
        <v>56</v>
      </c>
      <c r="H161" t="s">
        <v>123</v>
      </c>
      <c r="I161">
        <v>1</v>
      </c>
      <c r="J161">
        <v>9260.39</v>
      </c>
      <c r="K161">
        <v>0.1</v>
      </c>
      <c r="L161">
        <v>8334.35</v>
      </c>
      <c r="M161" t="s">
        <v>76</v>
      </c>
      <c r="N161" t="s">
        <v>24</v>
      </c>
      <c r="O161" t="s">
        <v>65</v>
      </c>
      <c r="P161" t="s">
        <v>50</v>
      </c>
    </row>
    <row r="162" spans="1:16" x14ac:dyDescent="0.3">
      <c r="A162" t="s">
        <v>374</v>
      </c>
      <c r="B162" s="1">
        <v>46046</v>
      </c>
      <c r="C162" t="s">
        <v>375</v>
      </c>
      <c r="D162" t="s">
        <v>96</v>
      </c>
      <c r="E162" t="s">
        <v>97</v>
      </c>
      <c r="F162" t="s">
        <v>31</v>
      </c>
      <c r="G162" t="s">
        <v>56</v>
      </c>
      <c r="H162" t="s">
        <v>123</v>
      </c>
      <c r="I162">
        <v>4</v>
      </c>
      <c r="J162">
        <v>1231.28</v>
      </c>
      <c r="K162">
        <v>0</v>
      </c>
      <c r="L162">
        <v>4925.12</v>
      </c>
      <c r="M162" t="s">
        <v>23</v>
      </c>
      <c r="N162" t="s">
        <v>34</v>
      </c>
      <c r="O162" t="s">
        <v>65</v>
      </c>
      <c r="P162" t="s">
        <v>111</v>
      </c>
    </row>
    <row r="163" spans="1:16" x14ac:dyDescent="0.3">
      <c r="A163" t="s">
        <v>376</v>
      </c>
      <c r="B163" s="1">
        <v>45472</v>
      </c>
      <c r="C163" t="s">
        <v>377</v>
      </c>
      <c r="D163" t="s">
        <v>45</v>
      </c>
      <c r="E163" t="s">
        <v>46</v>
      </c>
      <c r="F163" t="s">
        <v>31</v>
      </c>
      <c r="G163" t="s">
        <v>32</v>
      </c>
      <c r="H163" t="s">
        <v>75</v>
      </c>
      <c r="I163">
        <v>5</v>
      </c>
      <c r="J163">
        <v>1727.04</v>
      </c>
      <c r="K163">
        <v>0.2</v>
      </c>
      <c r="L163">
        <v>6908.16</v>
      </c>
      <c r="M163" t="s">
        <v>23</v>
      </c>
      <c r="N163" t="s">
        <v>71</v>
      </c>
      <c r="O163" t="s">
        <v>25</v>
      </c>
      <c r="P163" t="s">
        <v>42</v>
      </c>
    </row>
    <row r="164" spans="1:16" x14ac:dyDescent="0.3">
      <c r="A164" t="s">
        <v>378</v>
      </c>
      <c r="B164" s="1">
        <v>45990</v>
      </c>
      <c r="C164" t="s">
        <v>379</v>
      </c>
      <c r="D164" t="s">
        <v>45</v>
      </c>
      <c r="E164" t="s">
        <v>46</v>
      </c>
      <c r="F164" t="s">
        <v>31</v>
      </c>
      <c r="G164" t="s">
        <v>260</v>
      </c>
      <c r="H164" t="s">
        <v>101</v>
      </c>
      <c r="I164">
        <v>2</v>
      </c>
      <c r="J164">
        <v>1918.17</v>
      </c>
      <c r="K164">
        <v>0.03</v>
      </c>
      <c r="L164">
        <v>3721.25</v>
      </c>
      <c r="M164" t="s">
        <v>23</v>
      </c>
      <c r="N164" t="s">
        <v>34</v>
      </c>
      <c r="O164" t="s">
        <v>65</v>
      </c>
      <c r="P164" t="s">
        <v>116</v>
      </c>
    </row>
    <row r="165" spans="1:16" x14ac:dyDescent="0.3">
      <c r="A165" t="s">
        <v>380</v>
      </c>
      <c r="B165" s="1">
        <v>45931</v>
      </c>
      <c r="C165" t="s">
        <v>134</v>
      </c>
      <c r="D165" t="s">
        <v>18</v>
      </c>
      <c r="E165" t="s">
        <v>19</v>
      </c>
      <c r="F165" t="s">
        <v>20</v>
      </c>
      <c r="G165" t="s">
        <v>32</v>
      </c>
      <c r="H165" t="s">
        <v>75</v>
      </c>
      <c r="I165">
        <v>3</v>
      </c>
      <c r="J165">
        <v>816.69</v>
      </c>
      <c r="K165">
        <v>0.1</v>
      </c>
      <c r="L165">
        <v>2205.06</v>
      </c>
      <c r="M165" t="s">
        <v>23</v>
      </c>
      <c r="N165" t="s">
        <v>58</v>
      </c>
      <c r="O165" t="s">
        <v>35</v>
      </c>
      <c r="P165" t="s">
        <v>102</v>
      </c>
    </row>
    <row r="166" spans="1:16" x14ac:dyDescent="0.3">
      <c r="A166" t="s">
        <v>381</v>
      </c>
      <c r="B166" s="1">
        <v>45765</v>
      </c>
      <c r="C166" t="s">
        <v>285</v>
      </c>
      <c r="D166" t="s">
        <v>105</v>
      </c>
      <c r="E166" t="s">
        <v>106</v>
      </c>
      <c r="F166" t="s">
        <v>40</v>
      </c>
      <c r="G166" t="s">
        <v>56</v>
      </c>
      <c r="H166" t="s">
        <v>101</v>
      </c>
      <c r="I166">
        <v>4</v>
      </c>
      <c r="J166">
        <v>7084.87</v>
      </c>
      <c r="K166">
        <v>0.08</v>
      </c>
      <c r="L166">
        <v>26072.32</v>
      </c>
      <c r="M166" t="s">
        <v>48</v>
      </c>
      <c r="N166" t="s">
        <v>34</v>
      </c>
      <c r="O166" t="s">
        <v>65</v>
      </c>
      <c r="P166" t="s">
        <v>42</v>
      </c>
    </row>
    <row r="167" spans="1:16" x14ac:dyDescent="0.3">
      <c r="A167" t="s">
        <v>382</v>
      </c>
      <c r="B167" s="1">
        <v>45696</v>
      </c>
      <c r="C167" t="s">
        <v>78</v>
      </c>
      <c r="D167" t="s">
        <v>45</v>
      </c>
      <c r="E167" t="s">
        <v>46</v>
      </c>
      <c r="F167" t="s">
        <v>31</v>
      </c>
      <c r="G167" t="s">
        <v>32</v>
      </c>
      <c r="H167" t="s">
        <v>75</v>
      </c>
      <c r="I167">
        <v>5</v>
      </c>
      <c r="J167">
        <v>1748.8</v>
      </c>
      <c r="K167">
        <v>0.15</v>
      </c>
      <c r="L167">
        <v>7432.4</v>
      </c>
      <c r="M167" t="s">
        <v>48</v>
      </c>
      <c r="N167" t="s">
        <v>24</v>
      </c>
      <c r="O167" t="s">
        <v>65</v>
      </c>
      <c r="P167" t="s">
        <v>26</v>
      </c>
    </row>
    <row r="168" spans="1:16" x14ac:dyDescent="0.3">
      <c r="A168" t="s">
        <v>383</v>
      </c>
      <c r="B168" s="1">
        <v>46033</v>
      </c>
      <c r="C168" t="s">
        <v>377</v>
      </c>
      <c r="D168" t="s">
        <v>105</v>
      </c>
      <c r="E168" t="s">
        <v>106</v>
      </c>
      <c r="F168" t="s">
        <v>40</v>
      </c>
      <c r="G168" t="s">
        <v>32</v>
      </c>
      <c r="H168" t="s">
        <v>33</v>
      </c>
      <c r="I168">
        <v>2</v>
      </c>
      <c r="J168">
        <v>7688.3</v>
      </c>
      <c r="K168">
        <v>0.05</v>
      </c>
      <c r="L168">
        <v>14607.77</v>
      </c>
      <c r="M168" t="s">
        <v>48</v>
      </c>
      <c r="N168" t="s">
        <v>34</v>
      </c>
      <c r="O168" t="s">
        <v>25</v>
      </c>
      <c r="P168" t="s">
        <v>72</v>
      </c>
    </row>
    <row r="169" spans="1:16" x14ac:dyDescent="0.3">
      <c r="A169" t="s">
        <v>384</v>
      </c>
      <c r="B169" s="1">
        <v>45971</v>
      </c>
      <c r="C169" t="s">
        <v>385</v>
      </c>
      <c r="D169" t="s">
        <v>89</v>
      </c>
      <c r="E169" t="s">
        <v>90</v>
      </c>
      <c r="F169" t="s">
        <v>20</v>
      </c>
      <c r="G169" t="s">
        <v>32</v>
      </c>
      <c r="H169" t="s">
        <v>33</v>
      </c>
      <c r="I169">
        <v>2</v>
      </c>
      <c r="J169">
        <v>697.83</v>
      </c>
      <c r="K169">
        <v>0.15</v>
      </c>
      <c r="L169">
        <v>1186.31</v>
      </c>
      <c r="M169" t="s">
        <v>48</v>
      </c>
      <c r="N169" t="s">
        <v>58</v>
      </c>
      <c r="O169" t="s">
        <v>65</v>
      </c>
      <c r="P169" t="s">
        <v>26</v>
      </c>
    </row>
    <row r="170" spans="1:16" x14ac:dyDescent="0.3">
      <c r="A170" t="s">
        <v>386</v>
      </c>
      <c r="B170" s="1">
        <v>45870</v>
      </c>
      <c r="C170" t="s">
        <v>202</v>
      </c>
      <c r="D170" t="s">
        <v>131</v>
      </c>
      <c r="E170" t="s">
        <v>132</v>
      </c>
      <c r="F170" t="s">
        <v>40</v>
      </c>
      <c r="G170" t="s">
        <v>56</v>
      </c>
      <c r="H170" t="s">
        <v>123</v>
      </c>
      <c r="I170">
        <v>2</v>
      </c>
      <c r="J170">
        <v>9363.17</v>
      </c>
      <c r="K170">
        <v>0.08</v>
      </c>
      <c r="L170">
        <v>17228.23</v>
      </c>
      <c r="M170" t="s">
        <v>23</v>
      </c>
      <c r="N170" t="s">
        <v>49</v>
      </c>
      <c r="O170" t="s">
        <v>35</v>
      </c>
      <c r="P170" t="s">
        <v>42</v>
      </c>
    </row>
    <row r="171" spans="1:16" x14ac:dyDescent="0.3">
      <c r="A171" t="s">
        <v>387</v>
      </c>
      <c r="B171" s="1">
        <v>46076</v>
      </c>
      <c r="C171" t="s">
        <v>309</v>
      </c>
      <c r="D171" t="s">
        <v>85</v>
      </c>
      <c r="E171" t="s">
        <v>86</v>
      </c>
      <c r="F171" t="s">
        <v>20</v>
      </c>
      <c r="G171" t="s">
        <v>81</v>
      </c>
      <c r="H171" t="s">
        <v>135</v>
      </c>
      <c r="I171">
        <v>2</v>
      </c>
      <c r="J171">
        <v>1752.81</v>
      </c>
      <c r="K171">
        <v>0</v>
      </c>
      <c r="L171">
        <v>3505.62</v>
      </c>
      <c r="M171" t="s">
        <v>23</v>
      </c>
      <c r="N171" t="s">
        <v>34</v>
      </c>
      <c r="O171" t="s">
        <v>65</v>
      </c>
      <c r="P171" t="s">
        <v>50</v>
      </c>
    </row>
    <row r="172" spans="1:16" x14ac:dyDescent="0.3">
      <c r="A172" t="s">
        <v>388</v>
      </c>
      <c r="B172" s="1">
        <v>45930</v>
      </c>
      <c r="C172" t="s">
        <v>389</v>
      </c>
      <c r="D172" t="s">
        <v>18</v>
      </c>
      <c r="E172" t="s">
        <v>19</v>
      </c>
      <c r="F172" t="s">
        <v>20</v>
      </c>
      <c r="G172" t="s">
        <v>21</v>
      </c>
      <c r="H172" t="s">
        <v>93</v>
      </c>
      <c r="I172">
        <v>1</v>
      </c>
      <c r="J172">
        <v>917.81</v>
      </c>
      <c r="K172">
        <v>0</v>
      </c>
      <c r="L172">
        <v>917.81</v>
      </c>
      <c r="M172" t="s">
        <v>23</v>
      </c>
      <c r="N172" t="s">
        <v>34</v>
      </c>
      <c r="O172" t="s">
        <v>65</v>
      </c>
      <c r="P172" t="s">
        <v>72</v>
      </c>
    </row>
    <row r="173" spans="1:16" x14ac:dyDescent="0.3">
      <c r="A173" t="s">
        <v>390</v>
      </c>
      <c r="B173" s="1">
        <v>45677</v>
      </c>
      <c r="C173" t="s">
        <v>391</v>
      </c>
      <c r="D173" t="s">
        <v>121</v>
      </c>
      <c r="E173" t="s">
        <v>122</v>
      </c>
      <c r="F173" t="s">
        <v>55</v>
      </c>
      <c r="G173" t="s">
        <v>21</v>
      </c>
      <c r="H173" t="s">
        <v>22</v>
      </c>
      <c r="I173">
        <v>5</v>
      </c>
      <c r="J173">
        <v>484.62</v>
      </c>
      <c r="K173">
        <v>0.2</v>
      </c>
      <c r="L173">
        <v>1938.48</v>
      </c>
      <c r="M173" t="s">
        <v>48</v>
      </c>
      <c r="N173" t="s">
        <v>71</v>
      </c>
      <c r="O173" t="s">
        <v>65</v>
      </c>
      <c r="P173" t="s">
        <v>111</v>
      </c>
    </row>
    <row r="174" spans="1:16" x14ac:dyDescent="0.3">
      <c r="A174" t="s">
        <v>392</v>
      </c>
      <c r="B174" s="1">
        <v>45519</v>
      </c>
      <c r="C174" t="s">
        <v>92</v>
      </c>
      <c r="D174" t="s">
        <v>131</v>
      </c>
      <c r="E174" t="s">
        <v>132</v>
      </c>
      <c r="F174" t="s">
        <v>40</v>
      </c>
      <c r="G174" t="s">
        <v>56</v>
      </c>
      <c r="H174" t="s">
        <v>101</v>
      </c>
      <c r="I174">
        <v>5</v>
      </c>
      <c r="J174">
        <v>8910</v>
      </c>
      <c r="K174">
        <v>0.03</v>
      </c>
      <c r="L174">
        <v>43213.5</v>
      </c>
      <c r="M174" t="s">
        <v>48</v>
      </c>
      <c r="N174" t="s">
        <v>24</v>
      </c>
      <c r="O174" t="s">
        <v>65</v>
      </c>
      <c r="P174" t="s">
        <v>50</v>
      </c>
    </row>
    <row r="175" spans="1:16" x14ac:dyDescent="0.3">
      <c r="A175" t="s">
        <v>393</v>
      </c>
      <c r="B175" s="1">
        <v>45678</v>
      </c>
      <c r="C175" t="s">
        <v>394</v>
      </c>
      <c r="D175" t="s">
        <v>53</v>
      </c>
      <c r="E175" t="s">
        <v>54</v>
      </c>
      <c r="F175" t="s">
        <v>55</v>
      </c>
      <c r="G175" t="s">
        <v>21</v>
      </c>
      <c r="H175" t="s">
        <v>126</v>
      </c>
      <c r="I175">
        <v>2</v>
      </c>
      <c r="J175">
        <v>226.55</v>
      </c>
      <c r="K175">
        <v>0.08</v>
      </c>
      <c r="L175">
        <v>416.85</v>
      </c>
      <c r="M175" t="s">
        <v>23</v>
      </c>
      <c r="N175" t="s">
        <v>34</v>
      </c>
      <c r="O175" t="s">
        <v>65</v>
      </c>
      <c r="P175" t="s">
        <v>102</v>
      </c>
    </row>
    <row r="176" spans="1:16" x14ac:dyDescent="0.3">
      <c r="A176" t="s">
        <v>395</v>
      </c>
      <c r="B176" s="1">
        <v>45320</v>
      </c>
      <c r="C176" t="s">
        <v>130</v>
      </c>
      <c r="D176" t="s">
        <v>53</v>
      </c>
      <c r="E176" t="s">
        <v>54</v>
      </c>
      <c r="F176" t="s">
        <v>55</v>
      </c>
      <c r="G176" t="s">
        <v>81</v>
      </c>
      <c r="H176" t="s">
        <v>87</v>
      </c>
      <c r="I176">
        <v>1</v>
      </c>
      <c r="J176">
        <v>236.78</v>
      </c>
      <c r="K176">
        <v>0.1</v>
      </c>
      <c r="L176">
        <v>213.1</v>
      </c>
      <c r="M176" t="s">
        <v>23</v>
      </c>
      <c r="N176" t="s">
        <v>58</v>
      </c>
      <c r="O176" t="s">
        <v>65</v>
      </c>
      <c r="P176" t="s">
        <v>50</v>
      </c>
    </row>
    <row r="177" spans="1:16" x14ac:dyDescent="0.3">
      <c r="A177" t="s">
        <v>396</v>
      </c>
      <c r="B177" s="1">
        <v>45679</v>
      </c>
      <c r="C177" t="s">
        <v>397</v>
      </c>
      <c r="D177" t="s">
        <v>79</v>
      </c>
      <c r="E177" t="s">
        <v>80</v>
      </c>
      <c r="F177" t="s">
        <v>31</v>
      </c>
      <c r="G177" t="s">
        <v>81</v>
      </c>
      <c r="H177" t="s">
        <v>135</v>
      </c>
      <c r="I177">
        <v>2</v>
      </c>
      <c r="J177">
        <v>12206.68</v>
      </c>
      <c r="K177">
        <v>0.1</v>
      </c>
      <c r="L177">
        <v>21972.02</v>
      </c>
      <c r="M177" t="s">
        <v>48</v>
      </c>
      <c r="N177" t="s">
        <v>34</v>
      </c>
      <c r="O177" t="s">
        <v>25</v>
      </c>
      <c r="P177" t="s">
        <v>111</v>
      </c>
    </row>
    <row r="178" spans="1:16" x14ac:dyDescent="0.3">
      <c r="A178" t="s">
        <v>398</v>
      </c>
      <c r="B178" s="1">
        <v>46146</v>
      </c>
      <c r="C178" t="s">
        <v>153</v>
      </c>
      <c r="D178" t="s">
        <v>121</v>
      </c>
      <c r="E178" t="s">
        <v>122</v>
      </c>
      <c r="F178" t="s">
        <v>55</v>
      </c>
      <c r="G178" t="s">
        <v>56</v>
      </c>
      <c r="H178" t="s">
        <v>64</v>
      </c>
      <c r="I178">
        <v>2</v>
      </c>
      <c r="J178">
        <v>471.7</v>
      </c>
      <c r="K178">
        <v>0.03</v>
      </c>
      <c r="L178">
        <v>915.1</v>
      </c>
      <c r="M178" t="s">
        <v>76</v>
      </c>
      <c r="N178" t="s">
        <v>58</v>
      </c>
      <c r="O178" t="s">
        <v>25</v>
      </c>
      <c r="P178" t="s">
        <v>42</v>
      </c>
    </row>
    <row r="179" spans="1:16" x14ac:dyDescent="0.3">
      <c r="A179" t="s">
        <v>399</v>
      </c>
      <c r="B179" s="1">
        <v>45423</v>
      </c>
      <c r="C179" t="s">
        <v>134</v>
      </c>
      <c r="D179" t="s">
        <v>85</v>
      </c>
      <c r="E179" t="s">
        <v>86</v>
      </c>
      <c r="F179" t="s">
        <v>20</v>
      </c>
      <c r="G179" t="s">
        <v>32</v>
      </c>
      <c r="H179" t="s">
        <v>75</v>
      </c>
      <c r="I179">
        <v>5</v>
      </c>
      <c r="J179">
        <v>1700.22</v>
      </c>
      <c r="K179">
        <v>0</v>
      </c>
      <c r="L179">
        <v>8501.1</v>
      </c>
      <c r="M179" t="s">
        <v>23</v>
      </c>
      <c r="N179" t="s">
        <v>71</v>
      </c>
      <c r="O179" t="s">
        <v>65</v>
      </c>
      <c r="P179" t="s">
        <v>72</v>
      </c>
    </row>
    <row r="180" spans="1:16" x14ac:dyDescent="0.3">
      <c r="A180" t="s">
        <v>400</v>
      </c>
      <c r="B180" s="1">
        <v>45498</v>
      </c>
      <c r="C180" t="s">
        <v>196</v>
      </c>
      <c r="D180" t="s">
        <v>170</v>
      </c>
      <c r="E180" t="s">
        <v>171</v>
      </c>
      <c r="F180" t="s">
        <v>31</v>
      </c>
      <c r="G180" t="s">
        <v>81</v>
      </c>
      <c r="H180" t="s">
        <v>87</v>
      </c>
      <c r="I180">
        <v>3</v>
      </c>
      <c r="J180">
        <v>60162.32</v>
      </c>
      <c r="K180">
        <v>0.15</v>
      </c>
      <c r="L180">
        <v>153413.92000000001</v>
      </c>
      <c r="M180" t="s">
        <v>76</v>
      </c>
      <c r="N180" t="s">
        <v>49</v>
      </c>
      <c r="O180" t="s">
        <v>35</v>
      </c>
      <c r="P180" t="s">
        <v>42</v>
      </c>
    </row>
    <row r="181" spans="1:16" x14ac:dyDescent="0.3">
      <c r="A181" t="s">
        <v>401</v>
      </c>
      <c r="B181" s="1">
        <v>45445</v>
      </c>
      <c r="C181" t="s">
        <v>365</v>
      </c>
      <c r="D181" t="s">
        <v>170</v>
      </c>
      <c r="E181" t="s">
        <v>171</v>
      </c>
      <c r="F181" t="s">
        <v>31</v>
      </c>
      <c r="G181" t="s">
        <v>81</v>
      </c>
      <c r="H181" t="s">
        <v>82</v>
      </c>
      <c r="I181">
        <v>1</v>
      </c>
      <c r="J181">
        <v>68360.5</v>
      </c>
      <c r="K181">
        <v>0.2</v>
      </c>
      <c r="L181">
        <v>54688.4</v>
      </c>
      <c r="M181" t="s">
        <v>76</v>
      </c>
      <c r="N181" t="s">
        <v>34</v>
      </c>
      <c r="O181" t="s">
        <v>65</v>
      </c>
      <c r="P181" t="s">
        <v>72</v>
      </c>
    </row>
    <row r="182" spans="1:16" x14ac:dyDescent="0.3">
      <c r="A182" t="s">
        <v>402</v>
      </c>
      <c r="B182" s="1">
        <v>45678</v>
      </c>
      <c r="C182" t="s">
        <v>289</v>
      </c>
      <c r="D182" t="s">
        <v>105</v>
      </c>
      <c r="E182" t="s">
        <v>106</v>
      </c>
      <c r="F182" t="s">
        <v>40</v>
      </c>
      <c r="G182" t="s">
        <v>21</v>
      </c>
      <c r="H182" t="s">
        <v>22</v>
      </c>
      <c r="I182">
        <v>4</v>
      </c>
      <c r="J182">
        <v>7490.68</v>
      </c>
      <c r="K182">
        <v>0.1</v>
      </c>
      <c r="L182">
        <v>26966.45</v>
      </c>
      <c r="M182" t="s">
        <v>76</v>
      </c>
      <c r="N182" t="s">
        <v>24</v>
      </c>
      <c r="O182" t="s">
        <v>35</v>
      </c>
      <c r="P182" t="s">
        <v>26</v>
      </c>
    </row>
    <row r="183" spans="1:16" x14ac:dyDescent="0.3">
      <c r="A183" t="s">
        <v>403</v>
      </c>
      <c r="B183" s="1">
        <v>45715</v>
      </c>
      <c r="C183" t="s">
        <v>404</v>
      </c>
      <c r="D183" t="s">
        <v>131</v>
      </c>
      <c r="E183" t="s">
        <v>132</v>
      </c>
      <c r="F183" t="s">
        <v>40</v>
      </c>
      <c r="G183" t="s">
        <v>56</v>
      </c>
      <c r="H183" t="s">
        <v>57</v>
      </c>
      <c r="I183">
        <v>3</v>
      </c>
      <c r="J183">
        <v>9056.74</v>
      </c>
      <c r="K183">
        <v>0.03</v>
      </c>
      <c r="L183">
        <v>26355.11</v>
      </c>
      <c r="M183" t="s">
        <v>48</v>
      </c>
      <c r="N183" t="s">
        <v>71</v>
      </c>
      <c r="O183" t="s">
        <v>35</v>
      </c>
      <c r="P183" t="s">
        <v>72</v>
      </c>
    </row>
    <row r="184" spans="1:16" x14ac:dyDescent="0.3">
      <c r="A184" t="s">
        <v>405</v>
      </c>
      <c r="B184" s="1">
        <v>45599</v>
      </c>
      <c r="C184" t="s">
        <v>406</v>
      </c>
      <c r="D184" t="s">
        <v>45</v>
      </c>
      <c r="E184" t="s">
        <v>46</v>
      </c>
      <c r="F184" t="s">
        <v>31</v>
      </c>
      <c r="G184" t="s">
        <v>81</v>
      </c>
      <c r="H184" t="s">
        <v>82</v>
      </c>
      <c r="I184">
        <v>1</v>
      </c>
      <c r="J184">
        <v>1770.77</v>
      </c>
      <c r="K184">
        <v>0</v>
      </c>
      <c r="L184">
        <v>1770.77</v>
      </c>
      <c r="M184" t="s">
        <v>48</v>
      </c>
      <c r="N184" t="s">
        <v>34</v>
      </c>
      <c r="O184" t="s">
        <v>65</v>
      </c>
      <c r="P184" t="s">
        <v>102</v>
      </c>
    </row>
    <row r="185" spans="1:16" x14ac:dyDescent="0.3">
      <c r="A185" t="s">
        <v>407</v>
      </c>
      <c r="B185" s="1">
        <v>45888</v>
      </c>
      <c r="C185" t="s">
        <v>186</v>
      </c>
      <c r="D185" t="s">
        <v>45</v>
      </c>
      <c r="E185" t="s">
        <v>46</v>
      </c>
      <c r="F185" t="s">
        <v>31</v>
      </c>
      <c r="G185" t="s">
        <v>56</v>
      </c>
      <c r="I185">
        <v>5</v>
      </c>
      <c r="J185">
        <v>1908.02</v>
      </c>
      <c r="K185">
        <v>0.05</v>
      </c>
      <c r="L185">
        <v>9063.09</v>
      </c>
      <c r="M185" t="s">
        <v>48</v>
      </c>
      <c r="N185" t="s">
        <v>34</v>
      </c>
      <c r="O185" t="s">
        <v>65</v>
      </c>
      <c r="P185" t="s">
        <v>50</v>
      </c>
    </row>
    <row r="186" spans="1:16" x14ac:dyDescent="0.3">
      <c r="A186" t="s">
        <v>408</v>
      </c>
      <c r="B186" s="1">
        <v>45854</v>
      </c>
      <c r="C186" t="s">
        <v>409</v>
      </c>
      <c r="D186" t="s">
        <v>79</v>
      </c>
      <c r="E186" t="s">
        <v>80</v>
      </c>
      <c r="F186" t="s">
        <v>31</v>
      </c>
      <c r="G186" t="s">
        <v>56</v>
      </c>
      <c r="H186" t="s">
        <v>64</v>
      </c>
      <c r="I186">
        <v>4</v>
      </c>
      <c r="J186">
        <v>12969.45</v>
      </c>
      <c r="K186">
        <v>0.2</v>
      </c>
      <c r="L186">
        <v>41502.239999999998</v>
      </c>
      <c r="M186" t="s">
        <v>76</v>
      </c>
      <c r="N186" t="s">
        <v>49</v>
      </c>
      <c r="O186" t="s">
        <v>65</v>
      </c>
      <c r="P186" t="s">
        <v>59</v>
      </c>
    </row>
    <row r="187" spans="1:16" x14ac:dyDescent="0.3">
      <c r="A187" t="s">
        <v>410</v>
      </c>
      <c r="B187" s="1">
        <v>46047</v>
      </c>
      <c r="C187" t="s">
        <v>411</v>
      </c>
      <c r="D187" t="s">
        <v>105</v>
      </c>
      <c r="E187" t="s">
        <v>106</v>
      </c>
      <c r="F187" t="s">
        <v>40</v>
      </c>
      <c r="G187" t="s">
        <v>21</v>
      </c>
      <c r="H187" t="s">
        <v>126</v>
      </c>
      <c r="I187">
        <v>3</v>
      </c>
      <c r="J187">
        <v>6680.98</v>
      </c>
      <c r="K187">
        <v>0</v>
      </c>
      <c r="L187">
        <v>20042.939999999999</v>
      </c>
      <c r="M187" t="s">
        <v>76</v>
      </c>
      <c r="N187" t="s">
        <v>24</v>
      </c>
      <c r="O187" t="s">
        <v>65</v>
      </c>
      <c r="P187" t="s">
        <v>42</v>
      </c>
    </row>
    <row r="188" spans="1:16" x14ac:dyDescent="0.3">
      <c r="A188" t="s">
        <v>412</v>
      </c>
      <c r="B188" s="1">
        <v>45555</v>
      </c>
      <c r="C188" t="s">
        <v>406</v>
      </c>
      <c r="D188" t="s">
        <v>121</v>
      </c>
      <c r="E188" t="s">
        <v>122</v>
      </c>
      <c r="F188" t="s">
        <v>55</v>
      </c>
      <c r="G188" t="s">
        <v>56</v>
      </c>
      <c r="H188" t="s">
        <v>64</v>
      </c>
      <c r="I188">
        <v>4</v>
      </c>
      <c r="J188">
        <v>454.41</v>
      </c>
      <c r="K188">
        <v>0</v>
      </c>
      <c r="L188">
        <v>1817.64</v>
      </c>
      <c r="M188" t="s">
        <v>76</v>
      </c>
      <c r="N188" t="s">
        <v>49</v>
      </c>
      <c r="O188" t="s">
        <v>413</v>
      </c>
      <c r="P188" t="s">
        <v>50</v>
      </c>
    </row>
    <row r="189" spans="1:16" x14ac:dyDescent="0.3">
      <c r="A189" t="s">
        <v>414</v>
      </c>
      <c r="B189" s="1">
        <v>45767</v>
      </c>
      <c r="C189" t="s">
        <v>194</v>
      </c>
      <c r="D189" t="s">
        <v>45</v>
      </c>
      <c r="E189" t="s">
        <v>46</v>
      </c>
      <c r="F189" t="s">
        <v>31</v>
      </c>
      <c r="G189" t="s">
        <v>56</v>
      </c>
      <c r="H189" t="s">
        <v>64</v>
      </c>
      <c r="I189">
        <v>3</v>
      </c>
      <c r="J189">
        <v>1850.88</v>
      </c>
      <c r="K189">
        <v>0.08</v>
      </c>
      <c r="L189">
        <v>5108.43</v>
      </c>
      <c r="M189" t="s">
        <v>76</v>
      </c>
      <c r="N189" t="s">
        <v>71</v>
      </c>
      <c r="O189" t="s">
        <v>65</v>
      </c>
      <c r="P189" t="s">
        <v>50</v>
      </c>
    </row>
    <row r="190" spans="1:16" x14ac:dyDescent="0.3">
      <c r="A190" t="s">
        <v>415</v>
      </c>
      <c r="B190" s="1">
        <v>45837</v>
      </c>
      <c r="C190" t="s">
        <v>416</v>
      </c>
      <c r="D190" t="s">
        <v>62</v>
      </c>
      <c r="E190" t="s">
        <v>63</v>
      </c>
      <c r="F190" t="s">
        <v>31</v>
      </c>
      <c r="G190" t="s">
        <v>32</v>
      </c>
      <c r="H190" t="s">
        <v>68</v>
      </c>
      <c r="I190">
        <v>4</v>
      </c>
      <c r="J190">
        <v>2974.84</v>
      </c>
      <c r="K190">
        <v>0.15</v>
      </c>
      <c r="L190">
        <v>10114.459999999999</v>
      </c>
      <c r="M190" t="s">
        <v>76</v>
      </c>
      <c r="N190" t="s">
        <v>34</v>
      </c>
      <c r="O190" t="s">
        <v>65</v>
      </c>
      <c r="P190" t="s">
        <v>111</v>
      </c>
    </row>
    <row r="191" spans="1:16" x14ac:dyDescent="0.3">
      <c r="A191" t="s">
        <v>417</v>
      </c>
      <c r="B191" s="1">
        <v>46145</v>
      </c>
      <c r="C191" t="s">
        <v>61</v>
      </c>
      <c r="D191" t="s">
        <v>53</v>
      </c>
      <c r="E191" t="s">
        <v>54</v>
      </c>
      <c r="F191" t="s">
        <v>55</v>
      </c>
      <c r="G191" t="s">
        <v>81</v>
      </c>
      <c r="H191" t="s">
        <v>98</v>
      </c>
      <c r="I191">
        <v>2</v>
      </c>
      <c r="J191">
        <v>223.02</v>
      </c>
      <c r="K191">
        <v>0.03</v>
      </c>
      <c r="L191">
        <v>432.66</v>
      </c>
      <c r="M191" t="s">
        <v>23</v>
      </c>
      <c r="N191" t="s">
        <v>49</v>
      </c>
      <c r="O191" t="s">
        <v>65</v>
      </c>
      <c r="P191" t="s">
        <v>50</v>
      </c>
    </row>
    <row r="192" spans="1:16" x14ac:dyDescent="0.3">
      <c r="A192" t="s">
        <v>418</v>
      </c>
      <c r="B192" s="1">
        <v>46105</v>
      </c>
      <c r="C192" t="s">
        <v>419</v>
      </c>
      <c r="D192" t="s">
        <v>96</v>
      </c>
      <c r="E192" t="s">
        <v>97</v>
      </c>
      <c r="F192" t="s">
        <v>31</v>
      </c>
      <c r="G192" t="s">
        <v>56</v>
      </c>
      <c r="H192" t="s">
        <v>64</v>
      </c>
      <c r="I192">
        <v>2</v>
      </c>
      <c r="J192">
        <v>1137.82</v>
      </c>
      <c r="K192">
        <v>0</v>
      </c>
      <c r="L192">
        <v>2275.64</v>
      </c>
      <c r="M192" t="s">
        <v>23</v>
      </c>
      <c r="N192" t="s">
        <v>49</v>
      </c>
      <c r="O192" t="s">
        <v>25</v>
      </c>
      <c r="P192" t="s">
        <v>50</v>
      </c>
    </row>
    <row r="193" spans="1:16" x14ac:dyDescent="0.3">
      <c r="A193" t="s">
        <v>420</v>
      </c>
      <c r="B193" s="1">
        <v>45584</v>
      </c>
      <c r="C193" t="s">
        <v>257</v>
      </c>
      <c r="D193" t="s">
        <v>105</v>
      </c>
      <c r="E193" t="s">
        <v>106</v>
      </c>
      <c r="F193" t="s">
        <v>40</v>
      </c>
      <c r="G193" t="s">
        <v>56</v>
      </c>
      <c r="H193" t="s">
        <v>123</v>
      </c>
      <c r="I193">
        <v>2</v>
      </c>
      <c r="J193">
        <v>7035.69</v>
      </c>
      <c r="K193">
        <v>0</v>
      </c>
      <c r="L193">
        <v>14071.38</v>
      </c>
      <c r="M193" t="s">
        <v>48</v>
      </c>
      <c r="N193" t="s">
        <v>49</v>
      </c>
      <c r="O193" t="s">
        <v>65</v>
      </c>
      <c r="P193" t="s">
        <v>50</v>
      </c>
    </row>
    <row r="194" spans="1:16" x14ac:dyDescent="0.3">
      <c r="A194" t="s">
        <v>421</v>
      </c>
      <c r="B194" s="1">
        <v>46022</v>
      </c>
      <c r="C194" t="s">
        <v>422</v>
      </c>
      <c r="D194" t="s">
        <v>62</v>
      </c>
      <c r="E194" t="s">
        <v>63</v>
      </c>
      <c r="F194" t="s">
        <v>31</v>
      </c>
      <c r="G194" t="s">
        <v>81</v>
      </c>
      <c r="H194" t="s">
        <v>98</v>
      </c>
      <c r="I194">
        <v>5</v>
      </c>
      <c r="J194">
        <v>2624.12</v>
      </c>
      <c r="K194">
        <v>0.1</v>
      </c>
      <c r="L194">
        <v>11808.54</v>
      </c>
      <c r="M194" t="s">
        <v>23</v>
      </c>
      <c r="N194" t="s">
        <v>24</v>
      </c>
      <c r="O194" t="s">
        <v>65</v>
      </c>
      <c r="P194" t="s">
        <v>59</v>
      </c>
    </row>
    <row r="195" spans="1:16" x14ac:dyDescent="0.3">
      <c r="A195" t="s">
        <v>423</v>
      </c>
      <c r="B195" s="1">
        <v>45403</v>
      </c>
      <c r="C195" t="s">
        <v>424</v>
      </c>
      <c r="D195" t="s">
        <v>45</v>
      </c>
      <c r="E195" t="s">
        <v>46</v>
      </c>
      <c r="F195" t="s">
        <v>31</v>
      </c>
      <c r="G195" t="s">
        <v>32</v>
      </c>
      <c r="H195" t="s">
        <v>75</v>
      </c>
      <c r="I195">
        <v>5</v>
      </c>
      <c r="J195">
        <v>1892.1</v>
      </c>
      <c r="K195">
        <v>0.15</v>
      </c>
      <c r="L195">
        <v>8041.43</v>
      </c>
      <c r="M195" t="s">
        <v>23</v>
      </c>
      <c r="N195" t="s">
        <v>34</v>
      </c>
      <c r="O195" t="s">
        <v>65</v>
      </c>
      <c r="P195" t="s">
        <v>72</v>
      </c>
    </row>
    <row r="196" spans="1:16" x14ac:dyDescent="0.3">
      <c r="A196" t="s">
        <v>425</v>
      </c>
      <c r="B196" s="1">
        <v>45483</v>
      </c>
      <c r="C196" t="s">
        <v>426</v>
      </c>
      <c r="D196" t="s">
        <v>121</v>
      </c>
      <c r="E196" t="s">
        <v>122</v>
      </c>
      <c r="F196" t="s">
        <v>55</v>
      </c>
      <c r="G196" t="s">
        <v>81</v>
      </c>
      <c r="H196" t="s">
        <v>135</v>
      </c>
      <c r="I196">
        <v>2</v>
      </c>
      <c r="J196">
        <v>455.53</v>
      </c>
      <c r="K196">
        <v>0.08</v>
      </c>
      <c r="L196">
        <v>838.18</v>
      </c>
      <c r="M196" t="s">
        <v>48</v>
      </c>
      <c r="N196" t="s">
        <v>34</v>
      </c>
      <c r="O196" t="s">
        <v>65</v>
      </c>
      <c r="P196" t="s">
        <v>111</v>
      </c>
    </row>
    <row r="197" spans="1:16" x14ac:dyDescent="0.3">
      <c r="A197" t="s">
        <v>427</v>
      </c>
      <c r="B197" s="1">
        <v>46184</v>
      </c>
      <c r="C197" t="s">
        <v>151</v>
      </c>
      <c r="D197" t="s">
        <v>131</v>
      </c>
      <c r="E197" t="s">
        <v>132</v>
      </c>
      <c r="F197" t="s">
        <v>40</v>
      </c>
      <c r="G197" t="s">
        <v>56</v>
      </c>
      <c r="H197" t="s">
        <v>123</v>
      </c>
      <c r="I197">
        <v>3</v>
      </c>
      <c r="J197">
        <v>10215.74</v>
      </c>
      <c r="K197">
        <v>0.08</v>
      </c>
      <c r="L197">
        <v>28195.439999999999</v>
      </c>
      <c r="M197" t="s">
        <v>48</v>
      </c>
      <c r="N197" t="s">
        <v>58</v>
      </c>
      <c r="O197" t="s">
        <v>35</v>
      </c>
      <c r="P197" t="s">
        <v>116</v>
      </c>
    </row>
    <row r="198" spans="1:16" x14ac:dyDescent="0.3">
      <c r="A198" t="s">
        <v>428</v>
      </c>
      <c r="B198" s="1">
        <v>45720</v>
      </c>
      <c r="C198" t="s">
        <v>247</v>
      </c>
      <c r="D198" t="s">
        <v>96</v>
      </c>
      <c r="E198" t="s">
        <v>97</v>
      </c>
      <c r="F198" t="s">
        <v>31</v>
      </c>
      <c r="G198" t="s">
        <v>21</v>
      </c>
      <c r="H198" t="s">
        <v>41</v>
      </c>
      <c r="I198">
        <v>2</v>
      </c>
      <c r="J198">
        <v>1123.83</v>
      </c>
      <c r="K198">
        <v>0.03</v>
      </c>
      <c r="L198">
        <v>2180.23</v>
      </c>
      <c r="M198" t="s">
        <v>48</v>
      </c>
      <c r="N198" t="s">
        <v>71</v>
      </c>
      <c r="O198" t="s">
        <v>65</v>
      </c>
      <c r="P198" t="s">
        <v>116</v>
      </c>
    </row>
    <row r="199" spans="1:16" x14ac:dyDescent="0.3">
      <c r="A199" t="s">
        <v>429</v>
      </c>
      <c r="B199" s="1">
        <v>45619</v>
      </c>
      <c r="C199" t="s">
        <v>334</v>
      </c>
      <c r="D199" t="s">
        <v>29</v>
      </c>
      <c r="E199" t="s">
        <v>30</v>
      </c>
      <c r="F199" t="s">
        <v>31</v>
      </c>
      <c r="G199" t="s">
        <v>56</v>
      </c>
      <c r="H199" t="s">
        <v>57</v>
      </c>
      <c r="I199">
        <v>3</v>
      </c>
      <c r="J199">
        <v>3268.17</v>
      </c>
      <c r="K199">
        <v>0.08</v>
      </c>
      <c r="L199">
        <v>9020.15</v>
      </c>
      <c r="M199" t="s">
        <v>48</v>
      </c>
      <c r="N199" t="s">
        <v>34</v>
      </c>
      <c r="O199" t="s">
        <v>35</v>
      </c>
      <c r="P199" t="s">
        <v>59</v>
      </c>
    </row>
    <row r="200" spans="1:16" x14ac:dyDescent="0.3">
      <c r="A200" t="s">
        <v>430</v>
      </c>
      <c r="B200" s="1">
        <v>45996</v>
      </c>
      <c r="C200" t="s">
        <v>149</v>
      </c>
      <c r="D200" t="s">
        <v>131</v>
      </c>
      <c r="E200" t="s">
        <v>132</v>
      </c>
      <c r="F200" t="s">
        <v>40</v>
      </c>
      <c r="G200" t="s">
        <v>56</v>
      </c>
      <c r="H200" t="s">
        <v>123</v>
      </c>
      <c r="I200">
        <v>3</v>
      </c>
      <c r="J200">
        <v>9441.9599999999991</v>
      </c>
      <c r="K200">
        <v>0.2</v>
      </c>
      <c r="L200">
        <v>22660.7</v>
      </c>
      <c r="M200" t="s">
        <v>76</v>
      </c>
      <c r="N200" t="s">
        <v>58</v>
      </c>
      <c r="O200" t="s">
        <v>65</v>
      </c>
      <c r="P200" t="s">
        <v>42</v>
      </c>
    </row>
    <row r="201" spans="1:16" x14ac:dyDescent="0.3">
      <c r="A201" t="s">
        <v>431</v>
      </c>
      <c r="B201" s="1">
        <v>45584</v>
      </c>
      <c r="C201" t="s">
        <v>84</v>
      </c>
      <c r="D201" t="s">
        <v>89</v>
      </c>
      <c r="E201" t="s">
        <v>90</v>
      </c>
      <c r="F201" t="s">
        <v>20</v>
      </c>
      <c r="G201" t="s">
        <v>56</v>
      </c>
      <c r="H201" t="s">
        <v>64</v>
      </c>
      <c r="I201">
        <v>1</v>
      </c>
      <c r="J201">
        <v>654.6</v>
      </c>
      <c r="K201">
        <v>0.05</v>
      </c>
      <c r="L201">
        <v>621.87</v>
      </c>
      <c r="M201" t="s">
        <v>76</v>
      </c>
      <c r="N201" t="s">
        <v>49</v>
      </c>
      <c r="O201" t="s">
        <v>25</v>
      </c>
      <c r="P201" t="s">
        <v>59</v>
      </c>
    </row>
    <row r="202" spans="1:16" x14ac:dyDescent="0.3">
      <c r="A202" t="s">
        <v>432</v>
      </c>
      <c r="B202" s="1">
        <v>46079</v>
      </c>
      <c r="C202" t="s">
        <v>245</v>
      </c>
      <c r="D202" t="s">
        <v>79</v>
      </c>
      <c r="E202" t="s">
        <v>80</v>
      </c>
      <c r="F202" t="s">
        <v>31</v>
      </c>
      <c r="G202" t="s">
        <v>32</v>
      </c>
      <c r="H202" t="s">
        <v>75</v>
      </c>
      <c r="I202">
        <v>3</v>
      </c>
      <c r="J202">
        <v>12014.84</v>
      </c>
      <c r="K202">
        <v>0.15</v>
      </c>
      <c r="L202">
        <v>30637.84</v>
      </c>
      <c r="M202" t="s">
        <v>48</v>
      </c>
      <c r="N202" t="s">
        <v>34</v>
      </c>
      <c r="O202" t="s">
        <v>25</v>
      </c>
      <c r="P202" t="s">
        <v>50</v>
      </c>
    </row>
    <row r="203" spans="1:16" x14ac:dyDescent="0.3">
      <c r="A203" t="s">
        <v>433</v>
      </c>
      <c r="B203" s="1">
        <v>45836</v>
      </c>
      <c r="C203" t="s">
        <v>200</v>
      </c>
      <c r="D203" t="s">
        <v>96</v>
      </c>
      <c r="E203" t="s">
        <v>97</v>
      </c>
      <c r="F203" t="s">
        <v>31</v>
      </c>
      <c r="G203" t="s">
        <v>21</v>
      </c>
      <c r="H203" t="s">
        <v>93</v>
      </c>
      <c r="I203">
        <v>5</v>
      </c>
      <c r="J203">
        <v>1285.54</v>
      </c>
      <c r="K203">
        <v>0</v>
      </c>
      <c r="L203">
        <v>6427.7</v>
      </c>
      <c r="M203" t="s">
        <v>23</v>
      </c>
      <c r="N203" t="s">
        <v>34</v>
      </c>
      <c r="O203" t="s">
        <v>25</v>
      </c>
      <c r="P203" t="s">
        <v>116</v>
      </c>
    </row>
    <row r="204" spans="1:16" x14ac:dyDescent="0.3">
      <c r="A204" t="s">
        <v>434</v>
      </c>
      <c r="B204" s="1">
        <v>46184</v>
      </c>
      <c r="C204" t="s">
        <v>208</v>
      </c>
      <c r="D204" t="s">
        <v>170</v>
      </c>
      <c r="E204" t="s">
        <v>171</v>
      </c>
      <c r="F204" t="s">
        <v>31</v>
      </c>
      <c r="G204" t="s">
        <v>21</v>
      </c>
      <c r="H204" t="s">
        <v>22</v>
      </c>
      <c r="I204">
        <v>1</v>
      </c>
      <c r="J204">
        <v>65651.75</v>
      </c>
      <c r="K204">
        <v>0.2</v>
      </c>
      <c r="L204">
        <v>52521.4</v>
      </c>
      <c r="M204" t="s">
        <v>23</v>
      </c>
      <c r="N204" t="s">
        <v>58</v>
      </c>
      <c r="O204" t="s">
        <v>35</v>
      </c>
      <c r="P204" t="s">
        <v>50</v>
      </c>
    </row>
    <row r="205" spans="1:16" x14ac:dyDescent="0.3">
      <c r="A205" t="s">
        <v>435</v>
      </c>
      <c r="B205" s="1">
        <v>46069</v>
      </c>
      <c r="C205" t="s">
        <v>149</v>
      </c>
      <c r="D205" t="s">
        <v>79</v>
      </c>
      <c r="E205" t="s">
        <v>80</v>
      </c>
      <c r="F205" t="s">
        <v>31</v>
      </c>
      <c r="G205" t="s">
        <v>56</v>
      </c>
      <c r="H205" t="s">
        <v>57</v>
      </c>
      <c r="I205">
        <v>2</v>
      </c>
      <c r="J205">
        <v>11510.95</v>
      </c>
      <c r="K205">
        <v>0.08</v>
      </c>
      <c r="L205">
        <v>21180.15</v>
      </c>
      <c r="M205" t="s">
        <v>48</v>
      </c>
      <c r="N205" t="s">
        <v>58</v>
      </c>
      <c r="O205" t="s">
        <v>25</v>
      </c>
      <c r="P205" t="s">
        <v>102</v>
      </c>
    </row>
    <row r="206" spans="1:16" x14ac:dyDescent="0.3">
      <c r="A206" t="s">
        <v>436</v>
      </c>
      <c r="B206" s="1">
        <v>46193</v>
      </c>
      <c r="C206" t="s">
        <v>216</v>
      </c>
      <c r="D206" t="s">
        <v>105</v>
      </c>
      <c r="E206" t="s">
        <v>106</v>
      </c>
      <c r="F206" t="s">
        <v>40</v>
      </c>
      <c r="G206" t="s">
        <v>32</v>
      </c>
      <c r="H206" t="s">
        <v>33</v>
      </c>
      <c r="I206">
        <v>3</v>
      </c>
      <c r="J206">
        <v>6809</v>
      </c>
      <c r="K206">
        <v>0</v>
      </c>
      <c r="L206">
        <v>20427</v>
      </c>
      <c r="M206" t="s">
        <v>48</v>
      </c>
      <c r="N206" t="s">
        <v>71</v>
      </c>
      <c r="O206" t="s">
        <v>65</v>
      </c>
      <c r="P206" t="s">
        <v>50</v>
      </c>
    </row>
    <row r="207" spans="1:16" x14ac:dyDescent="0.3">
      <c r="A207" t="s">
        <v>437</v>
      </c>
      <c r="B207" s="1">
        <v>45781</v>
      </c>
      <c r="C207" t="s">
        <v>253</v>
      </c>
      <c r="D207" t="s">
        <v>79</v>
      </c>
      <c r="E207" t="s">
        <v>80</v>
      </c>
      <c r="F207" t="s">
        <v>31</v>
      </c>
      <c r="G207" t="s">
        <v>32</v>
      </c>
      <c r="H207" t="s">
        <v>68</v>
      </c>
      <c r="I207">
        <v>1</v>
      </c>
      <c r="J207">
        <v>13211.28</v>
      </c>
      <c r="K207">
        <v>0.2</v>
      </c>
      <c r="L207">
        <v>10569.02</v>
      </c>
      <c r="M207" t="s">
        <v>48</v>
      </c>
      <c r="N207" t="s">
        <v>24</v>
      </c>
      <c r="O207" t="s">
        <v>25</v>
      </c>
      <c r="P207" t="s">
        <v>102</v>
      </c>
    </row>
    <row r="208" spans="1:16" x14ac:dyDescent="0.3">
      <c r="A208" t="s">
        <v>438</v>
      </c>
      <c r="B208" s="1">
        <v>45820</v>
      </c>
      <c r="C208" t="s">
        <v>439</v>
      </c>
      <c r="D208" t="s">
        <v>105</v>
      </c>
      <c r="E208" t="s">
        <v>106</v>
      </c>
      <c r="F208" t="s">
        <v>40</v>
      </c>
      <c r="G208" t="s">
        <v>81</v>
      </c>
      <c r="H208" t="s">
        <v>98</v>
      </c>
      <c r="I208">
        <v>1</v>
      </c>
      <c r="J208">
        <v>7178.99</v>
      </c>
      <c r="K208">
        <v>0.05</v>
      </c>
      <c r="L208">
        <v>6820.04</v>
      </c>
      <c r="M208" t="s">
        <v>76</v>
      </c>
      <c r="N208" t="s">
        <v>49</v>
      </c>
      <c r="O208" t="s">
        <v>25</v>
      </c>
      <c r="P208" t="s">
        <v>26</v>
      </c>
    </row>
    <row r="209" spans="1:16" x14ac:dyDescent="0.3">
      <c r="A209" t="s">
        <v>440</v>
      </c>
      <c r="B209" s="1">
        <v>45845</v>
      </c>
      <c r="C209" t="s">
        <v>441</v>
      </c>
      <c r="D209" t="s">
        <v>62</v>
      </c>
      <c r="E209" t="s">
        <v>63</v>
      </c>
      <c r="F209" t="s">
        <v>31</v>
      </c>
      <c r="G209" t="s">
        <v>56</v>
      </c>
      <c r="H209" t="s">
        <v>64</v>
      </c>
      <c r="I209">
        <v>5</v>
      </c>
      <c r="J209">
        <v>2763.09</v>
      </c>
      <c r="K209">
        <v>0.05</v>
      </c>
      <c r="L209">
        <v>13124.68</v>
      </c>
      <c r="M209" t="s">
        <v>48</v>
      </c>
      <c r="N209" t="s">
        <v>49</v>
      </c>
      <c r="O209" t="s">
        <v>65</v>
      </c>
      <c r="P209" t="s">
        <v>111</v>
      </c>
    </row>
    <row r="210" spans="1:16" x14ac:dyDescent="0.3">
      <c r="A210" t="s">
        <v>442</v>
      </c>
      <c r="B210" s="1">
        <v>45354</v>
      </c>
      <c r="C210" t="s">
        <v>443</v>
      </c>
      <c r="D210" t="s">
        <v>131</v>
      </c>
      <c r="E210" t="s">
        <v>132</v>
      </c>
      <c r="F210" t="s">
        <v>40</v>
      </c>
      <c r="G210" t="s">
        <v>21</v>
      </c>
      <c r="H210" t="s">
        <v>41</v>
      </c>
      <c r="I210">
        <v>2</v>
      </c>
      <c r="J210">
        <v>8776.43</v>
      </c>
      <c r="K210">
        <v>0.15</v>
      </c>
      <c r="L210">
        <v>14919.93</v>
      </c>
      <c r="M210" t="s">
        <v>76</v>
      </c>
      <c r="N210" t="s">
        <v>24</v>
      </c>
      <c r="O210" t="s">
        <v>65</v>
      </c>
      <c r="P210" t="s">
        <v>59</v>
      </c>
    </row>
    <row r="211" spans="1:16" x14ac:dyDescent="0.3">
      <c r="A211" t="s">
        <v>444</v>
      </c>
      <c r="B211" s="1">
        <v>45921</v>
      </c>
      <c r="C211" t="s">
        <v>445</v>
      </c>
      <c r="D211" t="s">
        <v>85</v>
      </c>
      <c r="E211" t="s">
        <v>86</v>
      </c>
      <c r="F211" t="s">
        <v>20</v>
      </c>
      <c r="G211" t="s">
        <v>81</v>
      </c>
      <c r="H211" t="s">
        <v>82</v>
      </c>
      <c r="I211">
        <v>4</v>
      </c>
      <c r="J211">
        <v>1764.5</v>
      </c>
      <c r="K211">
        <v>0.1</v>
      </c>
      <c r="L211">
        <v>6352.2</v>
      </c>
      <c r="M211" t="s">
        <v>23</v>
      </c>
      <c r="N211" t="s">
        <v>71</v>
      </c>
      <c r="O211" t="s">
        <v>65</v>
      </c>
      <c r="P211" t="s">
        <v>59</v>
      </c>
    </row>
    <row r="212" spans="1:16" x14ac:dyDescent="0.3">
      <c r="A212" t="s">
        <v>446</v>
      </c>
      <c r="B212" s="1">
        <v>46168</v>
      </c>
      <c r="C212" t="s">
        <v>447</v>
      </c>
      <c r="D212" t="s">
        <v>53</v>
      </c>
      <c r="E212" t="s">
        <v>54</v>
      </c>
      <c r="F212" t="s">
        <v>55</v>
      </c>
      <c r="G212" t="s">
        <v>32</v>
      </c>
      <c r="H212" t="s">
        <v>33</v>
      </c>
      <c r="I212">
        <v>2</v>
      </c>
      <c r="J212">
        <v>209.03</v>
      </c>
      <c r="K212">
        <v>0.08</v>
      </c>
      <c r="L212">
        <v>384.62</v>
      </c>
      <c r="M212" t="s">
        <v>76</v>
      </c>
      <c r="N212" t="s">
        <v>71</v>
      </c>
      <c r="O212" t="s">
        <v>65</v>
      </c>
      <c r="P212" t="s">
        <v>116</v>
      </c>
    </row>
    <row r="213" spans="1:16" x14ac:dyDescent="0.3">
      <c r="A213" t="s">
        <v>448</v>
      </c>
      <c r="B213" s="1">
        <v>46155</v>
      </c>
      <c r="C213" t="s">
        <v>249</v>
      </c>
      <c r="D213" t="s">
        <v>45</v>
      </c>
      <c r="E213" t="s">
        <v>46</v>
      </c>
      <c r="F213" t="s">
        <v>31</v>
      </c>
      <c r="G213" t="s">
        <v>56</v>
      </c>
      <c r="H213" t="s">
        <v>64</v>
      </c>
      <c r="I213">
        <v>2</v>
      </c>
      <c r="J213">
        <v>1936.63</v>
      </c>
      <c r="K213">
        <v>0.15</v>
      </c>
      <c r="L213">
        <v>3292.27</v>
      </c>
      <c r="M213" t="s">
        <v>76</v>
      </c>
      <c r="N213" t="s">
        <v>49</v>
      </c>
      <c r="O213" t="s">
        <v>25</v>
      </c>
      <c r="P213" t="s">
        <v>111</v>
      </c>
    </row>
    <row r="214" spans="1:16" x14ac:dyDescent="0.3">
      <c r="A214" t="s">
        <v>449</v>
      </c>
      <c r="B214" s="1">
        <v>46098</v>
      </c>
      <c r="C214" t="s">
        <v>230</v>
      </c>
      <c r="D214" t="s">
        <v>176</v>
      </c>
      <c r="E214" t="s">
        <v>177</v>
      </c>
      <c r="F214" t="s">
        <v>31</v>
      </c>
      <c r="G214" t="s">
        <v>56</v>
      </c>
      <c r="H214" t="s">
        <v>64</v>
      </c>
      <c r="I214">
        <v>3</v>
      </c>
      <c r="J214">
        <v>2036.64</v>
      </c>
      <c r="K214">
        <v>0</v>
      </c>
      <c r="L214">
        <v>6109.92</v>
      </c>
      <c r="M214" t="s">
        <v>76</v>
      </c>
      <c r="N214" t="s">
        <v>58</v>
      </c>
      <c r="O214" t="s">
        <v>25</v>
      </c>
      <c r="P214" t="s">
        <v>59</v>
      </c>
    </row>
    <row r="215" spans="1:16" x14ac:dyDescent="0.3">
      <c r="A215" t="s">
        <v>450</v>
      </c>
      <c r="B215" s="1">
        <v>46166</v>
      </c>
      <c r="C215" t="s">
        <v>341</v>
      </c>
      <c r="D215" t="s">
        <v>176</v>
      </c>
      <c r="E215" t="s">
        <v>177</v>
      </c>
      <c r="F215" t="s">
        <v>31</v>
      </c>
      <c r="G215" t="s">
        <v>81</v>
      </c>
      <c r="H215" t="s">
        <v>135</v>
      </c>
      <c r="I215">
        <v>2</v>
      </c>
      <c r="J215">
        <v>2130.2199999999998</v>
      </c>
      <c r="K215">
        <v>0.1</v>
      </c>
      <c r="L215">
        <v>3834.4</v>
      </c>
      <c r="M215" t="s">
        <v>76</v>
      </c>
      <c r="N215" t="s">
        <v>71</v>
      </c>
      <c r="O215" t="s">
        <v>65</v>
      </c>
      <c r="P215" t="s">
        <v>102</v>
      </c>
    </row>
    <row r="216" spans="1:16" x14ac:dyDescent="0.3">
      <c r="A216" t="s">
        <v>451</v>
      </c>
      <c r="B216" s="1">
        <v>45986</v>
      </c>
      <c r="C216" t="s">
        <v>179</v>
      </c>
      <c r="D216" t="s">
        <v>38</v>
      </c>
      <c r="E216" t="s">
        <v>39</v>
      </c>
      <c r="F216" t="s">
        <v>40</v>
      </c>
      <c r="G216" t="s">
        <v>32</v>
      </c>
      <c r="H216" t="s">
        <v>47</v>
      </c>
      <c r="I216">
        <v>1</v>
      </c>
      <c r="J216">
        <v>1685.69</v>
      </c>
      <c r="K216">
        <v>0.03</v>
      </c>
      <c r="L216">
        <v>1635.12</v>
      </c>
      <c r="M216" t="s">
        <v>23</v>
      </c>
      <c r="N216" t="s">
        <v>49</v>
      </c>
      <c r="O216" t="s">
        <v>65</v>
      </c>
      <c r="P216" t="s">
        <v>72</v>
      </c>
    </row>
    <row r="217" spans="1:16" x14ac:dyDescent="0.3">
      <c r="A217" t="s">
        <v>452</v>
      </c>
      <c r="B217" s="1">
        <v>46127</v>
      </c>
      <c r="C217" t="s">
        <v>453</v>
      </c>
      <c r="D217" t="s">
        <v>62</v>
      </c>
      <c r="E217" t="s">
        <v>63</v>
      </c>
      <c r="F217" t="s">
        <v>31</v>
      </c>
      <c r="G217" t="s">
        <v>21</v>
      </c>
      <c r="H217" t="s">
        <v>22</v>
      </c>
      <c r="I217">
        <v>4</v>
      </c>
      <c r="J217">
        <v>2775.37</v>
      </c>
      <c r="K217">
        <v>0.05</v>
      </c>
      <c r="L217">
        <v>10546.41</v>
      </c>
      <c r="M217" t="s">
        <v>23</v>
      </c>
      <c r="N217" t="s">
        <v>34</v>
      </c>
      <c r="O217" t="s">
        <v>65</v>
      </c>
      <c r="P217" t="s">
        <v>42</v>
      </c>
    </row>
    <row r="218" spans="1:16" x14ac:dyDescent="0.3">
      <c r="A218" t="s">
        <v>454</v>
      </c>
      <c r="B218" s="1">
        <v>46013</v>
      </c>
      <c r="C218" t="s">
        <v>212</v>
      </c>
      <c r="D218" t="s">
        <v>45</v>
      </c>
      <c r="E218" t="s">
        <v>46</v>
      </c>
      <c r="F218" t="s">
        <v>31</v>
      </c>
      <c r="G218" t="s">
        <v>21</v>
      </c>
      <c r="H218" t="s">
        <v>126</v>
      </c>
      <c r="I218">
        <v>2</v>
      </c>
      <c r="J218">
        <v>1683.15</v>
      </c>
      <c r="K218">
        <v>0.03</v>
      </c>
      <c r="L218">
        <v>3265.31</v>
      </c>
      <c r="M218" t="s">
        <v>48</v>
      </c>
      <c r="N218" t="s">
        <v>71</v>
      </c>
      <c r="O218" t="s">
        <v>35</v>
      </c>
      <c r="P218" t="s">
        <v>116</v>
      </c>
    </row>
    <row r="219" spans="1:16" x14ac:dyDescent="0.3">
      <c r="A219" t="s">
        <v>455</v>
      </c>
      <c r="B219" s="1">
        <v>46048</v>
      </c>
      <c r="C219" t="s">
        <v>385</v>
      </c>
      <c r="D219" t="s">
        <v>96</v>
      </c>
      <c r="E219" t="s">
        <v>97</v>
      </c>
      <c r="F219" t="s">
        <v>31</v>
      </c>
      <c r="G219" t="s">
        <v>32</v>
      </c>
      <c r="H219" t="s">
        <v>68</v>
      </c>
      <c r="I219">
        <v>4</v>
      </c>
      <c r="J219">
        <v>1285.1300000000001</v>
      </c>
      <c r="K219">
        <v>0.15</v>
      </c>
      <c r="L219">
        <v>4369.4399999999996</v>
      </c>
      <c r="M219" t="s">
        <v>48</v>
      </c>
      <c r="N219" t="s">
        <v>49</v>
      </c>
      <c r="O219" t="s">
        <v>65</v>
      </c>
      <c r="P219" t="s">
        <v>116</v>
      </c>
    </row>
    <row r="220" spans="1:16" x14ac:dyDescent="0.3">
      <c r="A220" t="s">
        <v>456</v>
      </c>
      <c r="B220" s="1">
        <v>45645</v>
      </c>
      <c r="C220" t="s">
        <v>457</v>
      </c>
      <c r="D220" t="s">
        <v>85</v>
      </c>
      <c r="E220" t="s">
        <v>86</v>
      </c>
      <c r="F220" t="s">
        <v>20</v>
      </c>
      <c r="G220" t="s">
        <v>32</v>
      </c>
      <c r="H220" t="s">
        <v>47</v>
      </c>
      <c r="I220">
        <v>5</v>
      </c>
      <c r="J220">
        <v>1858.99</v>
      </c>
      <c r="K220">
        <v>0.03</v>
      </c>
      <c r="L220">
        <v>9016.1</v>
      </c>
      <c r="M220" t="s">
        <v>76</v>
      </c>
      <c r="N220" t="s">
        <v>24</v>
      </c>
      <c r="O220" t="s">
        <v>65</v>
      </c>
      <c r="P220" t="s">
        <v>111</v>
      </c>
    </row>
    <row r="221" spans="1:16" x14ac:dyDescent="0.3">
      <c r="A221" t="s">
        <v>458</v>
      </c>
      <c r="B221" s="1">
        <v>45644</v>
      </c>
      <c r="C221" t="s">
        <v>323</v>
      </c>
      <c r="D221" t="s">
        <v>131</v>
      </c>
      <c r="E221" t="s">
        <v>132</v>
      </c>
      <c r="F221" t="s">
        <v>40</v>
      </c>
      <c r="G221" t="s">
        <v>56</v>
      </c>
      <c r="H221" t="s">
        <v>64</v>
      </c>
      <c r="I221">
        <v>1</v>
      </c>
      <c r="J221">
        <v>8876.42</v>
      </c>
      <c r="K221">
        <v>0.05</v>
      </c>
      <c r="L221">
        <v>8432.6</v>
      </c>
      <c r="M221" t="s">
        <v>76</v>
      </c>
      <c r="N221" t="s">
        <v>49</v>
      </c>
      <c r="O221" t="s">
        <v>35</v>
      </c>
      <c r="P221" t="s">
        <v>59</v>
      </c>
    </row>
    <row r="222" spans="1:16" x14ac:dyDescent="0.3">
      <c r="A222" t="s">
        <v>459</v>
      </c>
      <c r="B222" s="1">
        <v>45468</v>
      </c>
      <c r="C222" t="s">
        <v>460</v>
      </c>
      <c r="D222" t="s">
        <v>62</v>
      </c>
      <c r="E222" t="s">
        <v>63</v>
      </c>
      <c r="F222" t="s">
        <v>31</v>
      </c>
      <c r="G222" t="s">
        <v>32</v>
      </c>
      <c r="H222" t="s">
        <v>47</v>
      </c>
      <c r="I222">
        <v>4</v>
      </c>
      <c r="J222">
        <v>2646.57</v>
      </c>
      <c r="K222">
        <v>0</v>
      </c>
      <c r="L222">
        <v>10586.28</v>
      </c>
      <c r="M222" t="s">
        <v>23</v>
      </c>
      <c r="N222" t="s">
        <v>58</v>
      </c>
      <c r="O222" t="s">
        <v>25</v>
      </c>
      <c r="P222" t="s">
        <v>111</v>
      </c>
    </row>
    <row r="223" spans="1:16" x14ac:dyDescent="0.3">
      <c r="A223" t="s">
        <v>461</v>
      </c>
      <c r="B223" s="1">
        <v>45491</v>
      </c>
      <c r="C223" t="s">
        <v>462</v>
      </c>
      <c r="D223" t="s">
        <v>105</v>
      </c>
      <c r="E223" t="s">
        <v>106</v>
      </c>
      <c r="F223" t="s">
        <v>40</v>
      </c>
      <c r="G223" t="s">
        <v>21</v>
      </c>
      <c r="H223" t="s">
        <v>22</v>
      </c>
      <c r="I223">
        <v>4</v>
      </c>
      <c r="J223">
        <v>7749.73</v>
      </c>
      <c r="K223">
        <v>0.2</v>
      </c>
      <c r="L223">
        <v>24799.14</v>
      </c>
      <c r="M223" t="s">
        <v>76</v>
      </c>
      <c r="N223" t="s">
        <v>71</v>
      </c>
      <c r="O223" t="s">
        <v>65</v>
      </c>
      <c r="P223" t="s">
        <v>50</v>
      </c>
    </row>
    <row r="224" spans="1:16" x14ac:dyDescent="0.3">
      <c r="A224" t="s">
        <v>463</v>
      </c>
      <c r="B224" s="1">
        <v>46142</v>
      </c>
      <c r="C224" t="s">
        <v>149</v>
      </c>
      <c r="D224" t="s">
        <v>170</v>
      </c>
      <c r="E224" t="s">
        <v>171</v>
      </c>
      <c r="F224" t="s">
        <v>31</v>
      </c>
      <c r="G224" t="s">
        <v>81</v>
      </c>
      <c r="H224" t="s">
        <v>87</v>
      </c>
      <c r="I224">
        <v>1</v>
      </c>
      <c r="J224">
        <v>69289.47</v>
      </c>
      <c r="K224">
        <v>0.03</v>
      </c>
      <c r="L224">
        <v>67210.789999999994</v>
      </c>
      <c r="M224" t="s">
        <v>76</v>
      </c>
      <c r="N224" t="s">
        <v>49</v>
      </c>
      <c r="O224" t="s">
        <v>65</v>
      </c>
      <c r="P224" t="s">
        <v>111</v>
      </c>
    </row>
    <row r="225" spans="1:16" x14ac:dyDescent="0.3">
      <c r="A225" t="s">
        <v>464</v>
      </c>
      <c r="B225" s="1">
        <v>45476</v>
      </c>
      <c r="C225" t="s">
        <v>385</v>
      </c>
      <c r="D225" t="s">
        <v>53</v>
      </c>
      <c r="E225" t="s">
        <v>54</v>
      </c>
      <c r="F225" t="s">
        <v>55</v>
      </c>
      <c r="G225" t="s">
        <v>32</v>
      </c>
      <c r="H225" t="s">
        <v>47</v>
      </c>
      <c r="I225">
        <v>5</v>
      </c>
      <c r="J225">
        <v>232.82</v>
      </c>
      <c r="K225">
        <v>0.1</v>
      </c>
      <c r="L225">
        <v>1047.69</v>
      </c>
      <c r="M225" t="s">
        <v>23</v>
      </c>
      <c r="N225" t="s">
        <v>58</v>
      </c>
      <c r="O225" t="s">
        <v>65</v>
      </c>
      <c r="P225" t="s">
        <v>72</v>
      </c>
    </row>
    <row r="226" spans="1:16" x14ac:dyDescent="0.3">
      <c r="A226" t="s">
        <v>465</v>
      </c>
      <c r="B226" s="1">
        <v>45722</v>
      </c>
      <c r="C226" t="s">
        <v>466</v>
      </c>
      <c r="D226" t="s">
        <v>79</v>
      </c>
      <c r="E226" t="s">
        <v>80</v>
      </c>
      <c r="F226" t="s">
        <v>31</v>
      </c>
      <c r="G226" t="s">
        <v>56</v>
      </c>
      <c r="H226" t="s">
        <v>123</v>
      </c>
      <c r="I226">
        <v>3</v>
      </c>
      <c r="J226">
        <v>12256.62</v>
      </c>
      <c r="K226">
        <v>0.1</v>
      </c>
      <c r="L226">
        <v>33092.870000000003</v>
      </c>
      <c r="M226" t="s">
        <v>48</v>
      </c>
      <c r="N226" t="s">
        <v>71</v>
      </c>
      <c r="O226" t="s">
        <v>65</v>
      </c>
      <c r="P226" t="s">
        <v>59</v>
      </c>
    </row>
    <row r="227" spans="1:16" x14ac:dyDescent="0.3">
      <c r="A227" t="s">
        <v>467</v>
      </c>
      <c r="B227" s="1">
        <v>45458</v>
      </c>
      <c r="C227" t="s">
        <v>468</v>
      </c>
      <c r="D227" t="s">
        <v>176</v>
      </c>
      <c r="E227" t="s">
        <v>177</v>
      </c>
      <c r="F227" t="s">
        <v>31</v>
      </c>
      <c r="G227" t="s">
        <v>56</v>
      </c>
      <c r="H227" t="s">
        <v>123</v>
      </c>
      <c r="I227">
        <v>1</v>
      </c>
      <c r="J227">
        <v>2260.84</v>
      </c>
      <c r="K227">
        <v>0.1</v>
      </c>
      <c r="L227">
        <v>2034.76</v>
      </c>
      <c r="M227" t="s">
        <v>48</v>
      </c>
      <c r="N227" t="s">
        <v>58</v>
      </c>
      <c r="O227" t="s">
        <v>35</v>
      </c>
      <c r="P227" t="s">
        <v>26</v>
      </c>
    </row>
    <row r="228" spans="1:16" x14ac:dyDescent="0.3">
      <c r="A228" t="s">
        <v>469</v>
      </c>
      <c r="B228" s="1">
        <v>46115</v>
      </c>
      <c r="C228" t="s">
        <v>470</v>
      </c>
      <c r="D228" t="s">
        <v>45</v>
      </c>
      <c r="E228" t="s">
        <v>46</v>
      </c>
      <c r="F228" t="s">
        <v>31</v>
      </c>
      <c r="G228" t="s">
        <v>21</v>
      </c>
      <c r="H228" t="s">
        <v>126</v>
      </c>
      <c r="I228">
        <v>5</v>
      </c>
      <c r="J228">
        <v>1686.91</v>
      </c>
      <c r="K228">
        <v>0.15</v>
      </c>
      <c r="L228">
        <v>7169.37</v>
      </c>
      <c r="M228" t="s">
        <v>76</v>
      </c>
      <c r="N228" t="s">
        <v>24</v>
      </c>
      <c r="O228" t="s">
        <v>65</v>
      </c>
      <c r="P228" t="s">
        <v>72</v>
      </c>
    </row>
    <row r="229" spans="1:16" x14ac:dyDescent="0.3">
      <c r="A229" t="s">
        <v>471</v>
      </c>
      <c r="B229" s="1">
        <v>45755</v>
      </c>
      <c r="C229" t="s">
        <v>137</v>
      </c>
      <c r="D229" t="s">
        <v>89</v>
      </c>
      <c r="E229" t="s">
        <v>90</v>
      </c>
      <c r="F229" t="s">
        <v>20</v>
      </c>
      <c r="G229" t="s">
        <v>56</v>
      </c>
      <c r="H229" t="s">
        <v>123</v>
      </c>
      <c r="I229">
        <v>2</v>
      </c>
      <c r="J229">
        <v>698.46</v>
      </c>
      <c r="K229">
        <v>0.2</v>
      </c>
      <c r="L229">
        <v>1117.54</v>
      </c>
      <c r="M229" t="s">
        <v>48</v>
      </c>
      <c r="N229" t="s">
        <v>24</v>
      </c>
      <c r="O229" t="s">
        <v>25</v>
      </c>
      <c r="P229" t="s">
        <v>72</v>
      </c>
    </row>
    <row r="230" spans="1:16" x14ac:dyDescent="0.3">
      <c r="A230" t="s">
        <v>472</v>
      </c>
      <c r="B230" s="1">
        <v>45961</v>
      </c>
      <c r="C230" t="s">
        <v>70</v>
      </c>
      <c r="D230" t="s">
        <v>85</v>
      </c>
      <c r="E230" t="s">
        <v>86</v>
      </c>
      <c r="F230" t="s">
        <v>20</v>
      </c>
      <c r="G230" t="s">
        <v>81</v>
      </c>
      <c r="H230" t="s">
        <v>82</v>
      </c>
      <c r="I230">
        <v>2</v>
      </c>
      <c r="J230">
        <v>1670.64</v>
      </c>
      <c r="K230">
        <v>0.15</v>
      </c>
      <c r="L230">
        <v>2840.09</v>
      </c>
      <c r="M230" t="s">
        <v>48</v>
      </c>
      <c r="N230" t="s">
        <v>71</v>
      </c>
      <c r="O230" t="s">
        <v>65</v>
      </c>
      <c r="P230" t="s">
        <v>59</v>
      </c>
    </row>
    <row r="231" spans="1:16" x14ac:dyDescent="0.3">
      <c r="A231" t="s">
        <v>473</v>
      </c>
      <c r="B231" s="1">
        <v>46109</v>
      </c>
      <c r="C231" t="s">
        <v>190</v>
      </c>
      <c r="D231" t="s">
        <v>131</v>
      </c>
      <c r="E231" t="s">
        <v>132</v>
      </c>
      <c r="F231" t="s">
        <v>40</v>
      </c>
      <c r="G231" t="s">
        <v>56</v>
      </c>
      <c r="H231" t="s">
        <v>101</v>
      </c>
      <c r="I231">
        <v>4</v>
      </c>
      <c r="J231">
        <v>9989.76</v>
      </c>
      <c r="K231">
        <v>0</v>
      </c>
      <c r="L231">
        <v>39959.040000000001</v>
      </c>
      <c r="M231" t="s">
        <v>48</v>
      </c>
      <c r="N231" t="s">
        <v>49</v>
      </c>
      <c r="O231" t="s">
        <v>25</v>
      </c>
      <c r="P231" t="s">
        <v>59</v>
      </c>
    </row>
    <row r="232" spans="1:16" x14ac:dyDescent="0.3">
      <c r="A232" t="s">
        <v>474</v>
      </c>
      <c r="B232" s="1">
        <v>45707</v>
      </c>
      <c r="C232" t="s">
        <v>391</v>
      </c>
      <c r="D232" t="s">
        <v>176</v>
      </c>
      <c r="E232" t="s">
        <v>177</v>
      </c>
      <c r="F232" t="s">
        <v>31</v>
      </c>
      <c r="G232" t="s">
        <v>81</v>
      </c>
      <c r="H232" t="s">
        <v>87</v>
      </c>
      <c r="I232">
        <v>5</v>
      </c>
      <c r="J232">
        <v>2146.38</v>
      </c>
      <c r="K232">
        <v>0.15</v>
      </c>
      <c r="L232">
        <v>9122.1200000000008</v>
      </c>
      <c r="M232" t="s">
        <v>76</v>
      </c>
      <c r="N232" t="s">
        <v>49</v>
      </c>
      <c r="O232" t="s">
        <v>35</v>
      </c>
      <c r="P232" t="s">
        <v>102</v>
      </c>
    </row>
    <row r="233" spans="1:16" x14ac:dyDescent="0.3">
      <c r="A233" t="s">
        <v>475</v>
      </c>
      <c r="B233" s="1">
        <v>46168</v>
      </c>
      <c r="C233" t="s">
        <v>476</v>
      </c>
      <c r="D233" t="s">
        <v>29</v>
      </c>
      <c r="E233" t="s">
        <v>30</v>
      </c>
      <c r="F233" t="s">
        <v>31</v>
      </c>
      <c r="G233" t="s">
        <v>56</v>
      </c>
      <c r="H233" t="s">
        <v>101</v>
      </c>
      <c r="I233">
        <v>3</v>
      </c>
      <c r="J233">
        <v>3359.81</v>
      </c>
      <c r="K233">
        <v>0.05</v>
      </c>
      <c r="L233">
        <v>9575.4599999999991</v>
      </c>
      <c r="M233" t="s">
        <v>23</v>
      </c>
      <c r="N233" t="s">
        <v>49</v>
      </c>
      <c r="O233" t="s">
        <v>65</v>
      </c>
      <c r="P233" t="s">
        <v>59</v>
      </c>
    </row>
    <row r="234" spans="1:16" x14ac:dyDescent="0.3">
      <c r="A234" t="s">
        <v>477</v>
      </c>
      <c r="B234" s="1">
        <v>45777</v>
      </c>
      <c r="C234" t="s">
        <v>175</v>
      </c>
      <c r="D234" t="s">
        <v>79</v>
      </c>
      <c r="E234" t="s">
        <v>80</v>
      </c>
      <c r="F234" t="s">
        <v>31</v>
      </c>
      <c r="G234" t="s">
        <v>254</v>
      </c>
      <c r="H234" t="s">
        <v>93</v>
      </c>
      <c r="I234">
        <v>4</v>
      </c>
      <c r="J234">
        <v>11897.17</v>
      </c>
      <c r="K234">
        <v>0.05</v>
      </c>
      <c r="L234">
        <v>45209.25</v>
      </c>
      <c r="M234" t="s">
        <v>76</v>
      </c>
      <c r="N234" t="s">
        <v>71</v>
      </c>
      <c r="O234" t="s">
        <v>35</v>
      </c>
      <c r="P234" t="s">
        <v>50</v>
      </c>
    </row>
    <row r="235" spans="1:16" x14ac:dyDescent="0.3">
      <c r="A235" t="s">
        <v>478</v>
      </c>
      <c r="B235" s="1">
        <v>46107</v>
      </c>
      <c r="C235" t="s">
        <v>243</v>
      </c>
      <c r="D235" t="s">
        <v>29</v>
      </c>
      <c r="E235" t="s">
        <v>30</v>
      </c>
      <c r="F235" t="s">
        <v>31</v>
      </c>
      <c r="G235" t="s">
        <v>56</v>
      </c>
      <c r="H235" t="s">
        <v>64</v>
      </c>
      <c r="I235">
        <v>3</v>
      </c>
      <c r="J235">
        <v>3433.5</v>
      </c>
      <c r="K235">
        <v>0</v>
      </c>
      <c r="L235">
        <v>10300.5</v>
      </c>
      <c r="M235" t="s">
        <v>23</v>
      </c>
      <c r="N235" t="s">
        <v>71</v>
      </c>
      <c r="O235" t="s">
        <v>65</v>
      </c>
      <c r="P235" t="s">
        <v>42</v>
      </c>
    </row>
    <row r="236" spans="1:16" x14ac:dyDescent="0.3">
      <c r="A236" t="s">
        <v>479</v>
      </c>
      <c r="B236" s="1">
        <v>45591</v>
      </c>
      <c r="C236" t="s">
        <v>480</v>
      </c>
      <c r="D236" t="s">
        <v>53</v>
      </c>
      <c r="E236" t="s">
        <v>54</v>
      </c>
      <c r="F236" t="s">
        <v>55</v>
      </c>
      <c r="G236" t="s">
        <v>81</v>
      </c>
      <c r="H236" t="s">
        <v>135</v>
      </c>
      <c r="I236">
        <v>5</v>
      </c>
      <c r="J236">
        <v>227.33</v>
      </c>
      <c r="K236">
        <v>0.15</v>
      </c>
      <c r="L236">
        <v>966.15</v>
      </c>
      <c r="M236" t="s">
        <v>23</v>
      </c>
      <c r="N236" t="s">
        <v>49</v>
      </c>
      <c r="O236" t="s">
        <v>65</v>
      </c>
      <c r="P236" t="s">
        <v>111</v>
      </c>
    </row>
    <row r="237" spans="1:16" x14ac:dyDescent="0.3">
      <c r="A237" t="s">
        <v>481</v>
      </c>
      <c r="B237" s="1">
        <v>45728</v>
      </c>
      <c r="C237" t="s">
        <v>100</v>
      </c>
      <c r="D237" t="s">
        <v>38</v>
      </c>
      <c r="E237" t="s">
        <v>39</v>
      </c>
      <c r="F237" t="s">
        <v>40</v>
      </c>
      <c r="G237" t="s">
        <v>81</v>
      </c>
      <c r="H237" t="s">
        <v>98</v>
      </c>
      <c r="I237">
        <v>2</v>
      </c>
      <c r="J237">
        <v>1550.93</v>
      </c>
      <c r="K237">
        <v>0.03</v>
      </c>
      <c r="L237">
        <v>3008.8</v>
      </c>
      <c r="M237" t="s">
        <v>48</v>
      </c>
      <c r="N237" t="s">
        <v>24</v>
      </c>
      <c r="O237" t="s">
        <v>35</v>
      </c>
      <c r="P237" t="s">
        <v>26</v>
      </c>
    </row>
    <row r="238" spans="1:16" x14ac:dyDescent="0.3">
      <c r="A238" t="s">
        <v>482</v>
      </c>
      <c r="B238" s="1">
        <v>45427</v>
      </c>
      <c r="C238" t="s">
        <v>483</v>
      </c>
      <c r="D238" t="s">
        <v>96</v>
      </c>
      <c r="E238" t="s">
        <v>97</v>
      </c>
      <c r="F238" t="s">
        <v>31</v>
      </c>
      <c r="G238" t="s">
        <v>56</v>
      </c>
      <c r="H238" t="s">
        <v>64</v>
      </c>
      <c r="I238">
        <v>3</v>
      </c>
      <c r="J238">
        <v>1247.6099999999999</v>
      </c>
      <c r="K238">
        <v>0.03</v>
      </c>
      <c r="L238">
        <v>3630.55</v>
      </c>
      <c r="M238" t="s">
        <v>48</v>
      </c>
      <c r="N238" t="s">
        <v>58</v>
      </c>
      <c r="O238" t="s">
        <v>65</v>
      </c>
      <c r="P238" t="s">
        <v>59</v>
      </c>
    </row>
    <row r="239" spans="1:16" x14ac:dyDescent="0.3">
      <c r="A239" t="s">
        <v>484</v>
      </c>
      <c r="B239" s="1">
        <v>46040</v>
      </c>
      <c r="C239" t="s">
        <v>485</v>
      </c>
      <c r="D239" t="s">
        <v>131</v>
      </c>
      <c r="E239" t="s">
        <v>132</v>
      </c>
      <c r="F239" t="s">
        <v>40</v>
      </c>
      <c r="G239" t="s">
        <v>81</v>
      </c>
      <c r="H239" t="s">
        <v>87</v>
      </c>
      <c r="I239">
        <v>100</v>
      </c>
      <c r="J239">
        <v>9008.06</v>
      </c>
      <c r="K239">
        <v>0.05</v>
      </c>
      <c r="L239">
        <v>17115.310000000001</v>
      </c>
      <c r="M239" t="s">
        <v>76</v>
      </c>
      <c r="N239" t="s">
        <v>58</v>
      </c>
      <c r="O239" t="s">
        <v>35</v>
      </c>
      <c r="P239" t="s">
        <v>50</v>
      </c>
    </row>
    <row r="240" spans="1:16" x14ac:dyDescent="0.3">
      <c r="A240" t="s">
        <v>486</v>
      </c>
      <c r="B240" s="1">
        <v>46121</v>
      </c>
      <c r="C240" t="s">
        <v>216</v>
      </c>
      <c r="D240" t="s">
        <v>18</v>
      </c>
      <c r="E240" t="s">
        <v>19</v>
      </c>
      <c r="F240" t="s">
        <v>20</v>
      </c>
      <c r="G240" t="s">
        <v>81</v>
      </c>
      <c r="H240" t="s">
        <v>98</v>
      </c>
      <c r="I240">
        <v>2</v>
      </c>
      <c r="J240">
        <v>799.8</v>
      </c>
      <c r="K240">
        <v>0.03</v>
      </c>
      <c r="L240">
        <v>1551.61</v>
      </c>
      <c r="M240" t="s">
        <v>76</v>
      </c>
      <c r="N240" t="s">
        <v>49</v>
      </c>
      <c r="O240" t="s">
        <v>65</v>
      </c>
      <c r="P240" t="s">
        <v>111</v>
      </c>
    </row>
    <row r="241" spans="1:16" x14ac:dyDescent="0.3">
      <c r="A241" t="s">
        <v>487</v>
      </c>
      <c r="B241" s="1">
        <v>45628</v>
      </c>
      <c r="C241" t="s">
        <v>488</v>
      </c>
      <c r="D241" t="s">
        <v>62</v>
      </c>
      <c r="E241" t="s">
        <v>63</v>
      </c>
      <c r="F241" t="s">
        <v>31</v>
      </c>
      <c r="G241" t="s">
        <v>81</v>
      </c>
      <c r="H241" t="s">
        <v>87</v>
      </c>
      <c r="I241">
        <v>3</v>
      </c>
      <c r="J241">
        <v>2992.64</v>
      </c>
      <c r="K241">
        <v>0.15</v>
      </c>
      <c r="L241">
        <v>7631.23</v>
      </c>
      <c r="M241" t="s">
        <v>76</v>
      </c>
      <c r="N241" t="s">
        <v>49</v>
      </c>
      <c r="O241" t="s">
        <v>65</v>
      </c>
      <c r="P241" t="s">
        <v>111</v>
      </c>
    </row>
    <row r="242" spans="1:16" x14ac:dyDescent="0.3">
      <c r="A242" t="s">
        <v>489</v>
      </c>
      <c r="B242" s="1">
        <v>45860</v>
      </c>
      <c r="C242" t="s">
        <v>490</v>
      </c>
      <c r="D242" t="s">
        <v>89</v>
      </c>
      <c r="E242" t="s">
        <v>90</v>
      </c>
      <c r="F242" t="s">
        <v>20</v>
      </c>
      <c r="G242" t="s">
        <v>56</v>
      </c>
      <c r="H242" t="s">
        <v>101</v>
      </c>
      <c r="I242">
        <v>4</v>
      </c>
      <c r="J242">
        <v>745.76</v>
      </c>
      <c r="K242">
        <v>0.08</v>
      </c>
      <c r="L242">
        <v>2744.4</v>
      </c>
      <c r="M242" t="s">
        <v>48</v>
      </c>
      <c r="N242" t="s">
        <v>58</v>
      </c>
      <c r="O242" t="s">
        <v>65</v>
      </c>
      <c r="P242" t="s">
        <v>111</v>
      </c>
    </row>
    <row r="243" spans="1:16" x14ac:dyDescent="0.3">
      <c r="A243" t="s">
        <v>491</v>
      </c>
      <c r="B243" s="1">
        <v>45366</v>
      </c>
      <c r="C243" t="s">
        <v>297</v>
      </c>
      <c r="D243" t="s">
        <v>29</v>
      </c>
      <c r="E243" t="s">
        <v>30</v>
      </c>
      <c r="F243" t="s">
        <v>31</v>
      </c>
      <c r="G243" t="s">
        <v>81</v>
      </c>
      <c r="H243" t="s">
        <v>87</v>
      </c>
      <c r="I243">
        <v>3</v>
      </c>
      <c r="J243">
        <v>3197.09</v>
      </c>
      <c r="L243">
        <v>8823.9699999999993</v>
      </c>
      <c r="M243" t="s">
        <v>76</v>
      </c>
      <c r="N243" t="s">
        <v>24</v>
      </c>
      <c r="O243" t="s">
        <v>35</v>
      </c>
      <c r="P243" t="s">
        <v>116</v>
      </c>
    </row>
    <row r="244" spans="1:16" x14ac:dyDescent="0.3">
      <c r="A244" t="s">
        <v>492</v>
      </c>
      <c r="B244" s="1">
        <v>45877</v>
      </c>
      <c r="C244" t="s">
        <v>493</v>
      </c>
      <c r="D244" t="s">
        <v>38</v>
      </c>
      <c r="E244" t="s">
        <v>39</v>
      </c>
      <c r="F244" t="s">
        <v>40</v>
      </c>
      <c r="G244" t="s">
        <v>32</v>
      </c>
      <c r="H244" t="s">
        <v>68</v>
      </c>
      <c r="I244">
        <v>1</v>
      </c>
      <c r="J244">
        <v>1675.01</v>
      </c>
      <c r="K244">
        <v>0.1</v>
      </c>
      <c r="L244">
        <v>1507.51</v>
      </c>
      <c r="M244" t="s">
        <v>48</v>
      </c>
      <c r="N244" t="s">
        <v>49</v>
      </c>
      <c r="O244" t="s">
        <v>25</v>
      </c>
      <c r="P244" t="s">
        <v>26</v>
      </c>
    </row>
    <row r="245" spans="1:16" x14ac:dyDescent="0.3">
      <c r="A245" t="s">
        <v>494</v>
      </c>
      <c r="B245" s="1">
        <v>46088</v>
      </c>
      <c r="C245" t="s">
        <v>153</v>
      </c>
      <c r="D245" t="s">
        <v>96</v>
      </c>
      <c r="E245" t="s">
        <v>97</v>
      </c>
      <c r="F245" t="s">
        <v>31</v>
      </c>
      <c r="G245" t="s">
        <v>32</v>
      </c>
      <c r="H245" t="s">
        <v>33</v>
      </c>
      <c r="I245">
        <v>1</v>
      </c>
      <c r="J245">
        <v>1181.1199999999999</v>
      </c>
      <c r="K245">
        <v>0.05</v>
      </c>
      <c r="L245">
        <v>1122.06</v>
      </c>
      <c r="M245" t="s">
        <v>48</v>
      </c>
      <c r="N245" t="s">
        <v>49</v>
      </c>
      <c r="O245" t="s">
        <v>65</v>
      </c>
      <c r="P245" t="s">
        <v>102</v>
      </c>
    </row>
    <row r="246" spans="1:16" x14ac:dyDescent="0.3">
      <c r="A246" t="s">
        <v>495</v>
      </c>
      <c r="B246" s="1">
        <v>45685</v>
      </c>
      <c r="C246" t="s">
        <v>311</v>
      </c>
      <c r="D246" t="s">
        <v>105</v>
      </c>
      <c r="E246" t="s">
        <v>106</v>
      </c>
      <c r="F246" t="s">
        <v>40</v>
      </c>
      <c r="G246" t="s">
        <v>32</v>
      </c>
      <c r="H246" t="s">
        <v>68</v>
      </c>
      <c r="I246">
        <v>3</v>
      </c>
      <c r="J246">
        <v>6819.61</v>
      </c>
      <c r="K246">
        <v>0.1</v>
      </c>
      <c r="L246">
        <v>18412.95</v>
      </c>
      <c r="M246" t="s">
        <v>23</v>
      </c>
      <c r="N246" t="s">
        <v>49</v>
      </c>
      <c r="O246" t="s">
        <v>65</v>
      </c>
      <c r="P246" t="s">
        <v>26</v>
      </c>
    </row>
    <row r="247" spans="1:16" x14ac:dyDescent="0.3">
      <c r="A247" t="s">
        <v>496</v>
      </c>
      <c r="B247" s="1">
        <v>46157</v>
      </c>
      <c r="C247" t="s">
        <v>275</v>
      </c>
      <c r="D247" t="s">
        <v>18</v>
      </c>
      <c r="E247" t="s">
        <v>19</v>
      </c>
      <c r="F247" t="s">
        <v>20</v>
      </c>
      <c r="G247" t="s">
        <v>56</v>
      </c>
      <c r="H247" t="s">
        <v>64</v>
      </c>
      <c r="I247">
        <v>1</v>
      </c>
      <c r="J247">
        <v>874.66</v>
      </c>
      <c r="K247">
        <v>0.15</v>
      </c>
      <c r="L247">
        <v>743.46</v>
      </c>
      <c r="M247" t="s">
        <v>48</v>
      </c>
      <c r="N247" t="s">
        <v>71</v>
      </c>
      <c r="O247" t="s">
        <v>65</v>
      </c>
      <c r="P247" t="s">
        <v>111</v>
      </c>
    </row>
    <row r="248" spans="1:16" x14ac:dyDescent="0.3">
      <c r="A248" t="s">
        <v>497</v>
      </c>
      <c r="B248" s="1">
        <v>46184</v>
      </c>
      <c r="C248" t="s">
        <v>447</v>
      </c>
      <c r="D248" t="s">
        <v>79</v>
      </c>
      <c r="E248" t="s">
        <v>80</v>
      </c>
      <c r="F248" t="s">
        <v>31</v>
      </c>
      <c r="G248" t="s">
        <v>32</v>
      </c>
      <c r="H248" t="s">
        <v>47</v>
      </c>
      <c r="I248">
        <v>5</v>
      </c>
      <c r="J248">
        <v>12855.42</v>
      </c>
      <c r="K248">
        <v>0.15</v>
      </c>
      <c r="L248">
        <v>54635.53</v>
      </c>
      <c r="M248" t="s">
        <v>48</v>
      </c>
      <c r="N248" t="s">
        <v>24</v>
      </c>
      <c r="O248" t="s">
        <v>65</v>
      </c>
      <c r="P248" t="s">
        <v>102</v>
      </c>
    </row>
    <row r="249" spans="1:16" x14ac:dyDescent="0.3">
      <c r="A249" t="s">
        <v>498</v>
      </c>
      <c r="B249" s="1">
        <v>45543</v>
      </c>
      <c r="C249" t="s">
        <v>499</v>
      </c>
      <c r="D249" t="s">
        <v>105</v>
      </c>
      <c r="E249" t="s">
        <v>106</v>
      </c>
      <c r="F249" t="s">
        <v>40</v>
      </c>
      <c r="G249" t="s">
        <v>32</v>
      </c>
      <c r="H249" t="s">
        <v>33</v>
      </c>
      <c r="I249">
        <v>3</v>
      </c>
      <c r="J249">
        <v>7119.31</v>
      </c>
      <c r="K249">
        <v>0.03</v>
      </c>
      <c r="L249">
        <v>20717.189999999999</v>
      </c>
      <c r="M249" t="s">
        <v>48</v>
      </c>
      <c r="N249" t="s">
        <v>58</v>
      </c>
      <c r="O249" t="s">
        <v>35</v>
      </c>
      <c r="P249" t="s">
        <v>111</v>
      </c>
    </row>
    <row r="250" spans="1:16" x14ac:dyDescent="0.3">
      <c r="A250" t="s">
        <v>500</v>
      </c>
      <c r="B250" s="1">
        <v>45846</v>
      </c>
      <c r="C250" t="s">
        <v>501</v>
      </c>
      <c r="D250" t="s">
        <v>18</v>
      </c>
      <c r="E250" t="s">
        <v>19</v>
      </c>
      <c r="F250" t="s">
        <v>20</v>
      </c>
      <c r="G250" t="s">
        <v>21</v>
      </c>
      <c r="H250" t="s">
        <v>126</v>
      </c>
      <c r="I250">
        <v>2</v>
      </c>
      <c r="J250">
        <v>810.98</v>
      </c>
      <c r="K250">
        <v>0.15</v>
      </c>
      <c r="L250">
        <v>1378.67</v>
      </c>
      <c r="M250" t="s">
        <v>23</v>
      </c>
      <c r="N250" t="s">
        <v>24</v>
      </c>
      <c r="O250" t="s">
        <v>65</v>
      </c>
      <c r="P250" t="s">
        <v>42</v>
      </c>
    </row>
    <row r="251" spans="1:16" x14ac:dyDescent="0.3">
      <c r="A251" t="s">
        <v>502</v>
      </c>
      <c r="B251" s="1">
        <v>46198</v>
      </c>
      <c r="C251" t="s">
        <v>130</v>
      </c>
      <c r="D251" t="s">
        <v>62</v>
      </c>
      <c r="E251" t="s">
        <v>63</v>
      </c>
      <c r="F251" t="s">
        <v>31</v>
      </c>
      <c r="G251" t="s">
        <v>81</v>
      </c>
      <c r="H251" t="s">
        <v>135</v>
      </c>
      <c r="I251">
        <v>2</v>
      </c>
      <c r="J251">
        <v>2808.47</v>
      </c>
      <c r="K251">
        <v>0.03</v>
      </c>
      <c r="L251">
        <v>5448.43</v>
      </c>
      <c r="M251" t="s">
        <v>48</v>
      </c>
      <c r="N251" t="s">
        <v>71</v>
      </c>
      <c r="O251" t="s">
        <v>65</v>
      </c>
      <c r="P251" t="s">
        <v>59</v>
      </c>
    </row>
    <row r="252" spans="1:16" x14ac:dyDescent="0.3">
      <c r="A252" t="s">
        <v>503</v>
      </c>
      <c r="B252" s="1">
        <v>45600</v>
      </c>
      <c r="C252" t="s">
        <v>504</v>
      </c>
      <c r="D252" t="s">
        <v>18</v>
      </c>
      <c r="E252" t="s">
        <v>19</v>
      </c>
      <c r="F252" t="s">
        <v>20</v>
      </c>
      <c r="G252" t="s">
        <v>81</v>
      </c>
      <c r="H252" t="s">
        <v>82</v>
      </c>
      <c r="I252">
        <v>2</v>
      </c>
      <c r="J252">
        <v>808.59</v>
      </c>
      <c r="K252">
        <v>0.03</v>
      </c>
      <c r="L252">
        <v>1568.66</v>
      </c>
      <c r="M252" t="s">
        <v>76</v>
      </c>
      <c r="N252" t="s">
        <v>24</v>
      </c>
      <c r="O252" t="s">
        <v>65</v>
      </c>
      <c r="P252" t="s">
        <v>26</v>
      </c>
    </row>
    <row r="253" spans="1:16" x14ac:dyDescent="0.3">
      <c r="A253" t="s">
        <v>505</v>
      </c>
      <c r="B253" s="1">
        <v>46077</v>
      </c>
      <c r="C253" t="s">
        <v>468</v>
      </c>
      <c r="D253" t="s">
        <v>53</v>
      </c>
      <c r="E253" t="s">
        <v>54</v>
      </c>
      <c r="F253" t="s">
        <v>55</v>
      </c>
      <c r="G253" t="s">
        <v>21</v>
      </c>
      <c r="H253" t="s">
        <v>93</v>
      </c>
      <c r="I253">
        <v>4</v>
      </c>
      <c r="J253">
        <v>237</v>
      </c>
      <c r="K253">
        <v>0.1</v>
      </c>
      <c r="L253">
        <v>853.2</v>
      </c>
      <c r="M253" t="s">
        <v>76</v>
      </c>
      <c r="N253" t="s">
        <v>24</v>
      </c>
      <c r="O253" t="s">
        <v>65</v>
      </c>
      <c r="P253" t="s">
        <v>102</v>
      </c>
    </row>
    <row r="254" spans="1:16" x14ac:dyDescent="0.3">
      <c r="A254" t="s">
        <v>506</v>
      </c>
      <c r="B254" s="1">
        <v>45357</v>
      </c>
      <c r="C254" t="s">
        <v>245</v>
      </c>
      <c r="D254" t="s">
        <v>79</v>
      </c>
      <c r="E254" t="s">
        <v>80</v>
      </c>
      <c r="F254" t="s">
        <v>31</v>
      </c>
      <c r="G254" t="s">
        <v>32</v>
      </c>
      <c r="H254" t="s">
        <v>33</v>
      </c>
      <c r="I254">
        <v>4</v>
      </c>
      <c r="J254">
        <v>11695.58</v>
      </c>
      <c r="K254">
        <v>0</v>
      </c>
      <c r="L254">
        <v>46782.32</v>
      </c>
      <c r="M254" t="s">
        <v>76</v>
      </c>
      <c r="N254" t="s">
        <v>71</v>
      </c>
      <c r="O254" t="s">
        <v>65</v>
      </c>
      <c r="P254" t="s">
        <v>50</v>
      </c>
    </row>
    <row r="255" spans="1:16" x14ac:dyDescent="0.3">
      <c r="A255" t="s">
        <v>507</v>
      </c>
      <c r="B255" s="1">
        <v>45461</v>
      </c>
      <c r="C255" t="s">
        <v>508</v>
      </c>
      <c r="D255" t="s">
        <v>121</v>
      </c>
      <c r="E255" t="s">
        <v>122</v>
      </c>
      <c r="F255" t="s">
        <v>55</v>
      </c>
      <c r="G255" t="s">
        <v>260</v>
      </c>
      <c r="H255" t="s">
        <v>57</v>
      </c>
      <c r="I255">
        <v>2</v>
      </c>
      <c r="J255">
        <v>471.32</v>
      </c>
      <c r="K255">
        <v>0.05</v>
      </c>
      <c r="L255">
        <v>895.51</v>
      </c>
      <c r="M255" t="s">
        <v>76</v>
      </c>
      <c r="N255" t="s">
        <v>34</v>
      </c>
      <c r="O255" t="s">
        <v>65</v>
      </c>
      <c r="P255" t="s">
        <v>42</v>
      </c>
    </row>
    <row r="256" spans="1:16" x14ac:dyDescent="0.3">
      <c r="A256" t="s">
        <v>509</v>
      </c>
      <c r="B256" s="1">
        <v>45840</v>
      </c>
      <c r="C256" t="s">
        <v>188</v>
      </c>
      <c r="D256" t="s">
        <v>131</v>
      </c>
      <c r="E256" t="s">
        <v>132</v>
      </c>
      <c r="F256" t="s">
        <v>40</v>
      </c>
      <c r="G256" t="s">
        <v>81</v>
      </c>
      <c r="H256" t="s">
        <v>82</v>
      </c>
      <c r="I256">
        <v>2</v>
      </c>
      <c r="J256">
        <v>10174.57</v>
      </c>
      <c r="K256">
        <v>0.03</v>
      </c>
      <c r="L256">
        <v>19738.669999999998</v>
      </c>
      <c r="M256" t="s">
        <v>76</v>
      </c>
      <c r="N256" t="s">
        <v>34</v>
      </c>
      <c r="O256" t="s">
        <v>65</v>
      </c>
      <c r="P256" t="s">
        <v>59</v>
      </c>
    </row>
    <row r="257" spans="1:16" x14ac:dyDescent="0.3">
      <c r="A257" t="s">
        <v>510</v>
      </c>
      <c r="B257" s="1">
        <v>46064</v>
      </c>
      <c r="C257" t="s">
        <v>511</v>
      </c>
      <c r="D257" t="s">
        <v>176</v>
      </c>
      <c r="E257" t="s">
        <v>177</v>
      </c>
      <c r="F257" t="s">
        <v>31</v>
      </c>
      <c r="G257" t="s">
        <v>56</v>
      </c>
      <c r="H257" t="s">
        <v>101</v>
      </c>
      <c r="I257">
        <v>2</v>
      </c>
      <c r="J257">
        <v>2081</v>
      </c>
      <c r="K257">
        <v>0</v>
      </c>
      <c r="L257">
        <v>4162</v>
      </c>
      <c r="M257" t="s">
        <v>76</v>
      </c>
      <c r="N257" t="s">
        <v>49</v>
      </c>
      <c r="O257" t="s">
        <v>65</v>
      </c>
      <c r="P257" t="s">
        <v>50</v>
      </c>
    </row>
    <row r="258" spans="1:16" x14ac:dyDescent="0.3">
      <c r="A258" t="s">
        <v>512</v>
      </c>
      <c r="B258" s="1">
        <v>45650</v>
      </c>
      <c r="C258" t="s">
        <v>200</v>
      </c>
      <c r="D258" t="s">
        <v>62</v>
      </c>
      <c r="E258" t="s">
        <v>63</v>
      </c>
      <c r="F258" t="s">
        <v>31</v>
      </c>
      <c r="G258" t="s">
        <v>21</v>
      </c>
      <c r="H258" t="s">
        <v>126</v>
      </c>
      <c r="I258">
        <v>5</v>
      </c>
      <c r="J258">
        <v>2677.99</v>
      </c>
      <c r="K258">
        <v>0.03</v>
      </c>
      <c r="L258">
        <v>12988.25</v>
      </c>
      <c r="M258" t="s">
        <v>23</v>
      </c>
      <c r="N258" t="s">
        <v>34</v>
      </c>
      <c r="O258" t="s">
        <v>25</v>
      </c>
      <c r="P258" t="s">
        <v>116</v>
      </c>
    </row>
    <row r="259" spans="1:16" x14ac:dyDescent="0.3">
      <c r="A259" t="s">
        <v>513</v>
      </c>
      <c r="B259" s="1">
        <v>45570</v>
      </c>
      <c r="C259" t="s">
        <v>514</v>
      </c>
      <c r="D259" t="s">
        <v>96</v>
      </c>
      <c r="E259" t="s">
        <v>97</v>
      </c>
      <c r="F259" t="s">
        <v>31</v>
      </c>
      <c r="G259" t="s">
        <v>21</v>
      </c>
      <c r="H259" t="s">
        <v>41</v>
      </c>
      <c r="I259">
        <v>3</v>
      </c>
      <c r="J259">
        <v>1128.6300000000001</v>
      </c>
      <c r="K259">
        <v>0.15</v>
      </c>
      <c r="L259">
        <v>2878.01</v>
      </c>
      <c r="M259" t="s">
        <v>23</v>
      </c>
      <c r="N259" t="s">
        <v>34</v>
      </c>
      <c r="O259" t="s">
        <v>65</v>
      </c>
      <c r="P259" t="s">
        <v>26</v>
      </c>
    </row>
    <row r="260" spans="1:16" x14ac:dyDescent="0.3">
      <c r="A260" t="s">
        <v>515</v>
      </c>
      <c r="B260" s="1">
        <v>46181</v>
      </c>
      <c r="C260" t="s">
        <v>516</v>
      </c>
      <c r="D260" t="s">
        <v>121</v>
      </c>
      <c r="E260" t="s">
        <v>122</v>
      </c>
      <c r="F260" t="s">
        <v>55</v>
      </c>
      <c r="G260" t="s">
        <v>81</v>
      </c>
      <c r="H260" t="s">
        <v>98</v>
      </c>
      <c r="I260">
        <v>5</v>
      </c>
      <c r="J260">
        <v>467.62</v>
      </c>
      <c r="K260">
        <v>0.03</v>
      </c>
      <c r="L260">
        <v>2267.96</v>
      </c>
      <c r="M260" t="s">
        <v>48</v>
      </c>
      <c r="N260" t="s">
        <v>71</v>
      </c>
      <c r="O260" t="s">
        <v>35</v>
      </c>
      <c r="P260" t="s">
        <v>116</v>
      </c>
    </row>
    <row r="261" spans="1:16" x14ac:dyDescent="0.3">
      <c r="A261" t="s">
        <v>517</v>
      </c>
      <c r="B261" s="1">
        <v>45554</v>
      </c>
      <c r="C261" t="s">
        <v>275</v>
      </c>
      <c r="D261" t="s">
        <v>121</v>
      </c>
      <c r="E261" t="s">
        <v>122</v>
      </c>
      <c r="F261" t="s">
        <v>55</v>
      </c>
      <c r="G261" t="s">
        <v>81</v>
      </c>
      <c r="H261" t="s">
        <v>82</v>
      </c>
      <c r="I261">
        <v>5</v>
      </c>
      <c r="J261">
        <v>450.21</v>
      </c>
      <c r="K261">
        <v>0.03</v>
      </c>
      <c r="L261">
        <v>2183.52</v>
      </c>
      <c r="M261" t="s">
        <v>76</v>
      </c>
      <c r="N261" t="s">
        <v>24</v>
      </c>
      <c r="O261" t="s">
        <v>25</v>
      </c>
      <c r="P261" t="s">
        <v>59</v>
      </c>
    </row>
    <row r="262" spans="1:16" x14ac:dyDescent="0.3">
      <c r="A262" t="s">
        <v>518</v>
      </c>
      <c r="B262" s="1">
        <v>46050</v>
      </c>
      <c r="C262" t="s">
        <v>355</v>
      </c>
      <c r="D262" t="s">
        <v>18</v>
      </c>
      <c r="E262" t="s">
        <v>19</v>
      </c>
      <c r="F262" t="s">
        <v>20</v>
      </c>
      <c r="G262" t="s">
        <v>32</v>
      </c>
      <c r="H262" t="s">
        <v>33</v>
      </c>
      <c r="I262">
        <v>5</v>
      </c>
      <c r="J262">
        <v>882.17</v>
      </c>
      <c r="K262">
        <v>0.15</v>
      </c>
      <c r="L262">
        <v>3749.22</v>
      </c>
      <c r="M262" t="s">
        <v>48</v>
      </c>
      <c r="N262" t="s">
        <v>58</v>
      </c>
      <c r="O262" t="s">
        <v>65</v>
      </c>
      <c r="P262" t="s">
        <v>111</v>
      </c>
    </row>
    <row r="263" spans="1:16" x14ac:dyDescent="0.3">
      <c r="A263" t="s">
        <v>519</v>
      </c>
      <c r="B263" s="1">
        <v>45463</v>
      </c>
      <c r="C263" t="s">
        <v>520</v>
      </c>
      <c r="D263" t="s">
        <v>105</v>
      </c>
      <c r="E263" t="s">
        <v>106</v>
      </c>
      <c r="F263" t="s">
        <v>40</v>
      </c>
      <c r="G263" t="s">
        <v>32</v>
      </c>
      <c r="H263" t="s">
        <v>47</v>
      </c>
      <c r="I263">
        <v>3</v>
      </c>
      <c r="J263">
        <v>7455.56</v>
      </c>
      <c r="K263">
        <v>0.2</v>
      </c>
      <c r="L263">
        <v>17893.34</v>
      </c>
      <c r="M263" t="s">
        <v>23</v>
      </c>
      <c r="N263" t="s">
        <v>34</v>
      </c>
      <c r="O263" t="s">
        <v>65</v>
      </c>
      <c r="P263" t="s">
        <v>42</v>
      </c>
    </row>
    <row r="264" spans="1:16" x14ac:dyDescent="0.3">
      <c r="A264" t="s">
        <v>521</v>
      </c>
      <c r="B264" s="1">
        <v>45616</v>
      </c>
      <c r="C264" t="s">
        <v>499</v>
      </c>
      <c r="D264" t="s">
        <v>176</v>
      </c>
      <c r="E264" t="s">
        <v>177</v>
      </c>
      <c r="F264" t="s">
        <v>31</v>
      </c>
      <c r="G264" t="s">
        <v>21</v>
      </c>
      <c r="H264" t="s">
        <v>126</v>
      </c>
      <c r="I264">
        <v>3</v>
      </c>
      <c r="J264">
        <v>2057.02</v>
      </c>
      <c r="K264">
        <v>0</v>
      </c>
      <c r="L264">
        <v>6171.06</v>
      </c>
      <c r="M264" t="s">
        <v>76</v>
      </c>
      <c r="N264" t="s">
        <v>49</v>
      </c>
      <c r="O264" t="s">
        <v>25</v>
      </c>
      <c r="P264" t="s">
        <v>72</v>
      </c>
    </row>
    <row r="265" spans="1:16" x14ac:dyDescent="0.3">
      <c r="A265" t="s">
        <v>522</v>
      </c>
      <c r="B265" s="1">
        <v>45551</v>
      </c>
      <c r="C265" t="s">
        <v>262</v>
      </c>
      <c r="D265" t="s">
        <v>53</v>
      </c>
      <c r="E265" t="s">
        <v>54</v>
      </c>
      <c r="F265" t="s">
        <v>55</v>
      </c>
      <c r="G265" t="s">
        <v>32</v>
      </c>
      <c r="H265" t="s">
        <v>47</v>
      </c>
      <c r="I265">
        <v>4</v>
      </c>
      <c r="J265">
        <v>236.9</v>
      </c>
      <c r="K265">
        <v>0.05</v>
      </c>
      <c r="L265">
        <v>900.22</v>
      </c>
      <c r="M265" t="s">
        <v>48</v>
      </c>
      <c r="N265" t="s">
        <v>58</v>
      </c>
      <c r="O265" t="s">
        <v>65</v>
      </c>
      <c r="P265" t="s">
        <v>111</v>
      </c>
    </row>
    <row r="266" spans="1:16" x14ac:dyDescent="0.3">
      <c r="A266" t="s">
        <v>523</v>
      </c>
      <c r="B266" s="1">
        <v>45481</v>
      </c>
      <c r="C266" t="s">
        <v>115</v>
      </c>
      <c r="D266" t="s">
        <v>105</v>
      </c>
      <c r="E266" t="s">
        <v>106</v>
      </c>
      <c r="F266" t="s">
        <v>40</v>
      </c>
      <c r="G266" t="s">
        <v>81</v>
      </c>
      <c r="H266" t="s">
        <v>135</v>
      </c>
      <c r="I266">
        <v>4</v>
      </c>
      <c r="J266">
        <v>7579.69</v>
      </c>
      <c r="K266">
        <v>0.05</v>
      </c>
      <c r="L266">
        <v>28802.82</v>
      </c>
      <c r="M266" t="s">
        <v>23</v>
      </c>
      <c r="N266" t="s">
        <v>24</v>
      </c>
      <c r="O266" t="s">
        <v>65</v>
      </c>
      <c r="P266" t="s">
        <v>102</v>
      </c>
    </row>
    <row r="267" spans="1:16" x14ac:dyDescent="0.3">
      <c r="A267" t="s">
        <v>524</v>
      </c>
      <c r="B267" s="1">
        <v>45941</v>
      </c>
      <c r="C267" t="s">
        <v>357</v>
      </c>
      <c r="D267" t="s">
        <v>131</v>
      </c>
      <c r="E267" t="s">
        <v>132</v>
      </c>
      <c r="F267" t="s">
        <v>40</v>
      </c>
      <c r="G267" t="s">
        <v>21</v>
      </c>
      <c r="H267" t="s">
        <v>93</v>
      </c>
      <c r="I267">
        <v>4</v>
      </c>
      <c r="J267">
        <v>8823.92</v>
      </c>
      <c r="K267">
        <v>0.08</v>
      </c>
      <c r="L267">
        <v>32472.03</v>
      </c>
      <c r="M267" t="s">
        <v>48</v>
      </c>
      <c r="N267" t="s">
        <v>34</v>
      </c>
      <c r="O267" t="s">
        <v>35</v>
      </c>
      <c r="P267" t="s">
        <v>72</v>
      </c>
    </row>
    <row r="268" spans="1:16" x14ac:dyDescent="0.3">
      <c r="A268" t="s">
        <v>525</v>
      </c>
      <c r="B268" s="1">
        <v>46059</v>
      </c>
      <c r="C268" t="s">
        <v>526</v>
      </c>
      <c r="D268" t="s">
        <v>105</v>
      </c>
      <c r="E268" t="s">
        <v>106</v>
      </c>
      <c r="F268" t="s">
        <v>40</v>
      </c>
      <c r="G268" t="s">
        <v>56</v>
      </c>
      <c r="H268" t="s">
        <v>101</v>
      </c>
      <c r="I268">
        <v>5</v>
      </c>
      <c r="J268">
        <v>7487.66</v>
      </c>
      <c r="K268">
        <v>0.2</v>
      </c>
      <c r="L268">
        <v>29950.639999999999</v>
      </c>
      <c r="M268" t="s">
        <v>23</v>
      </c>
      <c r="N268" t="s">
        <v>24</v>
      </c>
      <c r="O268" t="s">
        <v>25</v>
      </c>
      <c r="P268" t="s">
        <v>50</v>
      </c>
    </row>
    <row r="269" spans="1:16" x14ac:dyDescent="0.3">
      <c r="A269" t="s">
        <v>527</v>
      </c>
      <c r="B269" s="1">
        <v>45972</v>
      </c>
      <c r="C269" t="s">
        <v>528</v>
      </c>
      <c r="D269" t="s">
        <v>18</v>
      </c>
      <c r="E269" t="s">
        <v>19</v>
      </c>
      <c r="F269" t="s">
        <v>20</v>
      </c>
      <c r="G269" t="s">
        <v>32</v>
      </c>
      <c r="H269" t="s">
        <v>47</v>
      </c>
      <c r="I269">
        <v>2</v>
      </c>
      <c r="J269">
        <v>854.26</v>
      </c>
      <c r="K269">
        <v>0.03</v>
      </c>
      <c r="L269">
        <v>1657.26</v>
      </c>
      <c r="M269" t="s">
        <v>48</v>
      </c>
      <c r="N269" t="s">
        <v>58</v>
      </c>
      <c r="O269" t="s">
        <v>35</v>
      </c>
      <c r="P269" t="s">
        <v>50</v>
      </c>
    </row>
    <row r="270" spans="1:16" x14ac:dyDescent="0.3">
      <c r="A270" t="s">
        <v>529</v>
      </c>
      <c r="B270" s="1">
        <v>45663</v>
      </c>
      <c r="C270" t="s">
        <v>164</v>
      </c>
      <c r="D270" t="s">
        <v>170</v>
      </c>
      <c r="E270" t="s">
        <v>171</v>
      </c>
      <c r="F270" t="s">
        <v>31</v>
      </c>
      <c r="G270" t="s">
        <v>56</v>
      </c>
      <c r="H270" t="s">
        <v>123</v>
      </c>
      <c r="I270">
        <v>5</v>
      </c>
      <c r="J270">
        <v>66409.83</v>
      </c>
      <c r="K270">
        <v>0.08</v>
      </c>
      <c r="L270">
        <v>305485.21999999997</v>
      </c>
      <c r="M270" t="s">
        <v>48</v>
      </c>
      <c r="N270" t="s">
        <v>34</v>
      </c>
      <c r="O270" t="s">
        <v>65</v>
      </c>
      <c r="P270" t="s">
        <v>72</v>
      </c>
    </row>
    <row r="271" spans="1:16" x14ac:dyDescent="0.3">
      <c r="A271" t="s">
        <v>530</v>
      </c>
      <c r="B271" s="1">
        <v>45726</v>
      </c>
      <c r="C271" t="s">
        <v>531</v>
      </c>
      <c r="D271" t="s">
        <v>96</v>
      </c>
      <c r="E271" t="s">
        <v>97</v>
      </c>
      <c r="F271" t="s">
        <v>31</v>
      </c>
      <c r="G271" t="s">
        <v>56</v>
      </c>
      <c r="H271" t="s">
        <v>57</v>
      </c>
      <c r="I271">
        <v>1</v>
      </c>
      <c r="J271">
        <v>1142.69</v>
      </c>
      <c r="K271">
        <v>0.1</v>
      </c>
      <c r="L271">
        <v>1028.42</v>
      </c>
      <c r="M271" t="s">
        <v>48</v>
      </c>
      <c r="N271" t="s">
        <v>34</v>
      </c>
      <c r="O271" t="s">
        <v>65</v>
      </c>
      <c r="P271" t="s">
        <v>42</v>
      </c>
    </row>
    <row r="272" spans="1:16" x14ac:dyDescent="0.3">
      <c r="A272" t="s">
        <v>532</v>
      </c>
      <c r="B272" s="1">
        <v>46177</v>
      </c>
      <c r="C272" t="s">
        <v>457</v>
      </c>
      <c r="D272" t="s">
        <v>85</v>
      </c>
      <c r="E272" t="s">
        <v>86</v>
      </c>
      <c r="F272" t="s">
        <v>20</v>
      </c>
      <c r="G272" t="s">
        <v>81</v>
      </c>
      <c r="H272" t="s">
        <v>82</v>
      </c>
      <c r="I272">
        <v>1</v>
      </c>
      <c r="J272">
        <v>1916.03</v>
      </c>
      <c r="K272">
        <v>0.03</v>
      </c>
      <c r="L272">
        <v>1858.55</v>
      </c>
      <c r="M272" t="s">
        <v>48</v>
      </c>
      <c r="N272" t="s">
        <v>34</v>
      </c>
      <c r="O272" t="s">
        <v>65</v>
      </c>
      <c r="P272" t="s">
        <v>111</v>
      </c>
    </row>
    <row r="273" spans="1:16" x14ac:dyDescent="0.3">
      <c r="A273" t="s">
        <v>533</v>
      </c>
      <c r="B273" s="1">
        <v>45446</v>
      </c>
      <c r="C273" t="s">
        <v>334</v>
      </c>
      <c r="D273" t="s">
        <v>131</v>
      </c>
      <c r="E273" t="s">
        <v>132</v>
      </c>
      <c r="F273" t="s">
        <v>40</v>
      </c>
      <c r="G273" t="s">
        <v>81</v>
      </c>
      <c r="H273" t="s">
        <v>98</v>
      </c>
      <c r="I273">
        <v>1</v>
      </c>
      <c r="J273">
        <v>8922.57</v>
      </c>
      <c r="K273">
        <v>0</v>
      </c>
      <c r="L273">
        <v>8922.57</v>
      </c>
      <c r="M273" t="s">
        <v>23</v>
      </c>
      <c r="N273" t="s">
        <v>34</v>
      </c>
      <c r="O273" t="s">
        <v>65</v>
      </c>
      <c r="P273" t="s">
        <v>72</v>
      </c>
    </row>
    <row r="274" spans="1:16" x14ac:dyDescent="0.3">
      <c r="A274" t="s">
        <v>534</v>
      </c>
      <c r="B274" s="1">
        <v>45319</v>
      </c>
      <c r="C274" t="s">
        <v>535</v>
      </c>
      <c r="D274" t="s">
        <v>96</v>
      </c>
      <c r="E274" t="s">
        <v>97</v>
      </c>
      <c r="F274" t="s">
        <v>31</v>
      </c>
      <c r="G274" t="s">
        <v>21</v>
      </c>
      <c r="H274" t="s">
        <v>22</v>
      </c>
      <c r="I274">
        <v>5</v>
      </c>
      <c r="J274">
        <v>1252.69</v>
      </c>
      <c r="K274">
        <v>0.15</v>
      </c>
      <c r="L274">
        <v>5323.93</v>
      </c>
      <c r="M274" t="s">
        <v>76</v>
      </c>
      <c r="N274" t="s">
        <v>24</v>
      </c>
      <c r="O274" t="s">
        <v>25</v>
      </c>
      <c r="P274" t="s">
        <v>42</v>
      </c>
    </row>
    <row r="275" spans="1:16" x14ac:dyDescent="0.3">
      <c r="A275" t="s">
        <v>536</v>
      </c>
      <c r="B275" s="1">
        <v>45874</v>
      </c>
      <c r="C275" t="s">
        <v>74</v>
      </c>
      <c r="D275" t="s">
        <v>121</v>
      </c>
      <c r="E275" t="s">
        <v>122</v>
      </c>
      <c r="F275" t="s">
        <v>55</v>
      </c>
      <c r="G275" t="s">
        <v>21</v>
      </c>
      <c r="H275" t="s">
        <v>93</v>
      </c>
      <c r="I275">
        <v>5</v>
      </c>
      <c r="J275">
        <v>446.21</v>
      </c>
      <c r="K275">
        <v>0.1</v>
      </c>
      <c r="L275">
        <v>2007.94</v>
      </c>
      <c r="M275" t="s">
        <v>23</v>
      </c>
      <c r="N275" t="s">
        <v>24</v>
      </c>
      <c r="O275" t="s">
        <v>65</v>
      </c>
      <c r="P275" t="s">
        <v>50</v>
      </c>
    </row>
    <row r="276" spans="1:16" x14ac:dyDescent="0.3">
      <c r="A276" t="s">
        <v>537</v>
      </c>
      <c r="B276" s="1">
        <v>45675</v>
      </c>
      <c r="C276" t="s">
        <v>238</v>
      </c>
      <c r="D276" t="s">
        <v>18</v>
      </c>
      <c r="E276" t="s">
        <v>19</v>
      </c>
      <c r="F276" t="s">
        <v>20</v>
      </c>
      <c r="G276" t="s">
        <v>32</v>
      </c>
      <c r="H276" t="s">
        <v>47</v>
      </c>
      <c r="I276">
        <v>2</v>
      </c>
      <c r="J276">
        <v>815.5</v>
      </c>
      <c r="K276">
        <v>0.05</v>
      </c>
      <c r="L276">
        <v>1549.45</v>
      </c>
      <c r="M276" t="s">
        <v>48</v>
      </c>
      <c r="N276" t="s">
        <v>49</v>
      </c>
      <c r="O276" t="s">
        <v>65</v>
      </c>
    </row>
    <row r="277" spans="1:16" x14ac:dyDescent="0.3">
      <c r="A277" t="s">
        <v>538</v>
      </c>
      <c r="B277" s="1">
        <v>45917</v>
      </c>
      <c r="C277" t="s">
        <v>539</v>
      </c>
      <c r="D277" t="s">
        <v>176</v>
      </c>
      <c r="E277" t="s">
        <v>177</v>
      </c>
      <c r="F277" t="s">
        <v>31</v>
      </c>
      <c r="G277" t="s">
        <v>32</v>
      </c>
      <c r="H277" t="s">
        <v>33</v>
      </c>
      <c r="I277">
        <v>5</v>
      </c>
      <c r="J277">
        <v>2293.29</v>
      </c>
      <c r="K277">
        <v>0</v>
      </c>
      <c r="L277">
        <v>11466.45</v>
      </c>
      <c r="M277" t="s">
        <v>48</v>
      </c>
      <c r="N277" t="s">
        <v>58</v>
      </c>
      <c r="O277" t="s">
        <v>65</v>
      </c>
      <c r="P277" t="s">
        <v>26</v>
      </c>
    </row>
    <row r="278" spans="1:16" x14ac:dyDescent="0.3">
      <c r="A278" t="s">
        <v>540</v>
      </c>
      <c r="B278" s="1">
        <v>45885</v>
      </c>
      <c r="C278" t="s">
        <v>149</v>
      </c>
      <c r="D278" t="s">
        <v>62</v>
      </c>
      <c r="E278" t="s">
        <v>63</v>
      </c>
      <c r="F278" t="s">
        <v>31</v>
      </c>
      <c r="G278" t="s">
        <v>81</v>
      </c>
      <c r="H278" t="s">
        <v>87</v>
      </c>
      <c r="I278">
        <v>2</v>
      </c>
      <c r="J278">
        <v>2705.85</v>
      </c>
      <c r="K278">
        <v>0.2</v>
      </c>
      <c r="L278">
        <v>4329.3599999999997</v>
      </c>
      <c r="M278" t="s">
        <v>76</v>
      </c>
      <c r="N278" t="s">
        <v>58</v>
      </c>
      <c r="O278" t="s">
        <v>65</v>
      </c>
      <c r="P278" t="s">
        <v>59</v>
      </c>
    </row>
    <row r="279" spans="1:16" x14ac:dyDescent="0.3">
      <c r="A279" t="s">
        <v>541</v>
      </c>
      <c r="B279" s="1">
        <v>45848</v>
      </c>
      <c r="C279" t="s">
        <v>542</v>
      </c>
      <c r="D279" t="s">
        <v>45</v>
      </c>
      <c r="E279" t="s">
        <v>46</v>
      </c>
      <c r="F279" t="s">
        <v>31</v>
      </c>
      <c r="G279" t="s">
        <v>21</v>
      </c>
      <c r="H279" t="s">
        <v>126</v>
      </c>
      <c r="I279">
        <v>5</v>
      </c>
      <c r="J279">
        <v>1855.74</v>
      </c>
      <c r="K279">
        <v>0</v>
      </c>
      <c r="L279">
        <v>9278.7000000000007</v>
      </c>
      <c r="M279" t="s">
        <v>76</v>
      </c>
      <c r="N279" t="s">
        <v>49</v>
      </c>
      <c r="O279" t="s">
        <v>65</v>
      </c>
      <c r="P279" t="s">
        <v>72</v>
      </c>
    </row>
    <row r="280" spans="1:16" x14ac:dyDescent="0.3">
      <c r="A280" t="s">
        <v>543</v>
      </c>
      <c r="B280" s="1">
        <v>45977</v>
      </c>
      <c r="C280" t="s">
        <v>544</v>
      </c>
      <c r="D280" t="s">
        <v>121</v>
      </c>
      <c r="E280" t="s">
        <v>122</v>
      </c>
      <c r="F280" t="s">
        <v>55</v>
      </c>
      <c r="G280" t="s">
        <v>81</v>
      </c>
      <c r="H280" t="s">
        <v>87</v>
      </c>
      <c r="I280">
        <v>3</v>
      </c>
      <c r="J280">
        <v>430.01</v>
      </c>
      <c r="K280">
        <v>0.08</v>
      </c>
      <c r="L280">
        <v>1186.83</v>
      </c>
      <c r="M280" t="s">
        <v>76</v>
      </c>
      <c r="N280" t="s">
        <v>34</v>
      </c>
      <c r="O280" t="s">
        <v>35</v>
      </c>
      <c r="P280" t="s">
        <v>111</v>
      </c>
    </row>
    <row r="281" spans="1:16" x14ac:dyDescent="0.3">
      <c r="A281" t="s">
        <v>545</v>
      </c>
      <c r="B281" s="1">
        <v>45508</v>
      </c>
      <c r="C281" t="s">
        <v>161</v>
      </c>
      <c r="D281" t="s">
        <v>38</v>
      </c>
      <c r="E281" t="s">
        <v>39</v>
      </c>
      <c r="F281" t="s">
        <v>40</v>
      </c>
      <c r="G281" t="s">
        <v>32</v>
      </c>
      <c r="H281" t="s">
        <v>33</v>
      </c>
      <c r="I281">
        <v>3</v>
      </c>
      <c r="J281">
        <v>1666.67</v>
      </c>
      <c r="K281">
        <v>0.08</v>
      </c>
      <c r="L281">
        <v>4600.01</v>
      </c>
      <c r="M281" t="s">
        <v>76</v>
      </c>
      <c r="N281" t="s">
        <v>24</v>
      </c>
      <c r="O281" t="s">
        <v>65</v>
      </c>
      <c r="P281" t="s">
        <v>116</v>
      </c>
    </row>
    <row r="282" spans="1:16" x14ac:dyDescent="0.3">
      <c r="A282" t="s">
        <v>546</v>
      </c>
      <c r="B282" s="1">
        <v>45949</v>
      </c>
      <c r="C282" t="s">
        <v>516</v>
      </c>
      <c r="D282" t="s">
        <v>62</v>
      </c>
      <c r="E282" t="s">
        <v>63</v>
      </c>
      <c r="F282" t="s">
        <v>31</v>
      </c>
      <c r="G282" t="s">
        <v>32</v>
      </c>
      <c r="H282" t="s">
        <v>47</v>
      </c>
      <c r="I282">
        <v>3</v>
      </c>
      <c r="J282">
        <v>2845.69</v>
      </c>
      <c r="K282">
        <v>0.2</v>
      </c>
      <c r="L282">
        <v>6829.66</v>
      </c>
      <c r="M282" t="s">
        <v>48</v>
      </c>
      <c r="N282" t="s">
        <v>71</v>
      </c>
      <c r="O282" t="s">
        <v>65</v>
      </c>
      <c r="P282" t="s">
        <v>59</v>
      </c>
    </row>
    <row r="283" spans="1:16" x14ac:dyDescent="0.3">
      <c r="A283" t="s">
        <v>547</v>
      </c>
      <c r="B283" s="1">
        <v>45762</v>
      </c>
      <c r="C283" t="s">
        <v>548</v>
      </c>
      <c r="D283" t="s">
        <v>29</v>
      </c>
      <c r="E283" t="s">
        <v>30</v>
      </c>
      <c r="F283" t="s">
        <v>31</v>
      </c>
      <c r="G283" t="s">
        <v>56</v>
      </c>
      <c r="H283" t="s">
        <v>123</v>
      </c>
      <c r="J283">
        <v>3196.68</v>
      </c>
      <c r="K283">
        <v>0.2</v>
      </c>
      <c r="L283">
        <v>7672.03</v>
      </c>
      <c r="M283" t="s">
        <v>48</v>
      </c>
      <c r="N283" t="s">
        <v>34</v>
      </c>
      <c r="O283" t="s">
        <v>65</v>
      </c>
      <c r="P283" t="s">
        <v>59</v>
      </c>
    </row>
    <row r="284" spans="1:16" x14ac:dyDescent="0.3">
      <c r="A284" t="s">
        <v>549</v>
      </c>
      <c r="B284" s="1">
        <v>45829</v>
      </c>
      <c r="C284" t="s">
        <v>550</v>
      </c>
      <c r="D284" t="s">
        <v>45</v>
      </c>
      <c r="E284" t="s">
        <v>46</v>
      </c>
      <c r="F284" t="s">
        <v>31</v>
      </c>
      <c r="G284" t="s">
        <v>56</v>
      </c>
      <c r="H284" t="s">
        <v>101</v>
      </c>
      <c r="I284">
        <v>2</v>
      </c>
      <c r="J284">
        <v>1656.16</v>
      </c>
      <c r="K284">
        <v>0.03</v>
      </c>
      <c r="L284">
        <v>3212.95</v>
      </c>
      <c r="M284" t="s">
        <v>76</v>
      </c>
      <c r="N284" t="s">
        <v>58</v>
      </c>
      <c r="O284" t="s">
        <v>35</v>
      </c>
      <c r="P284" t="s">
        <v>116</v>
      </c>
    </row>
    <row r="285" spans="1:16" x14ac:dyDescent="0.3">
      <c r="A285" t="s">
        <v>551</v>
      </c>
      <c r="B285" s="1">
        <v>45960</v>
      </c>
      <c r="C285" t="s">
        <v>552</v>
      </c>
      <c r="D285" t="s">
        <v>29</v>
      </c>
      <c r="E285" t="s">
        <v>30</v>
      </c>
      <c r="F285" t="s">
        <v>31</v>
      </c>
      <c r="G285" t="s">
        <v>81</v>
      </c>
      <c r="H285" t="s">
        <v>135</v>
      </c>
      <c r="I285">
        <v>2</v>
      </c>
      <c r="J285">
        <v>3022.99</v>
      </c>
      <c r="K285">
        <v>0.08</v>
      </c>
      <c r="L285">
        <v>5562.3</v>
      </c>
      <c r="M285" t="s">
        <v>48</v>
      </c>
      <c r="N285" t="s">
        <v>71</v>
      </c>
      <c r="O285" t="s">
        <v>65</v>
      </c>
      <c r="P285" t="s">
        <v>26</v>
      </c>
    </row>
    <row r="286" spans="1:16" x14ac:dyDescent="0.3">
      <c r="A286" t="s">
        <v>553</v>
      </c>
      <c r="B286" s="1">
        <v>45470</v>
      </c>
      <c r="C286" t="s">
        <v>554</v>
      </c>
      <c r="D286" t="s">
        <v>131</v>
      </c>
      <c r="E286" t="s">
        <v>132</v>
      </c>
      <c r="F286" t="s">
        <v>40</v>
      </c>
      <c r="G286" t="s">
        <v>56</v>
      </c>
      <c r="H286" t="s">
        <v>64</v>
      </c>
      <c r="I286">
        <v>4</v>
      </c>
      <c r="J286">
        <v>9894.66</v>
      </c>
      <c r="K286">
        <v>0.05</v>
      </c>
      <c r="L286">
        <v>37599.71</v>
      </c>
      <c r="M286" t="s">
        <v>23</v>
      </c>
      <c r="N286" t="s">
        <v>58</v>
      </c>
      <c r="O286" t="s">
        <v>25</v>
      </c>
      <c r="P286" t="s">
        <v>102</v>
      </c>
    </row>
    <row r="287" spans="1:16" x14ac:dyDescent="0.3">
      <c r="A287" t="s">
        <v>555</v>
      </c>
      <c r="B287" s="1">
        <v>45748</v>
      </c>
      <c r="C287" t="s">
        <v>556</v>
      </c>
      <c r="D287" t="s">
        <v>45</v>
      </c>
      <c r="E287" t="s">
        <v>46</v>
      </c>
      <c r="F287" t="s">
        <v>31</v>
      </c>
      <c r="G287" t="s">
        <v>32</v>
      </c>
      <c r="H287" t="s">
        <v>68</v>
      </c>
      <c r="I287">
        <v>3</v>
      </c>
      <c r="J287">
        <v>1943.66</v>
      </c>
      <c r="K287">
        <v>0.15</v>
      </c>
      <c r="L287">
        <v>4956.33</v>
      </c>
      <c r="M287" t="s">
        <v>48</v>
      </c>
      <c r="N287" t="s">
        <v>58</v>
      </c>
      <c r="O287" t="s">
        <v>65</v>
      </c>
      <c r="P287" t="s">
        <v>42</v>
      </c>
    </row>
    <row r="288" spans="1:16" x14ac:dyDescent="0.3">
      <c r="A288" t="s">
        <v>557</v>
      </c>
      <c r="B288" s="1">
        <v>45914</v>
      </c>
      <c r="C288" t="s">
        <v>558</v>
      </c>
      <c r="D288" t="s">
        <v>79</v>
      </c>
      <c r="E288" t="s">
        <v>80</v>
      </c>
      <c r="F288" t="s">
        <v>31</v>
      </c>
      <c r="G288" t="s">
        <v>21</v>
      </c>
      <c r="H288" t="s">
        <v>22</v>
      </c>
      <c r="I288">
        <v>3</v>
      </c>
      <c r="J288">
        <v>13480.56</v>
      </c>
      <c r="K288">
        <v>0.15</v>
      </c>
      <c r="L288">
        <v>34375.43</v>
      </c>
      <c r="M288" t="s">
        <v>76</v>
      </c>
      <c r="N288" t="s">
        <v>58</v>
      </c>
      <c r="O288" t="s">
        <v>65</v>
      </c>
      <c r="P288" t="s">
        <v>26</v>
      </c>
    </row>
    <row r="289" spans="1:16" x14ac:dyDescent="0.3">
      <c r="A289" t="s">
        <v>559</v>
      </c>
      <c r="B289" s="1">
        <v>46076</v>
      </c>
      <c r="C289" t="s">
        <v>560</v>
      </c>
      <c r="D289" t="s">
        <v>121</v>
      </c>
      <c r="E289" t="s">
        <v>122</v>
      </c>
      <c r="F289" t="s">
        <v>55</v>
      </c>
      <c r="G289" t="s">
        <v>32</v>
      </c>
      <c r="H289" t="s">
        <v>47</v>
      </c>
      <c r="I289">
        <v>2</v>
      </c>
      <c r="J289">
        <v>452.06</v>
      </c>
      <c r="K289">
        <v>0.03</v>
      </c>
      <c r="L289">
        <v>877</v>
      </c>
      <c r="M289" t="s">
        <v>23</v>
      </c>
      <c r="N289" t="s">
        <v>58</v>
      </c>
      <c r="O289" t="s">
        <v>25</v>
      </c>
      <c r="P289" t="s">
        <v>59</v>
      </c>
    </row>
    <row r="290" spans="1:16" x14ac:dyDescent="0.3">
      <c r="A290" t="s">
        <v>561</v>
      </c>
      <c r="B290" s="1">
        <v>45512</v>
      </c>
      <c r="C290" t="s">
        <v>562</v>
      </c>
      <c r="D290" t="s">
        <v>89</v>
      </c>
      <c r="E290" t="s">
        <v>90</v>
      </c>
      <c r="F290" t="s">
        <v>20</v>
      </c>
      <c r="G290" t="s">
        <v>56</v>
      </c>
      <c r="H290" t="s">
        <v>57</v>
      </c>
      <c r="I290">
        <v>5</v>
      </c>
      <c r="J290">
        <v>733.43</v>
      </c>
      <c r="K290">
        <v>0.2</v>
      </c>
      <c r="L290">
        <v>2933.72</v>
      </c>
      <c r="M290" t="s">
        <v>23</v>
      </c>
      <c r="N290" t="s">
        <v>71</v>
      </c>
      <c r="O290" t="s">
        <v>65</v>
      </c>
      <c r="P290" t="s">
        <v>26</v>
      </c>
    </row>
    <row r="291" spans="1:16" x14ac:dyDescent="0.3">
      <c r="A291" t="s">
        <v>563</v>
      </c>
      <c r="B291" s="1">
        <v>45791</v>
      </c>
      <c r="C291" t="s">
        <v>554</v>
      </c>
      <c r="D291" t="s">
        <v>96</v>
      </c>
      <c r="E291" t="s">
        <v>97</v>
      </c>
      <c r="F291" t="s">
        <v>31</v>
      </c>
      <c r="G291" t="s">
        <v>21</v>
      </c>
      <c r="H291" t="s">
        <v>93</v>
      </c>
      <c r="I291">
        <v>1</v>
      </c>
      <c r="J291">
        <v>1226.24</v>
      </c>
      <c r="K291">
        <v>0.08</v>
      </c>
      <c r="L291">
        <v>1128.1400000000001</v>
      </c>
      <c r="M291" t="s">
        <v>48</v>
      </c>
      <c r="N291" t="s">
        <v>49</v>
      </c>
      <c r="O291" t="s">
        <v>35</v>
      </c>
      <c r="P291" t="s">
        <v>42</v>
      </c>
    </row>
    <row r="292" spans="1:16" x14ac:dyDescent="0.3">
      <c r="A292" t="s">
        <v>564</v>
      </c>
      <c r="B292" s="1">
        <v>45678</v>
      </c>
      <c r="C292" t="s">
        <v>504</v>
      </c>
      <c r="D292" t="s">
        <v>131</v>
      </c>
      <c r="E292" t="s">
        <v>132</v>
      </c>
      <c r="F292" t="s">
        <v>40</v>
      </c>
      <c r="G292" t="s">
        <v>21</v>
      </c>
      <c r="H292" t="s">
        <v>41</v>
      </c>
      <c r="I292">
        <v>1</v>
      </c>
      <c r="J292">
        <v>10032.790000000001</v>
      </c>
      <c r="K292">
        <v>0.08</v>
      </c>
      <c r="L292">
        <v>9230.17</v>
      </c>
      <c r="M292" t="s">
        <v>76</v>
      </c>
      <c r="N292" t="s">
        <v>71</v>
      </c>
      <c r="O292" t="s">
        <v>65</v>
      </c>
      <c r="P292" t="s">
        <v>72</v>
      </c>
    </row>
    <row r="293" spans="1:16" x14ac:dyDescent="0.3">
      <c r="A293" t="s">
        <v>565</v>
      </c>
      <c r="B293" s="1">
        <v>45984</v>
      </c>
      <c r="C293" t="s">
        <v>277</v>
      </c>
      <c r="D293" t="s">
        <v>89</v>
      </c>
      <c r="E293" t="s">
        <v>90</v>
      </c>
      <c r="F293" t="s">
        <v>20</v>
      </c>
      <c r="G293" t="s">
        <v>21</v>
      </c>
      <c r="H293" t="s">
        <v>22</v>
      </c>
      <c r="I293">
        <v>1</v>
      </c>
      <c r="J293">
        <v>679.43</v>
      </c>
      <c r="K293">
        <v>0</v>
      </c>
      <c r="L293">
        <v>679.43</v>
      </c>
      <c r="M293" t="s">
        <v>23</v>
      </c>
      <c r="N293" t="s">
        <v>49</v>
      </c>
      <c r="O293" t="s">
        <v>25</v>
      </c>
      <c r="P293" t="s">
        <v>42</v>
      </c>
    </row>
    <row r="294" spans="1:16" x14ac:dyDescent="0.3">
      <c r="A294" t="s">
        <v>566</v>
      </c>
      <c r="B294" s="1">
        <v>45918</v>
      </c>
      <c r="C294" t="s">
        <v>118</v>
      </c>
      <c r="D294" t="s">
        <v>170</v>
      </c>
      <c r="E294" t="s">
        <v>171</v>
      </c>
      <c r="F294" t="s">
        <v>31</v>
      </c>
      <c r="G294" t="s">
        <v>81</v>
      </c>
      <c r="I294">
        <v>1</v>
      </c>
      <c r="J294">
        <v>60025.919999999998</v>
      </c>
      <c r="K294">
        <v>0.2</v>
      </c>
      <c r="L294">
        <v>48020.74</v>
      </c>
      <c r="M294" t="s">
        <v>48</v>
      </c>
      <c r="N294" t="s">
        <v>71</v>
      </c>
      <c r="O294" t="s">
        <v>65</v>
      </c>
      <c r="P294" t="s">
        <v>116</v>
      </c>
    </row>
    <row r="295" spans="1:16" x14ac:dyDescent="0.3">
      <c r="A295" t="s">
        <v>567</v>
      </c>
      <c r="B295" s="1">
        <v>45845</v>
      </c>
      <c r="C295" t="s">
        <v>357</v>
      </c>
      <c r="D295" t="s">
        <v>79</v>
      </c>
      <c r="E295" t="s">
        <v>80</v>
      </c>
      <c r="F295" t="s">
        <v>31</v>
      </c>
      <c r="G295" t="s">
        <v>56</v>
      </c>
      <c r="H295" t="s">
        <v>57</v>
      </c>
      <c r="I295">
        <v>4</v>
      </c>
      <c r="J295">
        <v>11643.59</v>
      </c>
      <c r="K295">
        <v>0.08</v>
      </c>
      <c r="L295">
        <v>42848.41</v>
      </c>
      <c r="M295" t="s">
        <v>76</v>
      </c>
      <c r="N295" t="s">
        <v>34</v>
      </c>
      <c r="O295" t="s">
        <v>65</v>
      </c>
      <c r="P295" t="s">
        <v>72</v>
      </c>
    </row>
    <row r="296" spans="1:16" x14ac:dyDescent="0.3">
      <c r="A296" t="s">
        <v>568</v>
      </c>
      <c r="B296" s="1">
        <v>45791</v>
      </c>
      <c r="C296" t="s">
        <v>110</v>
      </c>
      <c r="D296" t="s">
        <v>45</v>
      </c>
      <c r="E296" t="s">
        <v>46</v>
      </c>
      <c r="F296" t="s">
        <v>31</v>
      </c>
      <c r="G296" t="s">
        <v>21</v>
      </c>
      <c r="H296" t="s">
        <v>41</v>
      </c>
      <c r="I296">
        <v>5</v>
      </c>
      <c r="J296">
        <v>1699.21</v>
      </c>
      <c r="K296">
        <v>0.05</v>
      </c>
      <c r="L296">
        <v>8071.25</v>
      </c>
      <c r="M296" t="s">
        <v>23</v>
      </c>
      <c r="N296" t="s">
        <v>34</v>
      </c>
      <c r="O296" t="s">
        <v>65</v>
      </c>
      <c r="P296" t="s">
        <v>50</v>
      </c>
    </row>
    <row r="297" spans="1:16" x14ac:dyDescent="0.3">
      <c r="A297" t="s">
        <v>569</v>
      </c>
      <c r="B297" s="1">
        <v>45953</v>
      </c>
      <c r="C297" t="s">
        <v>570</v>
      </c>
      <c r="D297" t="s">
        <v>45</v>
      </c>
      <c r="E297" t="s">
        <v>46</v>
      </c>
      <c r="F297" t="s">
        <v>31</v>
      </c>
      <c r="G297" t="s">
        <v>21</v>
      </c>
      <c r="H297" t="s">
        <v>93</v>
      </c>
      <c r="I297">
        <v>5</v>
      </c>
      <c r="J297">
        <v>1798.29</v>
      </c>
      <c r="K297">
        <v>0.2</v>
      </c>
      <c r="L297">
        <v>7193.16</v>
      </c>
      <c r="M297" t="s">
        <v>48</v>
      </c>
      <c r="N297" t="s">
        <v>24</v>
      </c>
      <c r="O297" t="s">
        <v>35</v>
      </c>
      <c r="P297" t="s">
        <v>42</v>
      </c>
    </row>
    <row r="298" spans="1:16" x14ac:dyDescent="0.3">
      <c r="A298" t="s">
        <v>571</v>
      </c>
      <c r="B298" s="1">
        <v>45967</v>
      </c>
      <c r="C298" t="s">
        <v>572</v>
      </c>
      <c r="D298" t="s">
        <v>79</v>
      </c>
      <c r="E298" t="s">
        <v>80</v>
      </c>
      <c r="F298" t="s">
        <v>31</v>
      </c>
      <c r="G298" t="s">
        <v>21</v>
      </c>
      <c r="H298" t="s">
        <v>93</v>
      </c>
      <c r="I298">
        <v>1</v>
      </c>
      <c r="J298">
        <v>12922.82</v>
      </c>
      <c r="K298">
        <v>0</v>
      </c>
      <c r="L298">
        <v>12922.82</v>
      </c>
      <c r="M298" t="s">
        <v>23</v>
      </c>
      <c r="N298" t="s">
        <v>58</v>
      </c>
      <c r="O298" t="s">
        <v>65</v>
      </c>
      <c r="P298" t="s">
        <v>116</v>
      </c>
    </row>
    <row r="299" spans="1:16" x14ac:dyDescent="0.3">
      <c r="A299" t="s">
        <v>573</v>
      </c>
      <c r="B299" s="1">
        <v>45879</v>
      </c>
      <c r="C299" t="s">
        <v>574</v>
      </c>
      <c r="D299" t="s">
        <v>79</v>
      </c>
      <c r="E299" t="s">
        <v>80</v>
      </c>
      <c r="F299" t="s">
        <v>31</v>
      </c>
      <c r="G299" t="s">
        <v>21</v>
      </c>
      <c r="H299" t="s">
        <v>126</v>
      </c>
      <c r="I299">
        <v>4</v>
      </c>
      <c r="J299">
        <v>13121.04</v>
      </c>
      <c r="K299">
        <v>0.15</v>
      </c>
      <c r="L299">
        <v>44611.54</v>
      </c>
      <c r="M299" t="s">
        <v>23</v>
      </c>
      <c r="N299" t="s">
        <v>71</v>
      </c>
      <c r="O299" t="s">
        <v>25</v>
      </c>
      <c r="P299" t="s">
        <v>59</v>
      </c>
    </row>
    <row r="300" spans="1:16" x14ac:dyDescent="0.3">
      <c r="A300" t="s">
        <v>575</v>
      </c>
      <c r="B300" s="1">
        <v>45858</v>
      </c>
      <c r="C300" t="s">
        <v>576</v>
      </c>
      <c r="D300" t="s">
        <v>176</v>
      </c>
      <c r="E300" t="s">
        <v>177</v>
      </c>
      <c r="F300" t="s">
        <v>31</v>
      </c>
      <c r="G300" t="s">
        <v>21</v>
      </c>
      <c r="H300" t="s">
        <v>126</v>
      </c>
      <c r="I300">
        <v>2</v>
      </c>
      <c r="J300">
        <v>2102.6999999999998</v>
      </c>
      <c r="K300">
        <v>0.03</v>
      </c>
      <c r="L300">
        <v>4079.24</v>
      </c>
      <c r="M300" t="s">
        <v>76</v>
      </c>
      <c r="N300" t="s">
        <v>71</v>
      </c>
      <c r="O300" t="s">
        <v>65</v>
      </c>
      <c r="P300" t="s">
        <v>72</v>
      </c>
    </row>
    <row r="301" spans="1:16" x14ac:dyDescent="0.3">
      <c r="A301" t="s">
        <v>577</v>
      </c>
      <c r="B301" s="1">
        <v>45453</v>
      </c>
      <c r="C301" t="s">
        <v>578</v>
      </c>
      <c r="D301" t="s">
        <v>45</v>
      </c>
      <c r="E301" t="s">
        <v>46</v>
      </c>
      <c r="F301" t="s">
        <v>31</v>
      </c>
      <c r="G301" t="s">
        <v>32</v>
      </c>
      <c r="H301" t="s">
        <v>47</v>
      </c>
      <c r="I301">
        <v>3</v>
      </c>
      <c r="J301">
        <v>1713.99</v>
      </c>
      <c r="K301">
        <v>0.2</v>
      </c>
      <c r="L301">
        <v>4113.58</v>
      </c>
      <c r="M301" t="s">
        <v>76</v>
      </c>
      <c r="N301" t="s">
        <v>71</v>
      </c>
      <c r="O301" t="s">
        <v>65</v>
      </c>
      <c r="P301" t="s">
        <v>102</v>
      </c>
    </row>
    <row r="302" spans="1:16" x14ac:dyDescent="0.3">
      <c r="A302" t="s">
        <v>579</v>
      </c>
      <c r="B302" s="1">
        <v>45764</v>
      </c>
      <c r="C302" t="s">
        <v>157</v>
      </c>
      <c r="D302" t="s">
        <v>89</v>
      </c>
      <c r="E302" t="s">
        <v>90</v>
      </c>
      <c r="F302" t="s">
        <v>20</v>
      </c>
      <c r="G302" t="s">
        <v>21</v>
      </c>
      <c r="H302" t="s">
        <v>22</v>
      </c>
      <c r="I302">
        <v>1</v>
      </c>
      <c r="J302">
        <v>752.66</v>
      </c>
      <c r="K302">
        <v>0.2</v>
      </c>
      <c r="L302">
        <v>602.13</v>
      </c>
      <c r="M302" t="s">
        <v>48</v>
      </c>
      <c r="N302" t="s">
        <v>58</v>
      </c>
      <c r="O302" t="s">
        <v>25</v>
      </c>
      <c r="P302" t="s">
        <v>50</v>
      </c>
    </row>
    <row r="303" spans="1:16" x14ac:dyDescent="0.3">
      <c r="A303" t="s">
        <v>580</v>
      </c>
      <c r="B303" s="1">
        <v>45793</v>
      </c>
      <c r="C303" t="s">
        <v>581</v>
      </c>
      <c r="D303" t="s">
        <v>18</v>
      </c>
      <c r="E303" t="s">
        <v>19</v>
      </c>
      <c r="F303" t="s">
        <v>20</v>
      </c>
      <c r="G303" t="s">
        <v>81</v>
      </c>
      <c r="H303" t="s">
        <v>82</v>
      </c>
      <c r="I303">
        <v>1</v>
      </c>
      <c r="J303">
        <v>865.48</v>
      </c>
      <c r="K303">
        <v>0.15</v>
      </c>
      <c r="L303">
        <v>735.66</v>
      </c>
      <c r="M303" t="s">
        <v>76</v>
      </c>
      <c r="N303" t="s">
        <v>24</v>
      </c>
      <c r="O303" t="s">
        <v>65</v>
      </c>
      <c r="P303" t="s">
        <v>116</v>
      </c>
    </row>
    <row r="304" spans="1:16" x14ac:dyDescent="0.3">
      <c r="A304" t="s">
        <v>582</v>
      </c>
      <c r="B304" s="1">
        <v>45749</v>
      </c>
      <c r="C304" t="s">
        <v>583</v>
      </c>
      <c r="D304" t="s">
        <v>45</v>
      </c>
      <c r="E304" t="s">
        <v>46</v>
      </c>
      <c r="F304" t="s">
        <v>31</v>
      </c>
      <c r="G304" t="s">
        <v>21</v>
      </c>
      <c r="H304" t="s">
        <v>22</v>
      </c>
      <c r="I304">
        <v>4</v>
      </c>
      <c r="J304">
        <v>1866.18</v>
      </c>
      <c r="K304">
        <v>0.1</v>
      </c>
      <c r="L304">
        <v>6718.25</v>
      </c>
      <c r="M304" t="s">
        <v>48</v>
      </c>
      <c r="N304" t="s">
        <v>24</v>
      </c>
      <c r="O304" t="s">
        <v>65</v>
      </c>
      <c r="P304" t="s">
        <v>26</v>
      </c>
    </row>
    <row r="305" spans="1:16" x14ac:dyDescent="0.3">
      <c r="A305" t="s">
        <v>584</v>
      </c>
      <c r="B305" s="1">
        <v>45756</v>
      </c>
      <c r="C305" t="s">
        <v>285</v>
      </c>
      <c r="D305" t="s">
        <v>85</v>
      </c>
      <c r="E305" t="s">
        <v>86</v>
      </c>
      <c r="F305" t="s">
        <v>20</v>
      </c>
      <c r="G305" t="s">
        <v>56</v>
      </c>
      <c r="H305" t="s">
        <v>123</v>
      </c>
      <c r="I305">
        <v>5</v>
      </c>
      <c r="J305">
        <v>1867.14</v>
      </c>
      <c r="K305">
        <v>0.2</v>
      </c>
      <c r="L305">
        <v>7468.56</v>
      </c>
      <c r="M305" t="s">
        <v>48</v>
      </c>
      <c r="N305" t="s">
        <v>71</v>
      </c>
      <c r="O305" t="s">
        <v>65</v>
      </c>
      <c r="P305" t="s">
        <v>50</v>
      </c>
    </row>
    <row r="306" spans="1:16" x14ac:dyDescent="0.3">
      <c r="A306" t="s">
        <v>585</v>
      </c>
      <c r="B306" s="1">
        <v>45956</v>
      </c>
      <c r="C306" t="s">
        <v>232</v>
      </c>
      <c r="D306" t="s">
        <v>121</v>
      </c>
      <c r="E306" t="s">
        <v>122</v>
      </c>
      <c r="F306" t="s">
        <v>55</v>
      </c>
      <c r="G306" t="s">
        <v>21</v>
      </c>
      <c r="H306" t="s">
        <v>41</v>
      </c>
      <c r="I306">
        <v>5</v>
      </c>
      <c r="J306">
        <v>429.5</v>
      </c>
      <c r="K306">
        <v>0.08</v>
      </c>
      <c r="L306">
        <v>1975.7</v>
      </c>
      <c r="M306" t="s">
        <v>48</v>
      </c>
      <c r="N306" t="s">
        <v>49</v>
      </c>
      <c r="O306" t="s">
        <v>65</v>
      </c>
      <c r="P306" t="s">
        <v>50</v>
      </c>
    </row>
    <row r="307" spans="1:16" x14ac:dyDescent="0.3">
      <c r="A307" t="s">
        <v>586</v>
      </c>
      <c r="B307" s="1">
        <v>46068</v>
      </c>
      <c r="C307" t="s">
        <v>587</v>
      </c>
      <c r="D307" t="s">
        <v>18</v>
      </c>
      <c r="E307" t="s">
        <v>19</v>
      </c>
      <c r="F307" t="s">
        <v>20</v>
      </c>
      <c r="G307" t="s">
        <v>81</v>
      </c>
      <c r="H307" t="s">
        <v>87</v>
      </c>
      <c r="I307">
        <v>3</v>
      </c>
      <c r="J307">
        <v>908.03</v>
      </c>
      <c r="K307">
        <v>0.1</v>
      </c>
      <c r="L307">
        <v>2451.6799999999998</v>
      </c>
      <c r="M307" t="s">
        <v>23</v>
      </c>
      <c r="N307" t="s">
        <v>49</v>
      </c>
      <c r="O307" t="s">
        <v>65</v>
      </c>
      <c r="P307" t="s">
        <v>102</v>
      </c>
    </row>
    <row r="308" spans="1:16" x14ac:dyDescent="0.3">
      <c r="A308" t="s">
        <v>588</v>
      </c>
      <c r="B308" s="1">
        <v>45786</v>
      </c>
      <c r="C308" t="s">
        <v>379</v>
      </c>
      <c r="D308" t="s">
        <v>45</v>
      </c>
      <c r="E308" t="s">
        <v>46</v>
      </c>
      <c r="F308" t="s">
        <v>31</v>
      </c>
      <c r="G308" t="s">
        <v>56</v>
      </c>
      <c r="H308" t="s">
        <v>123</v>
      </c>
      <c r="I308">
        <v>1</v>
      </c>
      <c r="J308">
        <v>1753.84</v>
      </c>
      <c r="K308">
        <v>0.1</v>
      </c>
      <c r="L308">
        <v>1578.46</v>
      </c>
      <c r="M308" t="s">
        <v>23</v>
      </c>
      <c r="N308" t="s">
        <v>24</v>
      </c>
      <c r="O308" t="s">
        <v>65</v>
      </c>
      <c r="P308" t="s">
        <v>111</v>
      </c>
    </row>
    <row r="309" spans="1:16" x14ac:dyDescent="0.3">
      <c r="A309" t="s">
        <v>589</v>
      </c>
      <c r="B309" s="1">
        <v>45979</v>
      </c>
      <c r="C309" t="s">
        <v>232</v>
      </c>
      <c r="D309" t="s">
        <v>45</v>
      </c>
      <c r="E309" t="s">
        <v>46</v>
      </c>
      <c r="F309" t="s">
        <v>31</v>
      </c>
      <c r="G309" t="s">
        <v>56</v>
      </c>
      <c r="H309" t="s">
        <v>101</v>
      </c>
      <c r="I309">
        <v>3</v>
      </c>
      <c r="J309">
        <v>1899.56</v>
      </c>
      <c r="K309">
        <v>0.05</v>
      </c>
      <c r="L309">
        <v>5413.75</v>
      </c>
      <c r="M309" t="s">
        <v>23</v>
      </c>
      <c r="N309" t="s">
        <v>34</v>
      </c>
      <c r="O309" t="s">
        <v>65</v>
      </c>
      <c r="P309" t="s">
        <v>59</v>
      </c>
    </row>
    <row r="310" spans="1:16" x14ac:dyDescent="0.3">
      <c r="A310" t="s">
        <v>590</v>
      </c>
      <c r="B310" s="1">
        <v>46022</v>
      </c>
      <c r="C310" t="s">
        <v>234</v>
      </c>
      <c r="D310" t="s">
        <v>89</v>
      </c>
      <c r="E310" t="s">
        <v>90</v>
      </c>
      <c r="F310" t="s">
        <v>20</v>
      </c>
      <c r="G310" t="s">
        <v>56</v>
      </c>
      <c r="H310" t="s">
        <v>101</v>
      </c>
      <c r="I310">
        <v>4</v>
      </c>
      <c r="J310">
        <v>743.13</v>
      </c>
      <c r="K310">
        <v>0.03</v>
      </c>
      <c r="L310">
        <v>2883.34</v>
      </c>
      <c r="M310" t="s">
        <v>76</v>
      </c>
      <c r="O310" t="s">
        <v>65</v>
      </c>
      <c r="P310" t="s">
        <v>42</v>
      </c>
    </row>
    <row r="311" spans="1:16" x14ac:dyDescent="0.3">
      <c r="A311" t="s">
        <v>591</v>
      </c>
      <c r="B311" s="1">
        <v>45431</v>
      </c>
      <c r="C311" t="s">
        <v>309</v>
      </c>
      <c r="D311" t="s">
        <v>45</v>
      </c>
      <c r="E311" t="s">
        <v>46</v>
      </c>
      <c r="F311" t="s">
        <v>31</v>
      </c>
      <c r="G311" t="s">
        <v>21</v>
      </c>
      <c r="H311" t="s">
        <v>22</v>
      </c>
      <c r="I311">
        <v>1</v>
      </c>
      <c r="J311">
        <v>1738.54</v>
      </c>
      <c r="K311">
        <v>0</v>
      </c>
      <c r="L311">
        <v>1738.54</v>
      </c>
      <c r="M311" t="s">
        <v>592</v>
      </c>
      <c r="N311" t="s">
        <v>24</v>
      </c>
      <c r="O311" t="s">
        <v>35</v>
      </c>
      <c r="P311" t="s">
        <v>59</v>
      </c>
    </row>
    <row r="312" spans="1:16" x14ac:dyDescent="0.3">
      <c r="A312" t="s">
        <v>593</v>
      </c>
      <c r="B312" s="1">
        <v>45786</v>
      </c>
      <c r="C312" t="s">
        <v>143</v>
      </c>
      <c r="D312" t="s">
        <v>53</v>
      </c>
      <c r="E312" t="s">
        <v>54</v>
      </c>
      <c r="F312" t="s">
        <v>55</v>
      </c>
      <c r="G312" t="s">
        <v>56</v>
      </c>
      <c r="H312" t="s">
        <v>123</v>
      </c>
      <c r="I312">
        <v>2</v>
      </c>
      <c r="J312">
        <v>224.03</v>
      </c>
      <c r="K312">
        <v>0.05</v>
      </c>
      <c r="L312">
        <v>425.66</v>
      </c>
      <c r="M312" t="s">
        <v>76</v>
      </c>
      <c r="N312" t="s">
        <v>58</v>
      </c>
      <c r="O312" t="s">
        <v>65</v>
      </c>
      <c r="P312" t="s">
        <v>111</v>
      </c>
    </row>
    <row r="313" spans="1:16" x14ac:dyDescent="0.3">
      <c r="A313" t="s">
        <v>594</v>
      </c>
      <c r="B313" s="1">
        <v>45391</v>
      </c>
      <c r="C313" t="s">
        <v>397</v>
      </c>
      <c r="D313" t="s">
        <v>121</v>
      </c>
      <c r="E313" t="s">
        <v>122</v>
      </c>
      <c r="F313" t="s">
        <v>55</v>
      </c>
      <c r="G313" t="s">
        <v>81</v>
      </c>
      <c r="H313" t="s">
        <v>87</v>
      </c>
      <c r="I313">
        <v>3</v>
      </c>
      <c r="J313">
        <v>446.87</v>
      </c>
      <c r="K313">
        <v>0.03</v>
      </c>
      <c r="L313">
        <v>1300.3900000000001</v>
      </c>
      <c r="M313" t="s">
        <v>48</v>
      </c>
      <c r="N313" t="s">
        <v>34</v>
      </c>
      <c r="O313" t="s">
        <v>65</v>
      </c>
      <c r="P313" t="s">
        <v>59</v>
      </c>
    </row>
    <row r="314" spans="1:16" x14ac:dyDescent="0.3">
      <c r="A314" t="s">
        <v>595</v>
      </c>
      <c r="B314" s="1">
        <v>46064</v>
      </c>
      <c r="C314" t="s">
        <v>304</v>
      </c>
      <c r="D314" t="s">
        <v>53</v>
      </c>
      <c r="E314" t="s">
        <v>54</v>
      </c>
      <c r="F314" t="s">
        <v>55</v>
      </c>
      <c r="G314" t="s">
        <v>81</v>
      </c>
      <c r="H314" t="s">
        <v>135</v>
      </c>
      <c r="I314">
        <v>3</v>
      </c>
      <c r="J314">
        <v>220.53</v>
      </c>
      <c r="K314">
        <v>0.03</v>
      </c>
      <c r="L314">
        <v>641.74</v>
      </c>
      <c r="M314" t="s">
        <v>76</v>
      </c>
      <c r="N314" t="s">
        <v>34</v>
      </c>
      <c r="O314" t="s">
        <v>65</v>
      </c>
      <c r="P314" t="s">
        <v>26</v>
      </c>
    </row>
    <row r="315" spans="1:16" x14ac:dyDescent="0.3">
      <c r="A315" t="s">
        <v>596</v>
      </c>
      <c r="B315" s="1">
        <v>45383</v>
      </c>
      <c r="C315" t="s">
        <v>597</v>
      </c>
      <c r="D315" t="s">
        <v>96</v>
      </c>
      <c r="E315" t="s">
        <v>97</v>
      </c>
      <c r="F315" t="s">
        <v>31</v>
      </c>
      <c r="G315" t="s">
        <v>32</v>
      </c>
      <c r="H315" t="s">
        <v>75</v>
      </c>
      <c r="I315">
        <v>5</v>
      </c>
      <c r="J315">
        <v>1108.28</v>
      </c>
      <c r="K315">
        <v>0.2</v>
      </c>
      <c r="L315">
        <v>4433.12</v>
      </c>
      <c r="M315" t="s">
        <v>23</v>
      </c>
      <c r="N315" t="s">
        <v>49</v>
      </c>
      <c r="O315" t="s">
        <v>25</v>
      </c>
      <c r="P315" t="s">
        <v>42</v>
      </c>
    </row>
    <row r="316" spans="1:16" x14ac:dyDescent="0.3">
      <c r="A316" t="s">
        <v>598</v>
      </c>
      <c r="B316" s="1">
        <v>45993</v>
      </c>
      <c r="C316" t="s">
        <v>599</v>
      </c>
      <c r="D316" t="s">
        <v>18</v>
      </c>
      <c r="E316" t="s">
        <v>19</v>
      </c>
      <c r="F316" t="s">
        <v>20</v>
      </c>
      <c r="G316" t="s">
        <v>21</v>
      </c>
      <c r="H316" t="s">
        <v>126</v>
      </c>
      <c r="I316">
        <v>4</v>
      </c>
      <c r="J316">
        <v>915.42</v>
      </c>
      <c r="K316">
        <v>0.03</v>
      </c>
      <c r="L316">
        <v>3551.83</v>
      </c>
      <c r="M316" t="s">
        <v>23</v>
      </c>
      <c r="N316" t="s">
        <v>58</v>
      </c>
      <c r="O316" t="s">
        <v>65</v>
      </c>
      <c r="P316" t="s">
        <v>102</v>
      </c>
    </row>
    <row r="317" spans="1:16" x14ac:dyDescent="0.3">
      <c r="A317" t="s">
        <v>600</v>
      </c>
      <c r="B317" s="1">
        <v>45790</v>
      </c>
      <c r="C317" t="s">
        <v>504</v>
      </c>
      <c r="D317" t="s">
        <v>85</v>
      </c>
      <c r="E317" t="s">
        <v>86</v>
      </c>
      <c r="F317" t="s">
        <v>20</v>
      </c>
      <c r="G317" t="s">
        <v>81</v>
      </c>
      <c r="H317" t="s">
        <v>98</v>
      </c>
      <c r="I317">
        <v>4</v>
      </c>
      <c r="J317">
        <v>1940.44</v>
      </c>
      <c r="K317">
        <v>0.05</v>
      </c>
      <c r="L317">
        <v>7373.67</v>
      </c>
      <c r="M317" t="s">
        <v>23</v>
      </c>
      <c r="N317" t="s">
        <v>24</v>
      </c>
      <c r="O317" t="s">
        <v>65</v>
      </c>
      <c r="P317" t="s">
        <v>111</v>
      </c>
    </row>
    <row r="318" spans="1:16" x14ac:dyDescent="0.3">
      <c r="A318" t="s">
        <v>601</v>
      </c>
      <c r="B318" s="1">
        <v>45759</v>
      </c>
      <c r="C318" t="s">
        <v>597</v>
      </c>
      <c r="D318" t="s">
        <v>131</v>
      </c>
      <c r="E318" t="s">
        <v>132</v>
      </c>
      <c r="F318" t="s">
        <v>40</v>
      </c>
      <c r="G318" t="s">
        <v>81</v>
      </c>
      <c r="H318" t="s">
        <v>98</v>
      </c>
      <c r="I318">
        <v>3</v>
      </c>
      <c r="J318">
        <v>9461.81</v>
      </c>
      <c r="K318">
        <v>0.03</v>
      </c>
      <c r="L318">
        <v>27533.87</v>
      </c>
      <c r="M318" t="s">
        <v>23</v>
      </c>
      <c r="N318" t="s">
        <v>58</v>
      </c>
      <c r="O318" t="s">
        <v>65</v>
      </c>
      <c r="P318" t="s">
        <v>26</v>
      </c>
    </row>
    <row r="319" spans="1:16" x14ac:dyDescent="0.3">
      <c r="A319" t="s">
        <v>602</v>
      </c>
      <c r="B319" s="1">
        <v>46154</v>
      </c>
      <c r="C319" t="s">
        <v>110</v>
      </c>
      <c r="D319" t="s">
        <v>89</v>
      </c>
      <c r="E319" t="s">
        <v>90</v>
      </c>
      <c r="F319" t="s">
        <v>20</v>
      </c>
      <c r="G319" t="s">
        <v>56</v>
      </c>
      <c r="H319" t="s">
        <v>123</v>
      </c>
      <c r="I319">
        <v>4</v>
      </c>
      <c r="J319">
        <v>654.16</v>
      </c>
      <c r="K319">
        <v>0.08</v>
      </c>
      <c r="L319">
        <v>2407.31</v>
      </c>
      <c r="M319" t="s">
        <v>23</v>
      </c>
      <c r="N319" t="s">
        <v>34</v>
      </c>
      <c r="O319" t="s">
        <v>35</v>
      </c>
      <c r="P319" t="s">
        <v>116</v>
      </c>
    </row>
    <row r="320" spans="1:16" x14ac:dyDescent="0.3">
      <c r="A320" t="s">
        <v>603</v>
      </c>
      <c r="B320" s="1">
        <v>46192</v>
      </c>
      <c r="C320" t="s">
        <v>264</v>
      </c>
      <c r="D320" t="s">
        <v>89</v>
      </c>
      <c r="E320" t="s">
        <v>90</v>
      </c>
      <c r="F320" t="s">
        <v>20</v>
      </c>
      <c r="G320" t="s">
        <v>32</v>
      </c>
      <c r="H320" t="s">
        <v>68</v>
      </c>
      <c r="I320">
        <v>2</v>
      </c>
      <c r="J320">
        <v>740.27</v>
      </c>
      <c r="K320">
        <v>0.2</v>
      </c>
      <c r="L320">
        <v>1184.43</v>
      </c>
      <c r="M320" t="s">
        <v>76</v>
      </c>
      <c r="N320" t="s">
        <v>71</v>
      </c>
      <c r="O320" t="s">
        <v>65</v>
      </c>
      <c r="P320" t="s">
        <v>59</v>
      </c>
    </row>
    <row r="321" spans="1:16" x14ac:dyDescent="0.3">
      <c r="A321" t="s">
        <v>604</v>
      </c>
      <c r="B321" s="1">
        <v>46072</v>
      </c>
      <c r="C321" t="s">
        <v>493</v>
      </c>
      <c r="D321" t="s">
        <v>38</v>
      </c>
      <c r="E321" t="s">
        <v>39</v>
      </c>
      <c r="F321" t="s">
        <v>40</v>
      </c>
      <c r="G321" t="s">
        <v>56</v>
      </c>
      <c r="H321" t="s">
        <v>64</v>
      </c>
      <c r="I321">
        <v>2</v>
      </c>
      <c r="J321">
        <v>1721.99</v>
      </c>
      <c r="K321">
        <v>0.08</v>
      </c>
      <c r="L321">
        <v>3168.46</v>
      </c>
      <c r="M321" t="s">
        <v>48</v>
      </c>
      <c r="N321" t="s">
        <v>58</v>
      </c>
      <c r="O321" t="s">
        <v>65</v>
      </c>
      <c r="P321" t="s">
        <v>72</v>
      </c>
    </row>
    <row r="322" spans="1:16" x14ac:dyDescent="0.3">
      <c r="A322" t="s">
        <v>605</v>
      </c>
      <c r="B322" s="1">
        <v>45659</v>
      </c>
      <c r="C322" t="s">
        <v>208</v>
      </c>
      <c r="D322" t="s">
        <v>105</v>
      </c>
      <c r="E322" t="s">
        <v>106</v>
      </c>
      <c r="F322" t="s">
        <v>40</v>
      </c>
      <c r="G322" t="s">
        <v>21</v>
      </c>
      <c r="H322" t="s">
        <v>126</v>
      </c>
      <c r="I322">
        <v>2</v>
      </c>
      <c r="J322">
        <v>6832.88</v>
      </c>
      <c r="K322">
        <v>0.15</v>
      </c>
      <c r="L322">
        <v>11615.9</v>
      </c>
      <c r="M322" t="s">
        <v>48</v>
      </c>
      <c r="N322" t="s">
        <v>58</v>
      </c>
      <c r="O322" t="s">
        <v>65</v>
      </c>
      <c r="P322" t="s">
        <v>116</v>
      </c>
    </row>
    <row r="323" spans="1:16" x14ac:dyDescent="0.3">
      <c r="A323" t="s">
        <v>606</v>
      </c>
      <c r="B323" s="1">
        <v>45615</v>
      </c>
      <c r="C323" t="s">
        <v>607</v>
      </c>
      <c r="D323" t="s">
        <v>121</v>
      </c>
      <c r="E323" t="s">
        <v>122</v>
      </c>
      <c r="F323" t="s">
        <v>55</v>
      </c>
      <c r="G323" t="s">
        <v>56</v>
      </c>
      <c r="H323" t="s">
        <v>123</v>
      </c>
      <c r="I323">
        <v>2</v>
      </c>
      <c r="J323">
        <v>447.59</v>
      </c>
      <c r="K323">
        <v>0.15</v>
      </c>
      <c r="L323">
        <v>760.9</v>
      </c>
      <c r="M323" t="s">
        <v>23</v>
      </c>
      <c r="N323" t="s">
        <v>34</v>
      </c>
      <c r="O323" t="s">
        <v>65</v>
      </c>
      <c r="P323" t="s">
        <v>116</v>
      </c>
    </row>
    <row r="324" spans="1:16" x14ac:dyDescent="0.3">
      <c r="A324" t="s">
        <v>608</v>
      </c>
      <c r="B324" s="1">
        <v>45534</v>
      </c>
      <c r="C324" t="s">
        <v>329</v>
      </c>
      <c r="D324" t="s">
        <v>79</v>
      </c>
      <c r="E324" t="s">
        <v>80</v>
      </c>
      <c r="F324" t="s">
        <v>31</v>
      </c>
      <c r="G324" t="s">
        <v>81</v>
      </c>
      <c r="H324" t="s">
        <v>82</v>
      </c>
      <c r="I324">
        <v>5</v>
      </c>
      <c r="J324">
        <v>11577.96</v>
      </c>
      <c r="K324">
        <v>0.08</v>
      </c>
      <c r="L324">
        <v>53258.62</v>
      </c>
      <c r="M324" t="s">
        <v>76</v>
      </c>
      <c r="N324" t="s">
        <v>24</v>
      </c>
      <c r="O324" t="s">
        <v>65</v>
      </c>
      <c r="P324" t="s">
        <v>102</v>
      </c>
    </row>
    <row r="325" spans="1:16" x14ac:dyDescent="0.3">
      <c r="A325" t="s">
        <v>609</v>
      </c>
      <c r="B325" s="1">
        <v>45509</v>
      </c>
      <c r="C325" t="s">
        <v>562</v>
      </c>
      <c r="D325" t="s">
        <v>29</v>
      </c>
      <c r="E325" t="s">
        <v>30</v>
      </c>
      <c r="F325" t="s">
        <v>31</v>
      </c>
      <c r="G325" t="s">
        <v>21</v>
      </c>
      <c r="H325" t="s">
        <v>41</v>
      </c>
      <c r="J325">
        <v>3357.16</v>
      </c>
      <c r="K325">
        <v>0</v>
      </c>
      <c r="L325">
        <v>6714.32</v>
      </c>
      <c r="M325" t="s">
        <v>23</v>
      </c>
      <c r="N325" t="s">
        <v>49</v>
      </c>
      <c r="O325" t="s">
        <v>65</v>
      </c>
      <c r="P325" t="s">
        <v>26</v>
      </c>
    </row>
    <row r="326" spans="1:16" x14ac:dyDescent="0.3">
      <c r="A326" t="s">
        <v>610</v>
      </c>
      <c r="B326" s="1">
        <v>45671</v>
      </c>
      <c r="C326" t="s">
        <v>257</v>
      </c>
      <c r="D326" t="s">
        <v>29</v>
      </c>
      <c r="E326" t="s">
        <v>30</v>
      </c>
      <c r="F326" t="s">
        <v>31</v>
      </c>
      <c r="G326" t="s">
        <v>21</v>
      </c>
      <c r="I326">
        <v>5</v>
      </c>
      <c r="J326">
        <v>3027.38</v>
      </c>
      <c r="K326">
        <v>0.08</v>
      </c>
      <c r="L326">
        <v>13925.95</v>
      </c>
      <c r="M326" t="s">
        <v>76</v>
      </c>
      <c r="N326" t="s">
        <v>34</v>
      </c>
      <c r="O326" t="s">
        <v>65</v>
      </c>
      <c r="P326" t="s">
        <v>111</v>
      </c>
    </row>
    <row r="327" spans="1:16" x14ac:dyDescent="0.3">
      <c r="A327" t="s">
        <v>611</v>
      </c>
      <c r="B327" s="1">
        <v>45454</v>
      </c>
      <c r="C327" t="s">
        <v>612</v>
      </c>
      <c r="D327" t="s">
        <v>121</v>
      </c>
      <c r="E327" t="s">
        <v>122</v>
      </c>
      <c r="F327" t="s">
        <v>55</v>
      </c>
      <c r="G327" t="s">
        <v>21</v>
      </c>
      <c r="H327" t="s">
        <v>93</v>
      </c>
      <c r="I327">
        <v>2</v>
      </c>
      <c r="J327">
        <v>480.79</v>
      </c>
      <c r="K327">
        <v>0</v>
      </c>
      <c r="L327">
        <v>961.58</v>
      </c>
      <c r="M327" t="s">
        <v>23</v>
      </c>
      <c r="N327" t="s">
        <v>71</v>
      </c>
      <c r="O327" t="s">
        <v>25</v>
      </c>
      <c r="P327" t="s">
        <v>72</v>
      </c>
    </row>
    <row r="328" spans="1:16" x14ac:dyDescent="0.3">
      <c r="A328" t="s">
        <v>613</v>
      </c>
      <c r="B328" s="1">
        <v>45984</v>
      </c>
      <c r="C328" t="s">
        <v>143</v>
      </c>
      <c r="D328" t="s">
        <v>79</v>
      </c>
      <c r="E328" t="s">
        <v>80</v>
      </c>
      <c r="F328" t="s">
        <v>31</v>
      </c>
      <c r="G328" t="s">
        <v>56</v>
      </c>
      <c r="H328" t="s">
        <v>123</v>
      </c>
      <c r="I328">
        <v>2</v>
      </c>
      <c r="J328">
        <v>12058.71</v>
      </c>
      <c r="K328">
        <v>0.15</v>
      </c>
      <c r="L328">
        <v>20499.810000000001</v>
      </c>
      <c r="M328" t="s">
        <v>23</v>
      </c>
      <c r="N328" t="s">
        <v>34</v>
      </c>
      <c r="O328" t="s">
        <v>65</v>
      </c>
      <c r="P328" t="s">
        <v>59</v>
      </c>
    </row>
    <row r="329" spans="1:16" x14ac:dyDescent="0.3">
      <c r="A329" t="s">
        <v>614</v>
      </c>
      <c r="B329" s="1">
        <v>45643</v>
      </c>
      <c r="C329" t="s">
        <v>612</v>
      </c>
      <c r="D329" t="s">
        <v>89</v>
      </c>
      <c r="E329" t="s">
        <v>90</v>
      </c>
      <c r="F329" t="s">
        <v>20</v>
      </c>
      <c r="G329" t="s">
        <v>56</v>
      </c>
      <c r="I329">
        <v>2</v>
      </c>
      <c r="J329">
        <v>654.04999999999995</v>
      </c>
      <c r="K329">
        <v>0.05</v>
      </c>
      <c r="L329">
        <v>1242.69</v>
      </c>
      <c r="M329" t="s">
        <v>23</v>
      </c>
      <c r="N329" t="s">
        <v>58</v>
      </c>
      <c r="O329" t="s">
        <v>65</v>
      </c>
      <c r="P329" t="s">
        <v>111</v>
      </c>
    </row>
    <row r="330" spans="1:16" x14ac:dyDescent="0.3">
      <c r="A330" t="s">
        <v>615</v>
      </c>
      <c r="B330" s="1">
        <v>45838</v>
      </c>
      <c r="C330" t="s">
        <v>264</v>
      </c>
      <c r="D330" t="s">
        <v>89</v>
      </c>
      <c r="E330" t="s">
        <v>90</v>
      </c>
      <c r="F330" t="s">
        <v>20</v>
      </c>
      <c r="G330" t="s">
        <v>56</v>
      </c>
      <c r="H330" t="s">
        <v>57</v>
      </c>
      <c r="I330">
        <v>5</v>
      </c>
      <c r="J330">
        <v>703.56</v>
      </c>
      <c r="K330">
        <v>0</v>
      </c>
      <c r="L330">
        <v>3517.8</v>
      </c>
      <c r="M330" t="s">
        <v>23</v>
      </c>
      <c r="N330" t="s">
        <v>71</v>
      </c>
      <c r="O330" t="s">
        <v>35</v>
      </c>
      <c r="P330" t="s">
        <v>72</v>
      </c>
    </row>
    <row r="331" spans="1:16" x14ac:dyDescent="0.3">
      <c r="A331" t="s">
        <v>616</v>
      </c>
      <c r="B331" s="1">
        <v>45989</v>
      </c>
      <c r="C331" t="s">
        <v>514</v>
      </c>
      <c r="D331" t="s">
        <v>18</v>
      </c>
      <c r="E331" t="s">
        <v>19</v>
      </c>
      <c r="F331" t="s">
        <v>20</v>
      </c>
      <c r="G331" t="s">
        <v>32</v>
      </c>
      <c r="H331" t="s">
        <v>47</v>
      </c>
      <c r="I331">
        <v>3</v>
      </c>
      <c r="J331">
        <v>841.07</v>
      </c>
      <c r="K331">
        <v>0.2</v>
      </c>
      <c r="L331">
        <v>2018.57</v>
      </c>
      <c r="M331" t="s">
        <v>48</v>
      </c>
      <c r="N331" t="s">
        <v>34</v>
      </c>
      <c r="O331" t="s">
        <v>35</v>
      </c>
      <c r="P331" t="s">
        <v>42</v>
      </c>
    </row>
    <row r="332" spans="1:16" x14ac:dyDescent="0.3">
      <c r="A332" t="s">
        <v>617</v>
      </c>
      <c r="B332" s="1">
        <v>45354</v>
      </c>
      <c r="C332" t="s">
        <v>558</v>
      </c>
      <c r="D332" t="s">
        <v>62</v>
      </c>
      <c r="E332" t="s">
        <v>63</v>
      </c>
      <c r="F332" t="s">
        <v>31</v>
      </c>
      <c r="G332" t="s">
        <v>56</v>
      </c>
      <c r="H332" t="s">
        <v>64</v>
      </c>
      <c r="I332">
        <v>1</v>
      </c>
      <c r="J332">
        <v>2921</v>
      </c>
      <c r="K332">
        <v>0.2</v>
      </c>
      <c r="L332">
        <v>2336.8000000000002</v>
      </c>
      <c r="M332" t="s">
        <v>23</v>
      </c>
      <c r="N332" t="s">
        <v>58</v>
      </c>
      <c r="O332" t="s">
        <v>65</v>
      </c>
      <c r="P332" t="s">
        <v>50</v>
      </c>
    </row>
    <row r="333" spans="1:16" x14ac:dyDescent="0.3">
      <c r="A333" t="s">
        <v>618</v>
      </c>
      <c r="B333" s="1">
        <v>45323</v>
      </c>
      <c r="C333" t="s">
        <v>341</v>
      </c>
      <c r="D333" t="s">
        <v>29</v>
      </c>
      <c r="E333" t="s">
        <v>30</v>
      </c>
      <c r="F333" t="s">
        <v>31</v>
      </c>
      <c r="G333" t="s">
        <v>32</v>
      </c>
      <c r="H333" t="s">
        <v>47</v>
      </c>
      <c r="I333">
        <v>4</v>
      </c>
      <c r="J333">
        <v>3252.43</v>
      </c>
      <c r="K333">
        <v>0.15</v>
      </c>
      <c r="L333">
        <v>11058.26</v>
      </c>
      <c r="M333" t="s">
        <v>76</v>
      </c>
      <c r="N333" t="s">
        <v>71</v>
      </c>
      <c r="O333" t="s">
        <v>35</v>
      </c>
      <c r="P333" t="s">
        <v>42</v>
      </c>
    </row>
    <row r="334" spans="1:16" x14ac:dyDescent="0.3">
      <c r="A334" t="s">
        <v>619</v>
      </c>
      <c r="B334" s="1">
        <v>46184</v>
      </c>
      <c r="C334" t="s">
        <v>108</v>
      </c>
      <c r="D334" t="s">
        <v>121</v>
      </c>
      <c r="E334" t="s">
        <v>122</v>
      </c>
      <c r="F334" t="s">
        <v>55</v>
      </c>
      <c r="G334" t="s">
        <v>32</v>
      </c>
      <c r="H334" t="s">
        <v>47</v>
      </c>
      <c r="I334">
        <v>1</v>
      </c>
      <c r="J334">
        <v>433.1</v>
      </c>
      <c r="K334">
        <v>0.1</v>
      </c>
      <c r="L334">
        <v>389.79</v>
      </c>
      <c r="M334" t="s">
        <v>76</v>
      </c>
      <c r="N334" t="s">
        <v>34</v>
      </c>
      <c r="O334" t="s">
        <v>65</v>
      </c>
      <c r="P334" t="s">
        <v>72</v>
      </c>
    </row>
    <row r="335" spans="1:16" x14ac:dyDescent="0.3">
      <c r="A335" t="s">
        <v>620</v>
      </c>
      <c r="B335" s="1">
        <v>46094</v>
      </c>
      <c r="C335" t="s">
        <v>245</v>
      </c>
      <c r="D335" t="s">
        <v>45</v>
      </c>
      <c r="E335" t="s">
        <v>46</v>
      </c>
      <c r="F335" t="s">
        <v>31</v>
      </c>
      <c r="G335" t="s">
        <v>56</v>
      </c>
      <c r="H335" t="s">
        <v>123</v>
      </c>
      <c r="I335">
        <v>5</v>
      </c>
      <c r="J335">
        <v>1778.68</v>
      </c>
      <c r="K335">
        <v>0.2</v>
      </c>
      <c r="L335">
        <v>7114.72</v>
      </c>
      <c r="M335" t="s">
        <v>48</v>
      </c>
      <c r="N335" t="s">
        <v>24</v>
      </c>
      <c r="O335" t="s">
        <v>65</v>
      </c>
      <c r="P335" t="s">
        <v>59</v>
      </c>
    </row>
    <row r="336" spans="1:16" x14ac:dyDescent="0.3">
      <c r="A336" t="s">
        <v>621</v>
      </c>
      <c r="B336" s="1">
        <v>45718</v>
      </c>
      <c r="C336" t="s">
        <v>238</v>
      </c>
      <c r="D336" t="s">
        <v>79</v>
      </c>
      <c r="E336" t="s">
        <v>80</v>
      </c>
      <c r="F336" t="s">
        <v>31</v>
      </c>
      <c r="G336" t="s">
        <v>56</v>
      </c>
      <c r="H336" t="s">
        <v>101</v>
      </c>
      <c r="I336">
        <v>3</v>
      </c>
      <c r="J336">
        <v>12203.86</v>
      </c>
      <c r="K336">
        <v>0</v>
      </c>
      <c r="L336">
        <v>36611.58</v>
      </c>
      <c r="M336" t="s">
        <v>76</v>
      </c>
      <c r="N336" t="s">
        <v>24</v>
      </c>
      <c r="O336" t="s">
        <v>65</v>
      </c>
      <c r="P336" t="s">
        <v>59</v>
      </c>
    </row>
    <row r="337" spans="1:16" x14ac:dyDescent="0.3">
      <c r="A337" t="s">
        <v>622</v>
      </c>
      <c r="B337" s="1">
        <v>46043</v>
      </c>
      <c r="C337" t="s">
        <v>623</v>
      </c>
      <c r="D337" t="s">
        <v>89</v>
      </c>
      <c r="E337" t="s">
        <v>90</v>
      </c>
      <c r="F337" t="s">
        <v>20</v>
      </c>
      <c r="G337" t="s">
        <v>56</v>
      </c>
      <c r="H337" t="s">
        <v>57</v>
      </c>
      <c r="I337">
        <v>4</v>
      </c>
      <c r="J337">
        <v>731.89</v>
      </c>
      <c r="K337">
        <v>0.2</v>
      </c>
      <c r="L337">
        <v>2342.0500000000002</v>
      </c>
      <c r="M337" t="s">
        <v>76</v>
      </c>
      <c r="N337" t="s">
        <v>34</v>
      </c>
      <c r="O337" t="s">
        <v>65</v>
      </c>
      <c r="P337" t="s">
        <v>50</v>
      </c>
    </row>
    <row r="338" spans="1:16" x14ac:dyDescent="0.3">
      <c r="A338" t="s">
        <v>624</v>
      </c>
      <c r="B338" s="1">
        <v>46137</v>
      </c>
      <c r="C338" t="s">
        <v>625</v>
      </c>
      <c r="D338" t="s">
        <v>53</v>
      </c>
      <c r="E338" t="s">
        <v>54</v>
      </c>
      <c r="F338" t="s">
        <v>55</v>
      </c>
      <c r="G338" t="s">
        <v>21</v>
      </c>
      <c r="H338" t="s">
        <v>93</v>
      </c>
      <c r="I338">
        <v>1</v>
      </c>
      <c r="J338">
        <v>222.96</v>
      </c>
      <c r="K338">
        <v>0.03</v>
      </c>
      <c r="L338">
        <v>216.27</v>
      </c>
      <c r="M338" t="s">
        <v>23</v>
      </c>
      <c r="N338" t="s">
        <v>71</v>
      </c>
      <c r="O338" t="s">
        <v>25</v>
      </c>
      <c r="P338" t="s">
        <v>102</v>
      </c>
    </row>
    <row r="339" spans="1:16" x14ac:dyDescent="0.3">
      <c r="A339" t="s">
        <v>626</v>
      </c>
      <c r="B339" s="1">
        <v>45397</v>
      </c>
      <c r="C339" t="s">
        <v>627</v>
      </c>
      <c r="D339" t="s">
        <v>105</v>
      </c>
      <c r="E339" t="s">
        <v>106</v>
      </c>
      <c r="F339" t="s">
        <v>40</v>
      </c>
      <c r="G339" t="s">
        <v>21</v>
      </c>
      <c r="H339" t="s">
        <v>126</v>
      </c>
      <c r="I339">
        <v>2</v>
      </c>
      <c r="J339">
        <v>6691.79</v>
      </c>
      <c r="K339">
        <v>0.15</v>
      </c>
      <c r="L339">
        <v>11376.04</v>
      </c>
      <c r="M339" t="s">
        <v>23</v>
      </c>
      <c r="N339" t="s">
        <v>34</v>
      </c>
      <c r="O339" t="s">
        <v>65</v>
      </c>
      <c r="P339" t="s">
        <v>72</v>
      </c>
    </row>
    <row r="340" spans="1:16" x14ac:dyDescent="0.3">
      <c r="A340" t="s">
        <v>628</v>
      </c>
      <c r="B340" s="1">
        <v>45756</v>
      </c>
      <c r="C340" t="s">
        <v>92</v>
      </c>
      <c r="D340" t="s">
        <v>53</v>
      </c>
      <c r="E340" t="s">
        <v>54</v>
      </c>
      <c r="F340" t="s">
        <v>55</v>
      </c>
      <c r="G340" t="s">
        <v>56</v>
      </c>
      <c r="H340" t="s">
        <v>123</v>
      </c>
      <c r="I340">
        <v>2</v>
      </c>
      <c r="J340">
        <v>206.58</v>
      </c>
      <c r="K340">
        <v>0</v>
      </c>
      <c r="L340">
        <v>413.16</v>
      </c>
      <c r="M340" t="s">
        <v>48</v>
      </c>
      <c r="N340" t="s">
        <v>58</v>
      </c>
      <c r="O340" t="s">
        <v>25</v>
      </c>
      <c r="P340" t="s">
        <v>42</v>
      </c>
    </row>
    <row r="341" spans="1:16" x14ac:dyDescent="0.3">
      <c r="A341" t="s">
        <v>629</v>
      </c>
      <c r="B341" s="1">
        <v>45461</v>
      </c>
      <c r="C341" t="s">
        <v>297</v>
      </c>
      <c r="D341" t="s">
        <v>79</v>
      </c>
      <c r="E341" t="s">
        <v>80</v>
      </c>
      <c r="F341" t="s">
        <v>31</v>
      </c>
      <c r="G341" t="s">
        <v>56</v>
      </c>
      <c r="H341" t="s">
        <v>123</v>
      </c>
      <c r="I341">
        <v>1</v>
      </c>
      <c r="J341">
        <v>12936.12</v>
      </c>
      <c r="K341">
        <v>0.1</v>
      </c>
      <c r="L341">
        <v>11642.51</v>
      </c>
      <c r="M341" t="s">
        <v>76</v>
      </c>
      <c r="N341" t="s">
        <v>71</v>
      </c>
      <c r="O341" t="s">
        <v>35</v>
      </c>
      <c r="P341" t="s">
        <v>72</v>
      </c>
    </row>
    <row r="342" spans="1:16" x14ac:dyDescent="0.3">
      <c r="A342" t="s">
        <v>630</v>
      </c>
      <c r="B342" s="1">
        <v>45950</v>
      </c>
      <c r="C342" t="s">
        <v>631</v>
      </c>
      <c r="D342" t="s">
        <v>89</v>
      </c>
      <c r="E342" t="s">
        <v>90</v>
      </c>
      <c r="F342" t="s">
        <v>20</v>
      </c>
      <c r="G342" t="s">
        <v>32</v>
      </c>
      <c r="H342" t="s">
        <v>47</v>
      </c>
      <c r="I342">
        <v>3</v>
      </c>
      <c r="J342">
        <v>698.03</v>
      </c>
      <c r="K342">
        <v>0.05</v>
      </c>
      <c r="L342">
        <v>1989.39</v>
      </c>
      <c r="M342" t="s">
        <v>48</v>
      </c>
      <c r="N342" t="s">
        <v>34</v>
      </c>
      <c r="O342" t="s">
        <v>65</v>
      </c>
      <c r="P342" t="s">
        <v>102</v>
      </c>
    </row>
    <row r="343" spans="1:16" x14ac:dyDescent="0.3">
      <c r="A343" t="s">
        <v>632</v>
      </c>
      <c r="B343" s="1">
        <v>45395</v>
      </c>
      <c r="C343" t="s">
        <v>397</v>
      </c>
      <c r="D343" t="s">
        <v>85</v>
      </c>
      <c r="E343" t="s">
        <v>86</v>
      </c>
      <c r="F343" t="s">
        <v>20</v>
      </c>
      <c r="G343" t="s">
        <v>32</v>
      </c>
      <c r="H343" t="s">
        <v>33</v>
      </c>
      <c r="I343">
        <v>4</v>
      </c>
      <c r="J343">
        <v>1746.64</v>
      </c>
      <c r="K343">
        <v>0.2</v>
      </c>
      <c r="L343">
        <v>5589.25</v>
      </c>
      <c r="M343" t="s">
        <v>48</v>
      </c>
      <c r="N343" t="s">
        <v>24</v>
      </c>
      <c r="O343" t="s">
        <v>35</v>
      </c>
      <c r="P343" t="s">
        <v>59</v>
      </c>
    </row>
    <row r="344" spans="1:16" x14ac:dyDescent="0.3">
      <c r="A344" t="s">
        <v>633</v>
      </c>
      <c r="B344" s="1">
        <v>45572</v>
      </c>
      <c r="C344" t="s">
        <v>348</v>
      </c>
      <c r="D344" t="s">
        <v>45</v>
      </c>
      <c r="E344" t="s">
        <v>46</v>
      </c>
      <c r="F344" t="s">
        <v>31</v>
      </c>
      <c r="G344" t="s">
        <v>21</v>
      </c>
      <c r="H344" t="s">
        <v>126</v>
      </c>
      <c r="I344">
        <v>5</v>
      </c>
      <c r="J344">
        <v>1859.12</v>
      </c>
      <c r="K344">
        <v>0.2</v>
      </c>
      <c r="L344">
        <v>7436.48</v>
      </c>
      <c r="M344" t="s">
        <v>23</v>
      </c>
      <c r="N344" t="s">
        <v>24</v>
      </c>
      <c r="O344" t="s">
        <v>65</v>
      </c>
      <c r="P344" t="s">
        <v>72</v>
      </c>
    </row>
    <row r="345" spans="1:16" x14ac:dyDescent="0.3">
      <c r="A345" t="s">
        <v>634</v>
      </c>
      <c r="B345" s="1">
        <v>45888</v>
      </c>
      <c r="C345" t="s">
        <v>394</v>
      </c>
      <c r="D345" t="s">
        <v>96</v>
      </c>
      <c r="E345" t="s">
        <v>97</v>
      </c>
      <c r="F345" t="s">
        <v>31</v>
      </c>
      <c r="G345" t="s">
        <v>56</v>
      </c>
      <c r="H345" t="s">
        <v>57</v>
      </c>
      <c r="I345">
        <v>3</v>
      </c>
      <c r="J345">
        <v>1122.05</v>
      </c>
      <c r="K345">
        <v>0.1</v>
      </c>
      <c r="L345">
        <v>3029.53</v>
      </c>
      <c r="M345" t="s">
        <v>48</v>
      </c>
      <c r="N345" t="s">
        <v>49</v>
      </c>
      <c r="O345" t="s">
        <v>65</v>
      </c>
      <c r="P345" t="s">
        <v>102</v>
      </c>
    </row>
    <row r="346" spans="1:16" x14ac:dyDescent="0.3">
      <c r="A346" t="s">
        <v>635</v>
      </c>
      <c r="B346" s="1">
        <v>45737</v>
      </c>
      <c r="C346" t="s">
        <v>181</v>
      </c>
      <c r="D346" t="s">
        <v>45</v>
      </c>
      <c r="E346" t="s">
        <v>46</v>
      </c>
      <c r="F346" t="s">
        <v>31</v>
      </c>
      <c r="G346" t="s">
        <v>32</v>
      </c>
      <c r="H346" t="s">
        <v>33</v>
      </c>
      <c r="I346">
        <v>2</v>
      </c>
      <c r="J346">
        <v>1810.71</v>
      </c>
      <c r="K346">
        <v>0.2</v>
      </c>
      <c r="L346">
        <v>2897.14</v>
      </c>
      <c r="M346" t="s">
        <v>23</v>
      </c>
      <c r="N346" t="s">
        <v>34</v>
      </c>
      <c r="O346" t="s">
        <v>65</v>
      </c>
      <c r="P346" t="s">
        <v>59</v>
      </c>
    </row>
    <row r="347" spans="1:16" x14ac:dyDescent="0.3">
      <c r="A347" t="s">
        <v>636</v>
      </c>
      <c r="B347" s="1">
        <v>45628</v>
      </c>
      <c r="C347" t="s">
        <v>373</v>
      </c>
      <c r="D347" t="s">
        <v>85</v>
      </c>
      <c r="E347" t="s">
        <v>86</v>
      </c>
      <c r="F347" t="s">
        <v>20</v>
      </c>
      <c r="G347" t="s">
        <v>56</v>
      </c>
      <c r="H347" t="s">
        <v>123</v>
      </c>
      <c r="I347">
        <v>4</v>
      </c>
      <c r="J347">
        <v>1712.72</v>
      </c>
      <c r="K347">
        <v>0.05</v>
      </c>
      <c r="L347">
        <v>6508.34</v>
      </c>
      <c r="M347" t="s">
        <v>23</v>
      </c>
      <c r="N347" t="s">
        <v>49</v>
      </c>
      <c r="O347" t="s">
        <v>65</v>
      </c>
      <c r="P347" t="s">
        <v>59</v>
      </c>
    </row>
    <row r="348" spans="1:16" x14ac:dyDescent="0.3">
      <c r="A348" t="s">
        <v>637</v>
      </c>
      <c r="B348" s="1">
        <v>45514</v>
      </c>
      <c r="C348" t="s">
        <v>141</v>
      </c>
      <c r="D348" t="s">
        <v>105</v>
      </c>
      <c r="E348" t="s">
        <v>106</v>
      </c>
      <c r="F348" t="s">
        <v>40</v>
      </c>
      <c r="G348" t="s">
        <v>21</v>
      </c>
      <c r="H348" t="s">
        <v>93</v>
      </c>
      <c r="I348">
        <v>3</v>
      </c>
      <c r="J348">
        <v>7060.46</v>
      </c>
      <c r="K348">
        <v>0.2</v>
      </c>
      <c r="L348">
        <v>16945.099999999999</v>
      </c>
      <c r="M348" t="s">
        <v>76</v>
      </c>
      <c r="N348" t="s">
        <v>58</v>
      </c>
      <c r="O348" t="s">
        <v>25</v>
      </c>
      <c r="P348" t="s">
        <v>42</v>
      </c>
    </row>
    <row r="349" spans="1:16" x14ac:dyDescent="0.3">
      <c r="A349" t="s">
        <v>638</v>
      </c>
      <c r="B349" s="1">
        <v>45768</v>
      </c>
      <c r="C349" t="s">
        <v>164</v>
      </c>
      <c r="D349" t="s">
        <v>96</v>
      </c>
      <c r="E349" t="s">
        <v>97</v>
      </c>
      <c r="F349" t="s">
        <v>31</v>
      </c>
      <c r="G349" t="s">
        <v>32</v>
      </c>
      <c r="H349" t="s">
        <v>33</v>
      </c>
      <c r="I349">
        <v>5</v>
      </c>
      <c r="J349">
        <v>1115.27</v>
      </c>
      <c r="K349">
        <v>0.15</v>
      </c>
      <c r="L349">
        <v>4739.8999999999996</v>
      </c>
      <c r="M349" t="s">
        <v>48</v>
      </c>
      <c r="N349" t="s">
        <v>49</v>
      </c>
      <c r="O349" t="s">
        <v>65</v>
      </c>
      <c r="P349" t="s">
        <v>102</v>
      </c>
    </row>
    <row r="350" spans="1:16" x14ac:dyDescent="0.3">
      <c r="A350" t="s">
        <v>639</v>
      </c>
      <c r="B350" s="1">
        <v>46022</v>
      </c>
      <c r="C350" t="s">
        <v>640</v>
      </c>
      <c r="D350" t="s">
        <v>121</v>
      </c>
      <c r="E350" t="s">
        <v>122</v>
      </c>
      <c r="F350" t="s">
        <v>55</v>
      </c>
      <c r="G350" t="s">
        <v>81</v>
      </c>
      <c r="H350" t="s">
        <v>82</v>
      </c>
      <c r="I350">
        <v>1</v>
      </c>
      <c r="J350">
        <v>423.11</v>
      </c>
      <c r="K350">
        <v>0.08</v>
      </c>
      <c r="L350">
        <v>389.26</v>
      </c>
      <c r="M350" t="s">
        <v>48</v>
      </c>
      <c r="N350" t="s">
        <v>71</v>
      </c>
      <c r="O350" t="s">
        <v>65</v>
      </c>
      <c r="P350" t="s">
        <v>72</v>
      </c>
    </row>
    <row r="351" spans="1:16" x14ac:dyDescent="0.3">
      <c r="A351" t="s">
        <v>641</v>
      </c>
      <c r="B351" s="1">
        <v>45951</v>
      </c>
      <c r="C351" t="s">
        <v>108</v>
      </c>
      <c r="D351" t="s">
        <v>38</v>
      </c>
      <c r="E351" t="s">
        <v>39</v>
      </c>
      <c r="F351" t="s">
        <v>40</v>
      </c>
      <c r="G351" t="s">
        <v>32</v>
      </c>
      <c r="H351" t="s">
        <v>47</v>
      </c>
      <c r="I351">
        <v>3</v>
      </c>
      <c r="J351">
        <v>1628.78</v>
      </c>
      <c r="K351">
        <v>0.1</v>
      </c>
      <c r="L351">
        <v>4397.71</v>
      </c>
      <c r="M351" t="s">
        <v>76</v>
      </c>
      <c r="N351" t="s">
        <v>34</v>
      </c>
      <c r="O351" t="s">
        <v>65</v>
      </c>
      <c r="P351" t="s">
        <v>111</v>
      </c>
    </row>
    <row r="352" spans="1:16" x14ac:dyDescent="0.3">
      <c r="A352" t="s">
        <v>642</v>
      </c>
      <c r="B352" s="1">
        <v>45332</v>
      </c>
      <c r="C352" t="s">
        <v>643</v>
      </c>
      <c r="D352" t="s">
        <v>170</v>
      </c>
      <c r="E352" t="s">
        <v>171</v>
      </c>
      <c r="F352" t="s">
        <v>31</v>
      </c>
      <c r="G352" t="s">
        <v>81</v>
      </c>
      <c r="H352" t="s">
        <v>135</v>
      </c>
      <c r="I352">
        <v>3</v>
      </c>
      <c r="J352">
        <v>68747.600000000006</v>
      </c>
      <c r="K352">
        <v>0.1</v>
      </c>
      <c r="L352">
        <v>185618.52</v>
      </c>
      <c r="M352" t="s">
        <v>76</v>
      </c>
      <c r="N352" t="s">
        <v>24</v>
      </c>
      <c r="O352" t="s">
        <v>65</v>
      </c>
      <c r="P352" t="s">
        <v>72</v>
      </c>
    </row>
    <row r="353" spans="1:16" x14ac:dyDescent="0.3">
      <c r="A353" t="s">
        <v>644</v>
      </c>
      <c r="B353" s="1">
        <v>45463</v>
      </c>
      <c r="C353" t="s">
        <v>424</v>
      </c>
      <c r="D353" t="s">
        <v>62</v>
      </c>
      <c r="E353" t="s">
        <v>63</v>
      </c>
      <c r="F353" t="s">
        <v>31</v>
      </c>
      <c r="G353" t="s">
        <v>56</v>
      </c>
      <c r="H353" t="s">
        <v>64</v>
      </c>
      <c r="I353">
        <v>4</v>
      </c>
      <c r="J353">
        <v>2667.55</v>
      </c>
      <c r="K353">
        <v>0.1</v>
      </c>
      <c r="L353">
        <v>9603.18</v>
      </c>
      <c r="M353" t="s">
        <v>76</v>
      </c>
      <c r="N353" t="s">
        <v>34</v>
      </c>
      <c r="O353" t="s">
        <v>35</v>
      </c>
      <c r="P353" t="s">
        <v>111</v>
      </c>
    </row>
    <row r="354" spans="1:16" x14ac:dyDescent="0.3">
      <c r="A354" t="s">
        <v>645</v>
      </c>
      <c r="B354" s="1">
        <v>45367</v>
      </c>
      <c r="C354" t="s">
        <v>457</v>
      </c>
      <c r="D354" t="s">
        <v>45</v>
      </c>
      <c r="E354" t="s">
        <v>46</v>
      </c>
      <c r="F354" t="s">
        <v>31</v>
      </c>
      <c r="G354" t="s">
        <v>56</v>
      </c>
      <c r="H354" t="s">
        <v>101</v>
      </c>
      <c r="I354">
        <v>2</v>
      </c>
      <c r="J354">
        <v>1859.96</v>
      </c>
      <c r="K354">
        <v>0.03</v>
      </c>
      <c r="L354">
        <v>3608.32</v>
      </c>
      <c r="M354" t="s">
        <v>76</v>
      </c>
      <c r="N354" t="s">
        <v>58</v>
      </c>
      <c r="O354" t="s">
        <v>65</v>
      </c>
      <c r="P354" t="s">
        <v>116</v>
      </c>
    </row>
    <row r="355" spans="1:16" x14ac:dyDescent="0.3">
      <c r="A355" t="s">
        <v>646</v>
      </c>
      <c r="B355" s="1">
        <v>45564</v>
      </c>
      <c r="C355" t="s">
        <v>283</v>
      </c>
      <c r="D355" t="s">
        <v>29</v>
      </c>
      <c r="E355" t="s">
        <v>30</v>
      </c>
      <c r="F355" t="s">
        <v>31</v>
      </c>
      <c r="G355" t="s">
        <v>81</v>
      </c>
      <c r="H355" t="s">
        <v>98</v>
      </c>
      <c r="I355">
        <v>1</v>
      </c>
      <c r="J355">
        <v>2966.11</v>
      </c>
      <c r="K355">
        <v>0.15</v>
      </c>
      <c r="L355">
        <v>2521.19</v>
      </c>
      <c r="M355" t="s">
        <v>48</v>
      </c>
      <c r="N355" t="s">
        <v>49</v>
      </c>
      <c r="O355" t="s">
        <v>25</v>
      </c>
      <c r="P355" t="s">
        <v>102</v>
      </c>
    </row>
    <row r="356" spans="1:16" x14ac:dyDescent="0.3">
      <c r="A356" t="s">
        <v>647</v>
      </c>
      <c r="B356" s="1">
        <v>45577</v>
      </c>
      <c r="C356" t="s">
        <v>648</v>
      </c>
      <c r="D356" t="s">
        <v>18</v>
      </c>
      <c r="E356" t="s">
        <v>19</v>
      </c>
      <c r="F356" t="s">
        <v>20</v>
      </c>
      <c r="G356" t="s">
        <v>81</v>
      </c>
      <c r="H356" t="s">
        <v>98</v>
      </c>
      <c r="I356">
        <v>3</v>
      </c>
      <c r="J356">
        <v>841.31</v>
      </c>
      <c r="K356">
        <v>0.03</v>
      </c>
      <c r="L356">
        <v>2448.21</v>
      </c>
      <c r="M356" t="s">
        <v>23</v>
      </c>
      <c r="N356" t="s">
        <v>49</v>
      </c>
      <c r="O356" t="s">
        <v>65</v>
      </c>
      <c r="P356" t="s">
        <v>116</v>
      </c>
    </row>
    <row r="357" spans="1:16" x14ac:dyDescent="0.3">
      <c r="A357" t="s">
        <v>649</v>
      </c>
      <c r="B357" s="1">
        <v>45685</v>
      </c>
      <c r="C357" t="s">
        <v>406</v>
      </c>
      <c r="D357" t="s">
        <v>131</v>
      </c>
      <c r="E357" t="s">
        <v>132</v>
      </c>
      <c r="F357" t="s">
        <v>40</v>
      </c>
      <c r="G357" t="s">
        <v>21</v>
      </c>
      <c r="H357" t="s">
        <v>22</v>
      </c>
      <c r="I357">
        <v>4</v>
      </c>
      <c r="J357">
        <v>10252.41</v>
      </c>
      <c r="K357">
        <v>0.2</v>
      </c>
      <c r="L357">
        <v>32807.71</v>
      </c>
      <c r="M357" t="s">
        <v>76</v>
      </c>
      <c r="N357" t="s">
        <v>58</v>
      </c>
      <c r="O357" t="s">
        <v>65</v>
      </c>
      <c r="P357" t="s">
        <v>50</v>
      </c>
    </row>
    <row r="358" spans="1:16" x14ac:dyDescent="0.3">
      <c r="A358" t="s">
        <v>650</v>
      </c>
      <c r="B358" s="1">
        <v>45987</v>
      </c>
      <c r="C358" t="s">
        <v>651</v>
      </c>
      <c r="D358" t="s">
        <v>105</v>
      </c>
      <c r="E358" t="s">
        <v>106</v>
      </c>
      <c r="F358" t="s">
        <v>40</v>
      </c>
      <c r="G358" t="s">
        <v>81</v>
      </c>
      <c r="H358" t="s">
        <v>135</v>
      </c>
      <c r="I358">
        <v>2</v>
      </c>
      <c r="J358">
        <v>7504.22</v>
      </c>
      <c r="K358">
        <v>0.03</v>
      </c>
      <c r="L358">
        <v>14558.19</v>
      </c>
      <c r="M358" t="s">
        <v>76</v>
      </c>
      <c r="N358" t="s">
        <v>49</v>
      </c>
      <c r="O358" t="s">
        <v>25</v>
      </c>
      <c r="P358" t="s">
        <v>111</v>
      </c>
    </row>
    <row r="359" spans="1:16" x14ac:dyDescent="0.3">
      <c r="A359" t="s">
        <v>652</v>
      </c>
      <c r="B359" s="1">
        <v>45321</v>
      </c>
      <c r="C359" t="s">
        <v>293</v>
      </c>
      <c r="D359" t="s">
        <v>89</v>
      </c>
      <c r="E359" t="s">
        <v>90</v>
      </c>
      <c r="F359" t="s">
        <v>20</v>
      </c>
      <c r="G359" t="s">
        <v>81</v>
      </c>
      <c r="H359" t="s">
        <v>87</v>
      </c>
      <c r="I359">
        <v>1</v>
      </c>
      <c r="J359">
        <v>652.99</v>
      </c>
      <c r="K359">
        <v>0.05</v>
      </c>
      <c r="L359">
        <v>620.34</v>
      </c>
      <c r="M359" t="s">
        <v>76</v>
      </c>
      <c r="N359" t="s">
        <v>34</v>
      </c>
      <c r="O359" t="s">
        <v>65</v>
      </c>
      <c r="P359" t="s">
        <v>50</v>
      </c>
    </row>
    <row r="360" spans="1:16" x14ac:dyDescent="0.3">
      <c r="A360" t="s">
        <v>653</v>
      </c>
      <c r="B360" s="1">
        <v>45403</v>
      </c>
      <c r="D360" t="s">
        <v>45</v>
      </c>
      <c r="E360" t="s">
        <v>46</v>
      </c>
      <c r="F360" t="s">
        <v>31</v>
      </c>
      <c r="G360" t="s">
        <v>81</v>
      </c>
      <c r="H360" t="s">
        <v>98</v>
      </c>
      <c r="I360">
        <v>3</v>
      </c>
      <c r="J360">
        <v>1823.17</v>
      </c>
      <c r="K360">
        <v>0.05</v>
      </c>
      <c r="L360">
        <v>5196.03</v>
      </c>
      <c r="M360" t="s">
        <v>76</v>
      </c>
      <c r="N360" t="s">
        <v>58</v>
      </c>
      <c r="O360" t="s">
        <v>35</v>
      </c>
      <c r="P360" t="s">
        <v>42</v>
      </c>
    </row>
    <row r="361" spans="1:16" x14ac:dyDescent="0.3">
      <c r="A361" t="s">
        <v>654</v>
      </c>
      <c r="B361" s="1">
        <v>45418</v>
      </c>
      <c r="C361" t="s">
        <v>67</v>
      </c>
      <c r="D361" t="s">
        <v>18</v>
      </c>
      <c r="E361" t="s">
        <v>19</v>
      </c>
      <c r="F361" t="s">
        <v>20</v>
      </c>
      <c r="G361" t="s">
        <v>56</v>
      </c>
      <c r="I361">
        <v>1</v>
      </c>
      <c r="J361">
        <v>900.08</v>
      </c>
      <c r="K361">
        <v>0.1</v>
      </c>
      <c r="L361">
        <v>810.07</v>
      </c>
      <c r="M361" t="s">
        <v>76</v>
      </c>
      <c r="N361" t="s">
        <v>24</v>
      </c>
      <c r="O361" t="s">
        <v>65</v>
      </c>
      <c r="P361" t="s">
        <v>72</v>
      </c>
    </row>
    <row r="362" spans="1:16" x14ac:dyDescent="0.3">
      <c r="A362" t="s">
        <v>655</v>
      </c>
      <c r="B362" s="1">
        <v>45588</v>
      </c>
      <c r="C362" t="s">
        <v>130</v>
      </c>
      <c r="D362" t="s">
        <v>45</v>
      </c>
      <c r="E362" t="s">
        <v>46</v>
      </c>
      <c r="F362" t="s">
        <v>31</v>
      </c>
      <c r="G362" t="s">
        <v>21</v>
      </c>
      <c r="H362" t="s">
        <v>22</v>
      </c>
      <c r="I362">
        <v>1</v>
      </c>
      <c r="J362">
        <v>1738.96</v>
      </c>
      <c r="K362">
        <v>0.08</v>
      </c>
      <c r="L362">
        <v>1599.84</v>
      </c>
      <c r="M362" t="s">
        <v>48</v>
      </c>
      <c r="N362" t="s">
        <v>71</v>
      </c>
      <c r="O362" t="s">
        <v>65</v>
      </c>
      <c r="P362" t="s">
        <v>102</v>
      </c>
    </row>
    <row r="363" spans="1:16" x14ac:dyDescent="0.3">
      <c r="A363" t="s">
        <v>656</v>
      </c>
      <c r="B363" s="1">
        <v>46078</v>
      </c>
      <c r="C363" t="s">
        <v>657</v>
      </c>
      <c r="D363" t="s">
        <v>29</v>
      </c>
      <c r="E363" t="s">
        <v>30</v>
      </c>
      <c r="F363" t="s">
        <v>31</v>
      </c>
      <c r="G363" t="s">
        <v>32</v>
      </c>
      <c r="H363" t="s">
        <v>68</v>
      </c>
      <c r="I363">
        <v>1</v>
      </c>
      <c r="J363">
        <v>2956.16</v>
      </c>
      <c r="K363">
        <v>0</v>
      </c>
      <c r="L363">
        <v>2956.16</v>
      </c>
      <c r="M363" t="s">
        <v>76</v>
      </c>
      <c r="N363" t="s">
        <v>34</v>
      </c>
      <c r="O363" t="s">
        <v>35</v>
      </c>
      <c r="P363" t="s">
        <v>50</v>
      </c>
    </row>
    <row r="364" spans="1:16" x14ac:dyDescent="0.3">
      <c r="A364" t="s">
        <v>658</v>
      </c>
      <c r="B364" s="1">
        <v>45720</v>
      </c>
      <c r="C364" t="s">
        <v>269</v>
      </c>
      <c r="D364" t="s">
        <v>85</v>
      </c>
      <c r="E364" t="s">
        <v>86</v>
      </c>
      <c r="F364" t="s">
        <v>20</v>
      </c>
      <c r="G364" t="s">
        <v>32</v>
      </c>
      <c r="H364" t="s">
        <v>68</v>
      </c>
      <c r="I364">
        <v>3</v>
      </c>
      <c r="J364">
        <v>1796.8</v>
      </c>
      <c r="K364">
        <v>0.03</v>
      </c>
      <c r="L364">
        <v>5228.6899999999996</v>
      </c>
      <c r="M364" t="s">
        <v>76</v>
      </c>
      <c r="N364" t="s">
        <v>34</v>
      </c>
      <c r="O364" t="s">
        <v>25</v>
      </c>
      <c r="P364" t="s">
        <v>59</v>
      </c>
    </row>
    <row r="365" spans="1:16" x14ac:dyDescent="0.3">
      <c r="A365" t="s">
        <v>659</v>
      </c>
      <c r="B365" s="1">
        <v>45428</v>
      </c>
      <c r="C365" t="s">
        <v>422</v>
      </c>
      <c r="D365" t="s">
        <v>85</v>
      </c>
      <c r="E365" t="s">
        <v>86</v>
      </c>
      <c r="F365" t="s">
        <v>20</v>
      </c>
      <c r="G365" t="s">
        <v>32</v>
      </c>
      <c r="H365" t="s">
        <v>47</v>
      </c>
      <c r="I365">
        <v>5</v>
      </c>
      <c r="J365">
        <v>1793.56</v>
      </c>
      <c r="K365">
        <v>0</v>
      </c>
      <c r="L365">
        <v>8967.7999999999993</v>
      </c>
      <c r="M365" t="s">
        <v>23</v>
      </c>
      <c r="N365" t="s">
        <v>49</v>
      </c>
      <c r="O365" t="s">
        <v>25</v>
      </c>
      <c r="P365" t="s">
        <v>26</v>
      </c>
    </row>
    <row r="366" spans="1:16" x14ac:dyDescent="0.3">
      <c r="A366" t="s">
        <v>660</v>
      </c>
      <c r="B366" s="1">
        <v>45988</v>
      </c>
      <c r="C366" t="s">
        <v>181</v>
      </c>
      <c r="D366" t="s">
        <v>79</v>
      </c>
      <c r="E366" t="s">
        <v>80</v>
      </c>
      <c r="F366" t="s">
        <v>31</v>
      </c>
      <c r="G366" t="s">
        <v>32</v>
      </c>
      <c r="H366" t="s">
        <v>33</v>
      </c>
      <c r="I366">
        <v>3</v>
      </c>
      <c r="J366">
        <v>12542.89</v>
      </c>
      <c r="K366">
        <v>0</v>
      </c>
      <c r="L366">
        <v>37628.67</v>
      </c>
      <c r="M366" t="s">
        <v>76</v>
      </c>
      <c r="N366" t="s">
        <v>24</v>
      </c>
      <c r="O366" t="s">
        <v>65</v>
      </c>
      <c r="P366" t="s">
        <v>26</v>
      </c>
    </row>
    <row r="367" spans="1:16" x14ac:dyDescent="0.3">
      <c r="A367" t="s">
        <v>661</v>
      </c>
      <c r="B367" s="1">
        <v>45570</v>
      </c>
      <c r="C367" t="s">
        <v>556</v>
      </c>
      <c r="D367" t="s">
        <v>18</v>
      </c>
      <c r="E367" t="s">
        <v>19</v>
      </c>
      <c r="F367" t="s">
        <v>20</v>
      </c>
      <c r="G367" t="s">
        <v>56</v>
      </c>
      <c r="H367" t="s">
        <v>57</v>
      </c>
      <c r="I367">
        <v>5</v>
      </c>
      <c r="J367">
        <v>802.39</v>
      </c>
      <c r="K367">
        <v>0.05</v>
      </c>
      <c r="L367">
        <v>3811.35</v>
      </c>
      <c r="M367" t="s">
        <v>23</v>
      </c>
      <c r="N367" t="s">
        <v>49</v>
      </c>
      <c r="O367" t="s">
        <v>65</v>
      </c>
      <c r="P367" t="s">
        <v>50</v>
      </c>
    </row>
    <row r="368" spans="1:16" x14ac:dyDescent="0.3">
      <c r="A368" t="s">
        <v>662</v>
      </c>
      <c r="B368" s="1">
        <v>45704</v>
      </c>
      <c r="C368" t="s">
        <v>663</v>
      </c>
      <c r="D368" t="s">
        <v>29</v>
      </c>
      <c r="E368" t="s">
        <v>30</v>
      </c>
      <c r="F368" t="s">
        <v>31</v>
      </c>
      <c r="G368" t="s">
        <v>32</v>
      </c>
      <c r="H368" t="s">
        <v>75</v>
      </c>
      <c r="I368">
        <v>5</v>
      </c>
      <c r="J368">
        <v>3021.11</v>
      </c>
      <c r="K368">
        <v>0</v>
      </c>
      <c r="L368">
        <v>15105.55</v>
      </c>
      <c r="M368" t="s">
        <v>23</v>
      </c>
      <c r="N368" t="s">
        <v>71</v>
      </c>
      <c r="O368" t="s">
        <v>65</v>
      </c>
      <c r="P368" t="s">
        <v>42</v>
      </c>
    </row>
    <row r="369" spans="1:16" x14ac:dyDescent="0.3">
      <c r="A369" t="s">
        <v>664</v>
      </c>
      <c r="B369" s="1">
        <v>45987</v>
      </c>
      <c r="C369" t="s">
        <v>552</v>
      </c>
      <c r="D369" t="s">
        <v>45</v>
      </c>
      <c r="E369" t="s">
        <v>46</v>
      </c>
      <c r="F369" t="s">
        <v>31</v>
      </c>
      <c r="G369" t="s">
        <v>32</v>
      </c>
      <c r="H369" t="s">
        <v>68</v>
      </c>
      <c r="I369">
        <v>2</v>
      </c>
      <c r="J369">
        <v>1871.44</v>
      </c>
      <c r="K369">
        <v>0</v>
      </c>
      <c r="L369">
        <v>3742.88</v>
      </c>
      <c r="M369" t="s">
        <v>48</v>
      </c>
      <c r="N369" t="s">
        <v>24</v>
      </c>
      <c r="O369" t="s">
        <v>65</v>
      </c>
      <c r="P369" t="s">
        <v>111</v>
      </c>
    </row>
    <row r="370" spans="1:16" x14ac:dyDescent="0.3">
      <c r="A370" t="s">
        <v>665</v>
      </c>
      <c r="B370" s="1">
        <v>46062</v>
      </c>
      <c r="C370" t="s">
        <v>319</v>
      </c>
      <c r="D370" t="s">
        <v>105</v>
      </c>
      <c r="E370" t="s">
        <v>106</v>
      </c>
      <c r="F370" t="s">
        <v>40</v>
      </c>
      <c r="G370" t="s">
        <v>21</v>
      </c>
      <c r="H370" t="s">
        <v>41</v>
      </c>
      <c r="I370">
        <v>1</v>
      </c>
      <c r="J370">
        <v>7765.91</v>
      </c>
      <c r="K370">
        <v>0.05</v>
      </c>
      <c r="L370">
        <v>7377.61</v>
      </c>
      <c r="M370" t="s">
        <v>23</v>
      </c>
      <c r="N370" t="s">
        <v>58</v>
      </c>
      <c r="O370" t="s">
        <v>65</v>
      </c>
      <c r="P370" t="s">
        <v>116</v>
      </c>
    </row>
    <row r="371" spans="1:16" x14ac:dyDescent="0.3">
      <c r="A371" t="s">
        <v>666</v>
      </c>
      <c r="B371" s="1">
        <v>45405</v>
      </c>
      <c r="C371" t="s">
        <v>424</v>
      </c>
      <c r="D371" t="s">
        <v>105</v>
      </c>
      <c r="E371" t="s">
        <v>106</v>
      </c>
      <c r="F371" t="s">
        <v>40</v>
      </c>
      <c r="G371" t="s">
        <v>21</v>
      </c>
      <c r="H371" t="s">
        <v>41</v>
      </c>
      <c r="I371">
        <v>4</v>
      </c>
      <c r="J371">
        <v>7536.7</v>
      </c>
      <c r="K371">
        <v>0.1</v>
      </c>
      <c r="L371">
        <v>27132.12</v>
      </c>
      <c r="M371" t="s">
        <v>76</v>
      </c>
      <c r="N371" t="s">
        <v>34</v>
      </c>
      <c r="O371" t="s">
        <v>65</v>
      </c>
      <c r="P371" t="s">
        <v>111</v>
      </c>
    </row>
    <row r="372" spans="1:16" x14ac:dyDescent="0.3">
      <c r="A372" t="s">
        <v>667</v>
      </c>
      <c r="B372" s="1">
        <v>45477</v>
      </c>
      <c r="D372" t="s">
        <v>79</v>
      </c>
      <c r="E372" t="s">
        <v>80</v>
      </c>
      <c r="F372" t="s">
        <v>31</v>
      </c>
      <c r="G372" t="s">
        <v>21</v>
      </c>
      <c r="H372" t="s">
        <v>126</v>
      </c>
      <c r="I372">
        <v>3</v>
      </c>
      <c r="J372">
        <v>12159.57</v>
      </c>
      <c r="K372">
        <v>0.15</v>
      </c>
      <c r="L372">
        <v>31006.9</v>
      </c>
      <c r="M372" t="s">
        <v>48</v>
      </c>
      <c r="N372" t="s">
        <v>24</v>
      </c>
      <c r="O372" t="s">
        <v>35</v>
      </c>
      <c r="P372" t="s">
        <v>102</v>
      </c>
    </row>
    <row r="373" spans="1:16" x14ac:dyDescent="0.3">
      <c r="A373" t="s">
        <v>668</v>
      </c>
      <c r="B373" s="1">
        <v>46180</v>
      </c>
      <c r="C373" t="s">
        <v>313</v>
      </c>
      <c r="D373" t="s">
        <v>53</v>
      </c>
      <c r="E373" t="s">
        <v>54</v>
      </c>
      <c r="F373" t="s">
        <v>55</v>
      </c>
      <c r="G373" t="s">
        <v>56</v>
      </c>
      <c r="H373" t="s">
        <v>64</v>
      </c>
      <c r="I373">
        <v>1</v>
      </c>
      <c r="J373">
        <v>219.55</v>
      </c>
      <c r="K373">
        <v>0.08</v>
      </c>
      <c r="L373">
        <v>201.99</v>
      </c>
      <c r="M373" t="s">
        <v>76</v>
      </c>
      <c r="N373" t="s">
        <v>58</v>
      </c>
      <c r="O373" t="s">
        <v>25</v>
      </c>
      <c r="P373" t="s">
        <v>116</v>
      </c>
    </row>
    <row r="374" spans="1:16" x14ac:dyDescent="0.3">
      <c r="A374" t="s">
        <v>669</v>
      </c>
      <c r="B374" s="1">
        <v>45416</v>
      </c>
      <c r="C374" t="s">
        <v>587</v>
      </c>
      <c r="D374" t="s">
        <v>96</v>
      </c>
      <c r="E374" t="s">
        <v>97</v>
      </c>
      <c r="F374" t="s">
        <v>31</v>
      </c>
      <c r="G374" t="s">
        <v>32</v>
      </c>
      <c r="H374" t="s">
        <v>47</v>
      </c>
      <c r="I374">
        <v>5</v>
      </c>
      <c r="J374">
        <v>1142.01</v>
      </c>
      <c r="K374">
        <v>0.15</v>
      </c>
      <c r="L374">
        <v>4853.54</v>
      </c>
      <c r="M374" t="s">
        <v>48</v>
      </c>
      <c r="N374" t="s">
        <v>34</v>
      </c>
      <c r="O374" t="s">
        <v>65</v>
      </c>
      <c r="P374" t="s">
        <v>50</v>
      </c>
    </row>
    <row r="375" spans="1:16" x14ac:dyDescent="0.3">
      <c r="A375" t="s">
        <v>670</v>
      </c>
      <c r="B375" s="1">
        <v>46113</v>
      </c>
      <c r="C375" t="s">
        <v>194</v>
      </c>
      <c r="D375" t="s">
        <v>62</v>
      </c>
      <c r="E375" t="s">
        <v>63</v>
      </c>
      <c r="F375" t="s">
        <v>31</v>
      </c>
      <c r="G375" t="s">
        <v>21</v>
      </c>
      <c r="H375" t="s">
        <v>126</v>
      </c>
      <c r="I375">
        <v>1</v>
      </c>
      <c r="J375">
        <v>2885.95</v>
      </c>
      <c r="K375">
        <v>0</v>
      </c>
      <c r="L375">
        <v>2885.95</v>
      </c>
      <c r="M375" t="s">
        <v>23</v>
      </c>
      <c r="N375" t="s">
        <v>49</v>
      </c>
      <c r="O375" t="s">
        <v>65</v>
      </c>
      <c r="P375" t="s">
        <v>111</v>
      </c>
    </row>
    <row r="376" spans="1:16" x14ac:dyDescent="0.3">
      <c r="A376" t="s">
        <v>671</v>
      </c>
      <c r="B376" s="1">
        <v>46105</v>
      </c>
      <c r="C376" t="s">
        <v>672</v>
      </c>
      <c r="D376" t="s">
        <v>29</v>
      </c>
      <c r="E376" t="s">
        <v>30</v>
      </c>
      <c r="F376" t="s">
        <v>31</v>
      </c>
      <c r="G376" t="s">
        <v>32</v>
      </c>
      <c r="H376" t="s">
        <v>68</v>
      </c>
      <c r="I376">
        <v>3</v>
      </c>
      <c r="J376">
        <v>3301</v>
      </c>
      <c r="K376">
        <v>0.08</v>
      </c>
      <c r="L376">
        <v>9110.76</v>
      </c>
      <c r="M376" t="s">
        <v>48</v>
      </c>
      <c r="N376" t="s">
        <v>71</v>
      </c>
      <c r="O376" t="s">
        <v>65</v>
      </c>
      <c r="P376" t="s">
        <v>50</v>
      </c>
    </row>
    <row r="377" spans="1:16" x14ac:dyDescent="0.3">
      <c r="A377" t="s">
        <v>673</v>
      </c>
      <c r="B377" s="1">
        <v>45897</v>
      </c>
      <c r="C377" t="s">
        <v>623</v>
      </c>
      <c r="D377" t="s">
        <v>121</v>
      </c>
      <c r="E377" t="s">
        <v>122</v>
      </c>
      <c r="F377" t="s">
        <v>55</v>
      </c>
      <c r="G377" t="s">
        <v>56</v>
      </c>
      <c r="H377" t="s">
        <v>64</v>
      </c>
      <c r="I377">
        <v>4</v>
      </c>
      <c r="J377">
        <v>485.83</v>
      </c>
      <c r="K377">
        <v>0.15</v>
      </c>
      <c r="L377">
        <v>1651.82</v>
      </c>
      <c r="M377" t="s">
        <v>23</v>
      </c>
      <c r="N377" t="s">
        <v>58</v>
      </c>
      <c r="O377" t="s">
        <v>35</v>
      </c>
      <c r="P377" t="s">
        <v>116</v>
      </c>
    </row>
    <row r="378" spans="1:16" x14ac:dyDescent="0.3">
      <c r="A378" t="s">
        <v>674</v>
      </c>
      <c r="B378" s="1">
        <v>45600</v>
      </c>
      <c r="C378" t="s">
        <v>675</v>
      </c>
      <c r="D378" t="s">
        <v>53</v>
      </c>
      <c r="E378" t="s">
        <v>54</v>
      </c>
      <c r="F378" t="s">
        <v>55</v>
      </c>
      <c r="G378" t="s">
        <v>32</v>
      </c>
      <c r="H378" t="s">
        <v>47</v>
      </c>
      <c r="I378">
        <v>3</v>
      </c>
      <c r="J378">
        <v>216.63</v>
      </c>
      <c r="K378">
        <v>0</v>
      </c>
      <c r="L378">
        <v>649.89</v>
      </c>
      <c r="M378" t="s">
        <v>76</v>
      </c>
      <c r="N378" t="s">
        <v>49</v>
      </c>
      <c r="O378" t="s">
        <v>65</v>
      </c>
      <c r="P378" t="s">
        <v>42</v>
      </c>
    </row>
    <row r="379" spans="1:16" x14ac:dyDescent="0.3">
      <c r="A379" t="s">
        <v>676</v>
      </c>
      <c r="B379" s="1">
        <v>45891</v>
      </c>
      <c r="C379" t="s">
        <v>394</v>
      </c>
      <c r="D379" t="s">
        <v>176</v>
      </c>
      <c r="E379" t="s">
        <v>177</v>
      </c>
      <c r="F379" t="s">
        <v>31</v>
      </c>
      <c r="G379" t="s">
        <v>21</v>
      </c>
      <c r="H379" t="s">
        <v>126</v>
      </c>
      <c r="I379">
        <v>1</v>
      </c>
      <c r="J379">
        <v>2302.17</v>
      </c>
      <c r="K379">
        <v>0.1</v>
      </c>
      <c r="L379">
        <v>2071.9499999999998</v>
      </c>
      <c r="M379" t="s">
        <v>48</v>
      </c>
      <c r="N379" t="s">
        <v>24</v>
      </c>
      <c r="O379" t="s">
        <v>65</v>
      </c>
      <c r="P379" t="s">
        <v>116</v>
      </c>
    </row>
    <row r="380" spans="1:16" x14ac:dyDescent="0.3">
      <c r="A380" t="s">
        <v>677</v>
      </c>
      <c r="B380" s="1">
        <v>46001</v>
      </c>
      <c r="C380" t="s">
        <v>516</v>
      </c>
      <c r="D380" t="s">
        <v>96</v>
      </c>
      <c r="E380" t="s">
        <v>97</v>
      </c>
      <c r="F380" t="s">
        <v>31</v>
      </c>
      <c r="G380" t="s">
        <v>81</v>
      </c>
      <c r="H380" t="s">
        <v>82</v>
      </c>
      <c r="I380">
        <v>2</v>
      </c>
      <c r="J380">
        <v>1271.6099999999999</v>
      </c>
      <c r="K380">
        <v>0.15</v>
      </c>
      <c r="L380">
        <v>2161.7399999999998</v>
      </c>
      <c r="M380" t="s">
        <v>48</v>
      </c>
      <c r="N380" t="s">
        <v>58</v>
      </c>
      <c r="O380" t="s">
        <v>65</v>
      </c>
      <c r="P380" t="s">
        <v>59</v>
      </c>
    </row>
    <row r="381" spans="1:16" x14ac:dyDescent="0.3">
      <c r="A381" t="s">
        <v>678</v>
      </c>
      <c r="B381" s="1">
        <v>45832</v>
      </c>
      <c r="C381" t="s">
        <v>334</v>
      </c>
      <c r="D381" t="s">
        <v>45</v>
      </c>
      <c r="E381" t="s">
        <v>46</v>
      </c>
      <c r="F381" t="s">
        <v>31</v>
      </c>
      <c r="G381" t="s">
        <v>81</v>
      </c>
      <c r="H381" t="s">
        <v>82</v>
      </c>
      <c r="I381">
        <v>1</v>
      </c>
      <c r="J381">
        <v>1894.3</v>
      </c>
      <c r="K381">
        <v>0.15</v>
      </c>
      <c r="L381">
        <v>1610.15</v>
      </c>
      <c r="M381" t="s">
        <v>48</v>
      </c>
      <c r="N381" t="s">
        <v>24</v>
      </c>
      <c r="O381" t="s">
        <v>65</v>
      </c>
      <c r="P381" t="s">
        <v>42</v>
      </c>
    </row>
    <row r="382" spans="1:16" x14ac:dyDescent="0.3">
      <c r="A382" t="s">
        <v>679</v>
      </c>
      <c r="B382" s="1">
        <v>45955</v>
      </c>
      <c r="C382" t="s">
        <v>323</v>
      </c>
      <c r="D382" t="s">
        <v>121</v>
      </c>
      <c r="E382" t="s">
        <v>122</v>
      </c>
      <c r="F382" t="s">
        <v>55</v>
      </c>
      <c r="G382" t="s">
        <v>32</v>
      </c>
      <c r="H382" t="s">
        <v>33</v>
      </c>
      <c r="I382">
        <v>5</v>
      </c>
      <c r="J382">
        <v>451.42</v>
      </c>
      <c r="K382">
        <v>0</v>
      </c>
      <c r="L382">
        <v>2257.1</v>
      </c>
      <c r="M382" t="s">
        <v>76</v>
      </c>
      <c r="N382" t="s">
        <v>58</v>
      </c>
      <c r="O382" t="s">
        <v>65</v>
      </c>
      <c r="P382" t="s">
        <v>111</v>
      </c>
    </row>
    <row r="383" spans="1:16" x14ac:dyDescent="0.3">
      <c r="A383" t="s">
        <v>680</v>
      </c>
      <c r="B383" s="1">
        <v>45422</v>
      </c>
      <c r="D383" t="s">
        <v>105</v>
      </c>
      <c r="E383" t="s">
        <v>106</v>
      </c>
      <c r="F383" t="s">
        <v>40</v>
      </c>
      <c r="G383" t="s">
        <v>81</v>
      </c>
      <c r="H383" t="s">
        <v>82</v>
      </c>
      <c r="I383">
        <v>1</v>
      </c>
      <c r="J383">
        <v>7711.65</v>
      </c>
      <c r="K383">
        <v>0.05</v>
      </c>
      <c r="L383">
        <v>7326.07</v>
      </c>
      <c r="M383" t="s">
        <v>48</v>
      </c>
      <c r="N383" t="s">
        <v>58</v>
      </c>
      <c r="O383" t="s">
        <v>25</v>
      </c>
      <c r="P383" t="s">
        <v>72</v>
      </c>
    </row>
    <row r="384" spans="1:16" x14ac:dyDescent="0.3">
      <c r="A384" t="s">
        <v>681</v>
      </c>
      <c r="B384" s="1">
        <v>45497</v>
      </c>
      <c r="C384" t="s">
        <v>100</v>
      </c>
      <c r="D384" t="s">
        <v>105</v>
      </c>
      <c r="E384" t="s">
        <v>106</v>
      </c>
      <c r="F384" t="s">
        <v>40</v>
      </c>
      <c r="G384" t="s">
        <v>81</v>
      </c>
      <c r="H384" t="s">
        <v>135</v>
      </c>
      <c r="I384">
        <v>5</v>
      </c>
      <c r="J384">
        <v>7513.93</v>
      </c>
      <c r="K384">
        <v>0.15</v>
      </c>
      <c r="L384">
        <v>31934.2</v>
      </c>
      <c r="M384" t="s">
        <v>48</v>
      </c>
      <c r="N384" t="s">
        <v>24</v>
      </c>
      <c r="O384" t="s">
        <v>65</v>
      </c>
      <c r="P384" t="s">
        <v>102</v>
      </c>
    </row>
    <row r="385" spans="1:16" x14ac:dyDescent="0.3">
      <c r="A385" t="s">
        <v>682</v>
      </c>
      <c r="B385" s="1">
        <v>45847</v>
      </c>
      <c r="C385" t="s">
        <v>683</v>
      </c>
      <c r="D385" t="s">
        <v>62</v>
      </c>
      <c r="E385" t="s">
        <v>63</v>
      </c>
      <c r="F385" t="s">
        <v>31</v>
      </c>
      <c r="G385" t="s">
        <v>32</v>
      </c>
      <c r="H385" t="s">
        <v>47</v>
      </c>
      <c r="I385">
        <v>1</v>
      </c>
      <c r="J385">
        <v>2598.8200000000002</v>
      </c>
      <c r="K385">
        <v>0.05</v>
      </c>
      <c r="L385">
        <v>2468.88</v>
      </c>
      <c r="M385" t="s">
        <v>48</v>
      </c>
      <c r="N385" t="s">
        <v>34</v>
      </c>
      <c r="O385" t="s">
        <v>65</v>
      </c>
      <c r="P385" t="s">
        <v>116</v>
      </c>
    </row>
    <row r="386" spans="1:16" x14ac:dyDescent="0.3">
      <c r="A386" t="s">
        <v>684</v>
      </c>
      <c r="B386" s="1">
        <v>46196</v>
      </c>
      <c r="C386" t="s">
        <v>685</v>
      </c>
      <c r="D386" t="s">
        <v>85</v>
      </c>
      <c r="E386" t="s">
        <v>86</v>
      </c>
      <c r="F386" t="s">
        <v>20</v>
      </c>
      <c r="G386" t="s">
        <v>21</v>
      </c>
      <c r="H386" t="s">
        <v>22</v>
      </c>
      <c r="I386">
        <v>2</v>
      </c>
      <c r="J386">
        <v>1799.6</v>
      </c>
      <c r="K386">
        <v>0.15</v>
      </c>
      <c r="L386">
        <v>3059.32</v>
      </c>
      <c r="M386" t="s">
        <v>23</v>
      </c>
      <c r="N386" t="s">
        <v>49</v>
      </c>
      <c r="O386" t="s">
        <v>35</v>
      </c>
      <c r="P386" t="s">
        <v>111</v>
      </c>
    </row>
    <row r="387" spans="1:16" x14ac:dyDescent="0.3">
      <c r="A387" t="s">
        <v>686</v>
      </c>
      <c r="B387" s="1">
        <v>46158</v>
      </c>
      <c r="C387" t="s">
        <v>687</v>
      </c>
      <c r="D387" t="s">
        <v>53</v>
      </c>
      <c r="E387" t="s">
        <v>54</v>
      </c>
      <c r="F387" t="s">
        <v>55</v>
      </c>
      <c r="G387" t="s">
        <v>32</v>
      </c>
      <c r="H387" t="s">
        <v>47</v>
      </c>
      <c r="I387">
        <v>4</v>
      </c>
      <c r="J387">
        <v>204.28</v>
      </c>
      <c r="K387">
        <v>0.03</v>
      </c>
      <c r="L387">
        <v>792.61</v>
      </c>
      <c r="M387" t="s">
        <v>76</v>
      </c>
      <c r="N387" t="s">
        <v>34</v>
      </c>
      <c r="O387" t="s">
        <v>65</v>
      </c>
      <c r="P387" t="s">
        <v>116</v>
      </c>
    </row>
    <row r="388" spans="1:16" x14ac:dyDescent="0.3">
      <c r="A388" t="s">
        <v>688</v>
      </c>
      <c r="B388" s="1">
        <v>46003</v>
      </c>
      <c r="C388" t="s">
        <v>419</v>
      </c>
      <c r="D388" t="s">
        <v>176</v>
      </c>
      <c r="E388" t="s">
        <v>177</v>
      </c>
      <c r="F388" t="s">
        <v>31</v>
      </c>
      <c r="G388" t="s">
        <v>32</v>
      </c>
      <c r="H388" t="s">
        <v>33</v>
      </c>
      <c r="I388">
        <v>3</v>
      </c>
      <c r="J388">
        <v>2066.0500000000002</v>
      </c>
      <c r="L388">
        <v>5578.34</v>
      </c>
      <c r="M388" t="s">
        <v>23</v>
      </c>
      <c r="N388" t="s">
        <v>49</v>
      </c>
      <c r="O388" t="s">
        <v>65</v>
      </c>
      <c r="P388" t="s">
        <v>42</v>
      </c>
    </row>
    <row r="389" spans="1:16" x14ac:dyDescent="0.3">
      <c r="A389" t="s">
        <v>689</v>
      </c>
      <c r="B389" s="1">
        <v>46055</v>
      </c>
      <c r="C389" t="s">
        <v>558</v>
      </c>
      <c r="D389" t="s">
        <v>105</v>
      </c>
      <c r="E389" t="s">
        <v>106</v>
      </c>
      <c r="F389" t="s">
        <v>40</v>
      </c>
      <c r="G389" t="s">
        <v>81</v>
      </c>
      <c r="H389" t="s">
        <v>98</v>
      </c>
      <c r="I389">
        <v>1</v>
      </c>
      <c r="J389">
        <v>7256</v>
      </c>
      <c r="K389">
        <v>0.03</v>
      </c>
      <c r="L389">
        <v>7038.32</v>
      </c>
      <c r="M389" t="s">
        <v>76</v>
      </c>
      <c r="N389" t="s">
        <v>71</v>
      </c>
      <c r="O389" t="s">
        <v>65</v>
      </c>
      <c r="P389" t="s">
        <v>116</v>
      </c>
    </row>
    <row r="390" spans="1:16" x14ac:dyDescent="0.3">
      <c r="A390" t="s">
        <v>690</v>
      </c>
      <c r="B390" s="1">
        <v>46029</v>
      </c>
      <c r="C390" t="s">
        <v>377</v>
      </c>
      <c r="D390" t="s">
        <v>105</v>
      </c>
      <c r="E390" t="s">
        <v>106</v>
      </c>
      <c r="F390" t="s">
        <v>40</v>
      </c>
      <c r="G390" t="s">
        <v>32</v>
      </c>
      <c r="H390" t="s">
        <v>47</v>
      </c>
      <c r="I390">
        <v>4</v>
      </c>
      <c r="J390">
        <v>6797.94</v>
      </c>
      <c r="K390">
        <v>0.05</v>
      </c>
      <c r="L390">
        <v>25832.17</v>
      </c>
      <c r="M390" t="s">
        <v>48</v>
      </c>
      <c r="N390" t="s">
        <v>71</v>
      </c>
      <c r="O390" t="s">
        <v>25</v>
      </c>
      <c r="P390" t="s">
        <v>102</v>
      </c>
    </row>
    <row r="391" spans="1:16" x14ac:dyDescent="0.3">
      <c r="A391" t="s">
        <v>691</v>
      </c>
      <c r="B391" s="1">
        <v>46048</v>
      </c>
      <c r="C391" t="s">
        <v>137</v>
      </c>
      <c r="D391" t="s">
        <v>79</v>
      </c>
      <c r="E391" t="s">
        <v>80</v>
      </c>
      <c r="F391" t="s">
        <v>31</v>
      </c>
      <c r="G391" t="s">
        <v>21</v>
      </c>
      <c r="H391" t="s">
        <v>126</v>
      </c>
      <c r="I391">
        <v>3</v>
      </c>
      <c r="J391">
        <v>12778.43</v>
      </c>
      <c r="K391">
        <v>0.1</v>
      </c>
      <c r="L391">
        <v>34501.760000000002</v>
      </c>
      <c r="M391" t="s">
        <v>76</v>
      </c>
      <c r="N391" t="s">
        <v>71</v>
      </c>
      <c r="O391" t="s">
        <v>65</v>
      </c>
      <c r="P391" t="s">
        <v>102</v>
      </c>
    </row>
    <row r="392" spans="1:16" x14ac:dyDescent="0.3">
      <c r="A392" t="s">
        <v>692</v>
      </c>
      <c r="B392" s="1">
        <v>46121</v>
      </c>
      <c r="C392" t="s">
        <v>334</v>
      </c>
      <c r="D392" t="s">
        <v>85</v>
      </c>
      <c r="E392" t="s">
        <v>86</v>
      </c>
      <c r="F392" t="s">
        <v>20</v>
      </c>
      <c r="G392" t="s">
        <v>81</v>
      </c>
      <c r="H392" t="s">
        <v>135</v>
      </c>
      <c r="I392">
        <v>4</v>
      </c>
      <c r="J392">
        <v>1659.57</v>
      </c>
      <c r="K392">
        <v>0.03</v>
      </c>
      <c r="L392">
        <v>6439.13</v>
      </c>
      <c r="M392" t="s">
        <v>76</v>
      </c>
      <c r="N392" t="s">
        <v>58</v>
      </c>
      <c r="O392" t="s">
        <v>65</v>
      </c>
      <c r="P392" t="s">
        <v>72</v>
      </c>
    </row>
    <row r="393" spans="1:16" x14ac:dyDescent="0.3">
      <c r="A393" t="s">
        <v>693</v>
      </c>
      <c r="B393" s="1">
        <v>45690</v>
      </c>
      <c r="C393" t="s">
        <v>657</v>
      </c>
      <c r="D393" t="s">
        <v>53</v>
      </c>
      <c r="E393" t="s">
        <v>54</v>
      </c>
      <c r="F393" t="s">
        <v>55</v>
      </c>
      <c r="G393" t="s">
        <v>56</v>
      </c>
      <c r="H393" t="s">
        <v>123</v>
      </c>
      <c r="I393">
        <v>5</v>
      </c>
      <c r="J393">
        <v>220.97</v>
      </c>
      <c r="K393">
        <v>0.03</v>
      </c>
      <c r="L393">
        <v>1071.7</v>
      </c>
      <c r="M393" t="s">
        <v>23</v>
      </c>
      <c r="N393" t="s">
        <v>34</v>
      </c>
      <c r="O393" t="s">
        <v>65</v>
      </c>
      <c r="P393" t="s">
        <v>50</v>
      </c>
    </row>
    <row r="394" spans="1:16" x14ac:dyDescent="0.3">
      <c r="A394" t="s">
        <v>694</v>
      </c>
      <c r="B394" s="1">
        <v>45853</v>
      </c>
      <c r="C394" t="s">
        <v>695</v>
      </c>
      <c r="D394" t="s">
        <v>131</v>
      </c>
      <c r="E394" t="s">
        <v>132</v>
      </c>
      <c r="F394" t="s">
        <v>40</v>
      </c>
      <c r="G394" t="s">
        <v>32</v>
      </c>
      <c r="H394" t="s">
        <v>68</v>
      </c>
      <c r="I394">
        <v>2</v>
      </c>
      <c r="J394">
        <v>9498.91</v>
      </c>
      <c r="K394">
        <v>0.08</v>
      </c>
      <c r="L394">
        <v>17477.990000000002</v>
      </c>
      <c r="M394" t="s">
        <v>76</v>
      </c>
      <c r="N394" t="s">
        <v>49</v>
      </c>
      <c r="O394" t="s">
        <v>25</v>
      </c>
      <c r="P394" t="s">
        <v>42</v>
      </c>
    </row>
    <row r="395" spans="1:16" x14ac:dyDescent="0.3">
      <c r="A395" t="s">
        <v>696</v>
      </c>
      <c r="B395" s="1">
        <v>45552</v>
      </c>
      <c r="C395" t="s">
        <v>289</v>
      </c>
      <c r="D395" t="s">
        <v>85</v>
      </c>
      <c r="E395" t="s">
        <v>86</v>
      </c>
      <c r="F395" t="s">
        <v>20</v>
      </c>
      <c r="G395" t="s">
        <v>21</v>
      </c>
      <c r="H395" t="s">
        <v>93</v>
      </c>
      <c r="I395">
        <v>5</v>
      </c>
      <c r="J395">
        <v>1731.57</v>
      </c>
      <c r="K395">
        <v>0</v>
      </c>
      <c r="L395">
        <v>8657.85</v>
      </c>
      <c r="M395" t="s">
        <v>48</v>
      </c>
      <c r="N395" t="s">
        <v>71</v>
      </c>
      <c r="O395" t="s">
        <v>35</v>
      </c>
      <c r="P395" t="s">
        <v>116</v>
      </c>
    </row>
    <row r="396" spans="1:16" x14ac:dyDescent="0.3">
      <c r="A396" t="s">
        <v>697</v>
      </c>
      <c r="B396" s="1">
        <v>45853</v>
      </c>
      <c r="C396" t="s">
        <v>698</v>
      </c>
      <c r="D396" t="s">
        <v>29</v>
      </c>
      <c r="E396" t="s">
        <v>30</v>
      </c>
      <c r="F396" t="s">
        <v>31</v>
      </c>
      <c r="G396" t="s">
        <v>81</v>
      </c>
      <c r="H396" t="s">
        <v>87</v>
      </c>
      <c r="I396">
        <v>4</v>
      </c>
      <c r="J396">
        <v>3253.22</v>
      </c>
      <c r="K396">
        <v>0.03</v>
      </c>
      <c r="L396">
        <v>12622.49</v>
      </c>
      <c r="M396" t="s">
        <v>76</v>
      </c>
      <c r="N396" t="s">
        <v>24</v>
      </c>
      <c r="O396" t="s">
        <v>65</v>
      </c>
      <c r="P396" t="s">
        <v>26</v>
      </c>
    </row>
    <row r="397" spans="1:16" x14ac:dyDescent="0.3">
      <c r="A397" t="s">
        <v>699</v>
      </c>
      <c r="B397" s="1">
        <v>45383</v>
      </c>
      <c r="C397" t="s">
        <v>115</v>
      </c>
      <c r="D397" t="s">
        <v>121</v>
      </c>
      <c r="E397" t="s">
        <v>122</v>
      </c>
      <c r="F397" t="s">
        <v>55</v>
      </c>
      <c r="G397" t="s">
        <v>21</v>
      </c>
      <c r="H397" t="s">
        <v>126</v>
      </c>
      <c r="I397">
        <v>1</v>
      </c>
      <c r="J397">
        <v>415.14</v>
      </c>
      <c r="K397">
        <v>0.2</v>
      </c>
      <c r="L397">
        <v>332.11</v>
      </c>
      <c r="M397" t="s">
        <v>76</v>
      </c>
      <c r="N397" t="s">
        <v>49</v>
      </c>
      <c r="O397" t="s">
        <v>65</v>
      </c>
      <c r="P397" t="s">
        <v>111</v>
      </c>
    </row>
    <row r="398" spans="1:16" x14ac:dyDescent="0.3">
      <c r="A398" t="s">
        <v>700</v>
      </c>
      <c r="B398" s="1">
        <v>45629</v>
      </c>
      <c r="C398" t="s">
        <v>373</v>
      </c>
      <c r="D398" t="s">
        <v>85</v>
      </c>
      <c r="E398" t="s">
        <v>86</v>
      </c>
      <c r="F398" t="s">
        <v>20</v>
      </c>
      <c r="G398" t="s">
        <v>81</v>
      </c>
      <c r="H398" t="s">
        <v>135</v>
      </c>
      <c r="I398">
        <v>4</v>
      </c>
      <c r="J398">
        <v>1903.38</v>
      </c>
      <c r="K398">
        <v>0.03</v>
      </c>
      <c r="L398">
        <v>7385.11</v>
      </c>
      <c r="M398" t="s">
        <v>23</v>
      </c>
      <c r="N398" t="s">
        <v>71</v>
      </c>
      <c r="O398" t="s">
        <v>25</v>
      </c>
      <c r="P398" t="s">
        <v>59</v>
      </c>
    </row>
    <row r="399" spans="1:16" x14ac:dyDescent="0.3">
      <c r="A399" t="s">
        <v>701</v>
      </c>
      <c r="B399" s="1">
        <v>45315</v>
      </c>
      <c r="C399" t="s">
        <v>572</v>
      </c>
      <c r="D399" t="s">
        <v>131</v>
      </c>
      <c r="E399" t="s">
        <v>132</v>
      </c>
      <c r="F399" t="s">
        <v>40</v>
      </c>
      <c r="G399" t="s">
        <v>32</v>
      </c>
      <c r="H399" t="s">
        <v>68</v>
      </c>
      <c r="I399">
        <v>2</v>
      </c>
      <c r="J399">
        <v>9035.83</v>
      </c>
      <c r="K399">
        <v>0</v>
      </c>
      <c r="L399">
        <v>18071.66</v>
      </c>
      <c r="M399" t="s">
        <v>76</v>
      </c>
      <c r="N399" t="s">
        <v>24</v>
      </c>
      <c r="O399" t="s">
        <v>25</v>
      </c>
      <c r="P399" t="s">
        <v>42</v>
      </c>
    </row>
    <row r="400" spans="1:16" x14ac:dyDescent="0.3">
      <c r="A400" t="s">
        <v>702</v>
      </c>
      <c r="B400" s="1">
        <v>45478</v>
      </c>
      <c r="C400" t="s">
        <v>225</v>
      </c>
      <c r="D400" t="s">
        <v>45</v>
      </c>
      <c r="E400" t="s">
        <v>46</v>
      </c>
      <c r="F400" t="s">
        <v>31</v>
      </c>
      <c r="G400" t="s">
        <v>81</v>
      </c>
      <c r="H400" t="s">
        <v>82</v>
      </c>
      <c r="I400">
        <v>3</v>
      </c>
      <c r="J400">
        <v>1877.09</v>
      </c>
      <c r="K400">
        <v>0</v>
      </c>
      <c r="L400">
        <v>5631.27</v>
      </c>
      <c r="M400" t="s">
        <v>48</v>
      </c>
      <c r="N400" t="s">
        <v>49</v>
      </c>
      <c r="O400" t="s">
        <v>65</v>
      </c>
      <c r="P400" t="s">
        <v>111</v>
      </c>
    </row>
    <row r="401" spans="1:16" x14ac:dyDescent="0.3">
      <c r="A401" t="s">
        <v>703</v>
      </c>
      <c r="B401" s="1">
        <v>45405</v>
      </c>
      <c r="C401" t="s">
        <v>476</v>
      </c>
      <c r="D401" t="s">
        <v>38</v>
      </c>
      <c r="E401" t="s">
        <v>39</v>
      </c>
      <c r="F401" t="s">
        <v>40</v>
      </c>
      <c r="G401" t="s">
        <v>56</v>
      </c>
      <c r="H401" t="s">
        <v>123</v>
      </c>
      <c r="I401">
        <v>4</v>
      </c>
      <c r="J401">
        <v>1494.72</v>
      </c>
      <c r="K401">
        <v>0.2</v>
      </c>
      <c r="L401">
        <v>4783.1000000000004</v>
      </c>
      <c r="M401" t="s">
        <v>48</v>
      </c>
      <c r="N401" t="s">
        <v>34</v>
      </c>
      <c r="O401" t="s">
        <v>65</v>
      </c>
      <c r="P401" t="s">
        <v>102</v>
      </c>
    </row>
    <row r="402" spans="1:16" x14ac:dyDescent="0.3">
      <c r="A402" t="s">
        <v>704</v>
      </c>
      <c r="B402" s="1">
        <v>45689</v>
      </c>
      <c r="C402" t="s">
        <v>309</v>
      </c>
      <c r="D402" t="s">
        <v>121</v>
      </c>
      <c r="E402" t="s">
        <v>122</v>
      </c>
      <c r="F402" t="s">
        <v>55</v>
      </c>
      <c r="G402" t="s">
        <v>32</v>
      </c>
      <c r="H402" t="s">
        <v>33</v>
      </c>
      <c r="I402">
        <v>4</v>
      </c>
      <c r="J402">
        <v>468.25</v>
      </c>
      <c r="K402">
        <v>0.08</v>
      </c>
      <c r="L402">
        <v>1723.16</v>
      </c>
      <c r="M402" t="s">
        <v>23</v>
      </c>
      <c r="N402" t="s">
        <v>71</v>
      </c>
      <c r="O402" t="s">
        <v>65</v>
      </c>
      <c r="P402" t="s">
        <v>59</v>
      </c>
    </row>
    <row r="403" spans="1:16" x14ac:dyDescent="0.3">
      <c r="A403" t="s">
        <v>705</v>
      </c>
      <c r="B403" s="1">
        <v>45852</v>
      </c>
      <c r="C403" t="s">
        <v>128</v>
      </c>
      <c r="D403" t="s">
        <v>38</v>
      </c>
      <c r="E403" t="s">
        <v>39</v>
      </c>
      <c r="F403" t="s">
        <v>40</v>
      </c>
      <c r="G403" t="s">
        <v>81</v>
      </c>
      <c r="H403" t="s">
        <v>135</v>
      </c>
      <c r="I403">
        <v>4</v>
      </c>
      <c r="J403">
        <v>1561.91</v>
      </c>
      <c r="K403">
        <v>0.1</v>
      </c>
      <c r="L403">
        <v>5622.88</v>
      </c>
      <c r="M403" t="s">
        <v>48</v>
      </c>
      <c r="N403" t="s">
        <v>34</v>
      </c>
      <c r="O403" t="s">
        <v>65</v>
      </c>
      <c r="P403" t="s">
        <v>59</v>
      </c>
    </row>
    <row r="404" spans="1:16" x14ac:dyDescent="0.3">
      <c r="A404" t="s">
        <v>706</v>
      </c>
      <c r="B404" s="1">
        <v>45576</v>
      </c>
      <c r="C404" t="s">
        <v>104</v>
      </c>
      <c r="D404" t="s">
        <v>18</v>
      </c>
      <c r="E404" t="s">
        <v>19</v>
      </c>
      <c r="F404" t="s">
        <v>20</v>
      </c>
      <c r="G404" t="s">
        <v>81</v>
      </c>
      <c r="H404" t="s">
        <v>87</v>
      </c>
      <c r="I404">
        <v>2</v>
      </c>
      <c r="J404">
        <v>808.86</v>
      </c>
      <c r="K404">
        <v>0</v>
      </c>
      <c r="L404">
        <v>1617.72</v>
      </c>
      <c r="M404" t="s">
        <v>48</v>
      </c>
      <c r="N404" t="s">
        <v>24</v>
      </c>
      <c r="O404" t="s">
        <v>35</v>
      </c>
      <c r="P404" t="s">
        <v>102</v>
      </c>
    </row>
    <row r="405" spans="1:16" x14ac:dyDescent="0.3">
      <c r="A405" t="s">
        <v>707</v>
      </c>
      <c r="B405" s="1">
        <v>46114</v>
      </c>
      <c r="C405" t="s">
        <v>118</v>
      </c>
      <c r="D405" t="s">
        <v>105</v>
      </c>
      <c r="E405" t="s">
        <v>106</v>
      </c>
      <c r="F405" t="s">
        <v>40</v>
      </c>
      <c r="G405" t="s">
        <v>32</v>
      </c>
      <c r="H405" t="s">
        <v>47</v>
      </c>
      <c r="I405">
        <v>5</v>
      </c>
      <c r="J405">
        <v>6887.04</v>
      </c>
      <c r="K405">
        <v>0.2</v>
      </c>
      <c r="L405">
        <v>27548.16</v>
      </c>
      <c r="M405" t="s">
        <v>48</v>
      </c>
      <c r="N405" t="s">
        <v>24</v>
      </c>
      <c r="O405" t="s">
        <v>65</v>
      </c>
      <c r="P405" t="s">
        <v>59</v>
      </c>
    </row>
    <row r="406" spans="1:16" x14ac:dyDescent="0.3">
      <c r="A406" t="s">
        <v>708</v>
      </c>
      <c r="B406" s="1">
        <v>45943</v>
      </c>
      <c r="C406" t="s">
        <v>409</v>
      </c>
      <c r="D406" t="s">
        <v>85</v>
      </c>
      <c r="E406" t="s">
        <v>86</v>
      </c>
      <c r="F406" t="s">
        <v>20</v>
      </c>
      <c r="G406" t="s">
        <v>56</v>
      </c>
      <c r="H406" t="s">
        <v>57</v>
      </c>
      <c r="I406">
        <v>2</v>
      </c>
      <c r="J406">
        <v>1725.5</v>
      </c>
      <c r="K406">
        <v>0</v>
      </c>
      <c r="L406">
        <v>3451</v>
      </c>
      <c r="M406" t="s">
        <v>23</v>
      </c>
      <c r="N406" t="s">
        <v>24</v>
      </c>
      <c r="O406" t="s">
        <v>65</v>
      </c>
      <c r="P406" t="s">
        <v>111</v>
      </c>
    </row>
    <row r="407" spans="1:16" x14ac:dyDescent="0.3">
      <c r="A407" t="s">
        <v>709</v>
      </c>
      <c r="B407" s="1">
        <v>46101</v>
      </c>
      <c r="C407" t="s">
        <v>173</v>
      </c>
      <c r="D407" t="s">
        <v>85</v>
      </c>
      <c r="E407" t="s">
        <v>86</v>
      </c>
      <c r="F407" t="s">
        <v>20</v>
      </c>
      <c r="G407" t="s">
        <v>21</v>
      </c>
      <c r="H407" t="s">
        <v>93</v>
      </c>
      <c r="I407">
        <v>4</v>
      </c>
      <c r="J407">
        <v>1779.43</v>
      </c>
      <c r="K407">
        <v>0.08</v>
      </c>
      <c r="L407">
        <v>6548.3</v>
      </c>
      <c r="M407" t="s">
        <v>76</v>
      </c>
      <c r="N407" t="s">
        <v>58</v>
      </c>
      <c r="O407" t="s">
        <v>65</v>
      </c>
      <c r="P407" t="s">
        <v>111</v>
      </c>
    </row>
    <row r="408" spans="1:16" x14ac:dyDescent="0.3">
      <c r="A408" t="s">
        <v>710</v>
      </c>
      <c r="B408" s="1">
        <v>45636</v>
      </c>
      <c r="C408" t="s">
        <v>480</v>
      </c>
      <c r="D408" t="s">
        <v>45</v>
      </c>
      <c r="E408" t="s">
        <v>46</v>
      </c>
      <c r="F408" t="s">
        <v>31</v>
      </c>
      <c r="G408" t="s">
        <v>21</v>
      </c>
      <c r="H408" t="s">
        <v>93</v>
      </c>
      <c r="I408">
        <v>4</v>
      </c>
      <c r="J408">
        <v>1821.56</v>
      </c>
      <c r="K408">
        <v>0.15</v>
      </c>
      <c r="L408">
        <v>6193.3</v>
      </c>
      <c r="M408" t="s">
        <v>48</v>
      </c>
      <c r="N408" t="s">
        <v>58</v>
      </c>
      <c r="O408" t="s">
        <v>65</v>
      </c>
      <c r="P408" t="s">
        <v>111</v>
      </c>
    </row>
    <row r="409" spans="1:16" x14ac:dyDescent="0.3">
      <c r="A409" t="s">
        <v>711</v>
      </c>
      <c r="B409" s="1">
        <v>46096</v>
      </c>
      <c r="C409" t="s">
        <v>416</v>
      </c>
      <c r="D409" t="s">
        <v>105</v>
      </c>
      <c r="E409" t="s">
        <v>106</v>
      </c>
      <c r="F409" t="s">
        <v>40</v>
      </c>
      <c r="G409" t="s">
        <v>21</v>
      </c>
      <c r="H409" t="s">
        <v>41</v>
      </c>
      <c r="I409">
        <v>5</v>
      </c>
      <c r="J409">
        <v>7389.6</v>
      </c>
      <c r="K409">
        <v>0.15</v>
      </c>
      <c r="L409">
        <v>31405.8</v>
      </c>
      <c r="M409" t="s">
        <v>23</v>
      </c>
      <c r="N409" t="s">
        <v>34</v>
      </c>
      <c r="O409" t="s">
        <v>65</v>
      </c>
      <c r="P409" t="s">
        <v>59</v>
      </c>
    </row>
    <row r="410" spans="1:16" x14ac:dyDescent="0.3">
      <c r="A410" t="s">
        <v>712</v>
      </c>
      <c r="B410" s="1">
        <v>45505</v>
      </c>
      <c r="C410" t="s">
        <v>357</v>
      </c>
      <c r="D410" t="s">
        <v>38</v>
      </c>
      <c r="E410" t="s">
        <v>39</v>
      </c>
      <c r="F410" t="s">
        <v>40</v>
      </c>
      <c r="G410" t="s">
        <v>56</v>
      </c>
      <c r="H410" t="s">
        <v>64</v>
      </c>
      <c r="I410">
        <v>4</v>
      </c>
      <c r="J410">
        <v>1709.3</v>
      </c>
      <c r="K410">
        <v>0</v>
      </c>
      <c r="L410">
        <v>6837.2</v>
      </c>
      <c r="M410" t="s">
        <v>76</v>
      </c>
      <c r="N410" t="s">
        <v>24</v>
      </c>
      <c r="O410" t="s">
        <v>65</v>
      </c>
      <c r="P410" t="s">
        <v>116</v>
      </c>
    </row>
    <row r="411" spans="1:16" x14ac:dyDescent="0.3">
      <c r="A411" t="s">
        <v>713</v>
      </c>
      <c r="B411" s="1">
        <v>45388</v>
      </c>
      <c r="C411" t="s">
        <v>377</v>
      </c>
      <c r="D411" t="s">
        <v>18</v>
      </c>
      <c r="E411" t="s">
        <v>19</v>
      </c>
      <c r="F411" t="s">
        <v>20</v>
      </c>
      <c r="G411" t="s">
        <v>81</v>
      </c>
      <c r="H411" t="s">
        <v>87</v>
      </c>
      <c r="I411">
        <v>2</v>
      </c>
      <c r="J411">
        <v>835.93</v>
      </c>
      <c r="K411">
        <v>0.15</v>
      </c>
      <c r="L411">
        <v>1421.08</v>
      </c>
      <c r="M411" t="s">
        <v>76</v>
      </c>
      <c r="N411" t="s">
        <v>58</v>
      </c>
      <c r="O411" t="s">
        <v>65</v>
      </c>
      <c r="P411" t="s">
        <v>59</v>
      </c>
    </row>
    <row r="412" spans="1:16" x14ac:dyDescent="0.3">
      <c r="A412" t="s">
        <v>714</v>
      </c>
      <c r="B412" s="1">
        <v>45805</v>
      </c>
      <c r="C412" t="s">
        <v>715</v>
      </c>
      <c r="D412" t="s">
        <v>38</v>
      </c>
      <c r="E412" t="s">
        <v>39</v>
      </c>
      <c r="F412" t="s">
        <v>40</v>
      </c>
      <c r="G412" t="s">
        <v>56</v>
      </c>
      <c r="H412" t="s">
        <v>123</v>
      </c>
      <c r="I412">
        <v>5</v>
      </c>
      <c r="J412">
        <v>1619.15</v>
      </c>
      <c r="K412">
        <v>0.1</v>
      </c>
      <c r="L412">
        <v>7286.18</v>
      </c>
      <c r="M412" t="s">
        <v>76</v>
      </c>
      <c r="N412" t="s">
        <v>58</v>
      </c>
      <c r="O412" t="s">
        <v>65</v>
      </c>
      <c r="P412" t="s">
        <v>116</v>
      </c>
    </row>
    <row r="413" spans="1:16" x14ac:dyDescent="0.3">
      <c r="A413" t="s">
        <v>716</v>
      </c>
      <c r="B413" s="1">
        <v>45699</v>
      </c>
      <c r="C413" t="s">
        <v>493</v>
      </c>
      <c r="D413" t="s">
        <v>131</v>
      </c>
      <c r="E413" t="s">
        <v>132</v>
      </c>
      <c r="F413" t="s">
        <v>40</v>
      </c>
      <c r="G413" t="s">
        <v>56</v>
      </c>
      <c r="H413" t="s">
        <v>101</v>
      </c>
      <c r="I413">
        <v>3</v>
      </c>
      <c r="J413">
        <v>9624.64</v>
      </c>
      <c r="K413">
        <v>0.08</v>
      </c>
      <c r="L413">
        <v>26564.01</v>
      </c>
      <c r="M413" t="s">
        <v>23</v>
      </c>
      <c r="N413" t="s">
        <v>24</v>
      </c>
      <c r="O413" t="s">
        <v>35</v>
      </c>
      <c r="P413" t="s">
        <v>111</v>
      </c>
    </row>
    <row r="414" spans="1:16" x14ac:dyDescent="0.3">
      <c r="A414" t="s">
        <v>717</v>
      </c>
      <c r="B414" s="1">
        <v>45925</v>
      </c>
      <c r="C414" t="s">
        <v>243</v>
      </c>
      <c r="D414" t="s">
        <v>18</v>
      </c>
      <c r="E414" t="s">
        <v>19</v>
      </c>
      <c r="F414" t="s">
        <v>20</v>
      </c>
      <c r="G414" t="s">
        <v>81</v>
      </c>
      <c r="H414" t="s">
        <v>87</v>
      </c>
      <c r="I414">
        <v>2</v>
      </c>
      <c r="J414">
        <v>898.1</v>
      </c>
      <c r="K414">
        <v>0.1</v>
      </c>
      <c r="L414">
        <v>1616.58</v>
      </c>
      <c r="M414" t="s">
        <v>23</v>
      </c>
      <c r="N414" t="s">
        <v>71</v>
      </c>
      <c r="O414" t="s">
        <v>65</v>
      </c>
      <c r="P414" t="s">
        <v>26</v>
      </c>
    </row>
    <row r="415" spans="1:16" x14ac:dyDescent="0.3">
      <c r="A415" t="s">
        <v>718</v>
      </c>
      <c r="B415" s="1">
        <v>45552</v>
      </c>
      <c r="C415" t="s">
        <v>416</v>
      </c>
      <c r="D415" t="s">
        <v>18</v>
      </c>
      <c r="E415" t="s">
        <v>19</v>
      </c>
      <c r="F415" t="s">
        <v>20</v>
      </c>
      <c r="G415" t="s">
        <v>21</v>
      </c>
      <c r="H415" t="s">
        <v>93</v>
      </c>
      <c r="I415">
        <v>2</v>
      </c>
      <c r="J415">
        <v>873.31</v>
      </c>
      <c r="K415">
        <v>0.03</v>
      </c>
      <c r="L415">
        <v>1694.22</v>
      </c>
      <c r="M415" t="s">
        <v>76</v>
      </c>
      <c r="N415" t="s">
        <v>24</v>
      </c>
      <c r="O415" t="s">
        <v>65</v>
      </c>
      <c r="P415" t="s">
        <v>102</v>
      </c>
    </row>
    <row r="416" spans="1:16" x14ac:dyDescent="0.3">
      <c r="A416" t="s">
        <v>719</v>
      </c>
      <c r="B416" s="1">
        <v>45646</v>
      </c>
      <c r="C416" t="s">
        <v>499</v>
      </c>
      <c r="D416" t="s">
        <v>105</v>
      </c>
      <c r="E416" t="s">
        <v>106</v>
      </c>
      <c r="F416" t="s">
        <v>40</v>
      </c>
      <c r="G416" t="s">
        <v>81</v>
      </c>
      <c r="H416" t="s">
        <v>98</v>
      </c>
      <c r="I416">
        <v>5</v>
      </c>
      <c r="J416">
        <v>7631.83</v>
      </c>
      <c r="K416">
        <v>0.03</v>
      </c>
      <c r="L416">
        <v>37014.379999999997</v>
      </c>
      <c r="M416" t="s">
        <v>23</v>
      </c>
      <c r="N416" t="s">
        <v>34</v>
      </c>
      <c r="O416" t="s">
        <v>35</v>
      </c>
    </row>
    <row r="417" spans="1:16" x14ac:dyDescent="0.3">
      <c r="A417" t="s">
        <v>720</v>
      </c>
      <c r="B417" s="1">
        <v>45321</v>
      </c>
      <c r="C417" t="s">
        <v>379</v>
      </c>
      <c r="D417" t="s">
        <v>89</v>
      </c>
      <c r="E417" t="s">
        <v>90</v>
      </c>
      <c r="F417" t="s">
        <v>20</v>
      </c>
      <c r="G417" t="s">
        <v>56</v>
      </c>
      <c r="H417" t="s">
        <v>101</v>
      </c>
      <c r="I417">
        <v>5</v>
      </c>
      <c r="J417">
        <v>721.14</v>
      </c>
      <c r="K417">
        <v>0.2</v>
      </c>
      <c r="L417">
        <v>2884.56</v>
      </c>
      <c r="M417" t="s">
        <v>23</v>
      </c>
      <c r="N417" t="s">
        <v>58</v>
      </c>
      <c r="O417" t="s">
        <v>35</v>
      </c>
      <c r="P417" t="s">
        <v>111</v>
      </c>
    </row>
    <row r="418" spans="1:16" x14ac:dyDescent="0.3">
      <c r="A418" t="s">
        <v>721</v>
      </c>
      <c r="B418" s="1">
        <v>45802</v>
      </c>
      <c r="C418" t="s">
        <v>352</v>
      </c>
      <c r="D418" t="s">
        <v>29</v>
      </c>
      <c r="E418" t="s">
        <v>30</v>
      </c>
      <c r="F418" t="s">
        <v>31</v>
      </c>
      <c r="G418" t="s">
        <v>81</v>
      </c>
      <c r="H418" t="s">
        <v>87</v>
      </c>
      <c r="I418">
        <v>3</v>
      </c>
      <c r="J418">
        <v>3061.73</v>
      </c>
      <c r="K418">
        <v>0.08</v>
      </c>
      <c r="L418">
        <v>8450.3700000000008</v>
      </c>
      <c r="M418" t="s">
        <v>23</v>
      </c>
      <c r="N418" t="s">
        <v>24</v>
      </c>
      <c r="O418" t="s">
        <v>65</v>
      </c>
      <c r="P418" t="s">
        <v>111</v>
      </c>
    </row>
    <row r="419" spans="1:16" x14ac:dyDescent="0.3">
      <c r="A419" t="s">
        <v>722</v>
      </c>
      <c r="B419" s="1">
        <v>46178</v>
      </c>
      <c r="C419" t="s">
        <v>723</v>
      </c>
      <c r="D419" t="s">
        <v>96</v>
      </c>
      <c r="E419" t="s">
        <v>97</v>
      </c>
      <c r="F419" t="s">
        <v>31</v>
      </c>
      <c r="G419" t="s">
        <v>81</v>
      </c>
      <c r="H419" t="s">
        <v>135</v>
      </c>
      <c r="I419">
        <v>2</v>
      </c>
      <c r="J419">
        <v>1130.78</v>
      </c>
      <c r="K419">
        <v>0.03</v>
      </c>
      <c r="L419">
        <v>2193.71</v>
      </c>
      <c r="M419" t="s">
        <v>48</v>
      </c>
      <c r="N419" t="s">
        <v>58</v>
      </c>
      <c r="O419" t="s">
        <v>65</v>
      </c>
      <c r="P419" t="s">
        <v>116</v>
      </c>
    </row>
    <row r="420" spans="1:16" x14ac:dyDescent="0.3">
      <c r="A420" t="s">
        <v>724</v>
      </c>
      <c r="B420" s="1">
        <v>45771</v>
      </c>
      <c r="C420" t="s">
        <v>548</v>
      </c>
      <c r="D420" t="s">
        <v>89</v>
      </c>
      <c r="E420" t="s">
        <v>90</v>
      </c>
      <c r="F420" t="s">
        <v>20</v>
      </c>
      <c r="G420" t="s">
        <v>56</v>
      </c>
      <c r="H420" t="s">
        <v>57</v>
      </c>
      <c r="I420">
        <v>1</v>
      </c>
      <c r="J420">
        <v>701.38</v>
      </c>
      <c r="K420">
        <v>0.05</v>
      </c>
      <c r="L420">
        <v>666.31</v>
      </c>
      <c r="M420" t="s">
        <v>48</v>
      </c>
      <c r="N420" t="s">
        <v>58</v>
      </c>
      <c r="O420" t="s">
        <v>65</v>
      </c>
      <c r="P420" t="s">
        <v>26</v>
      </c>
    </row>
    <row r="421" spans="1:16" x14ac:dyDescent="0.3">
      <c r="A421" t="s">
        <v>725</v>
      </c>
      <c r="B421" s="1">
        <v>45666</v>
      </c>
      <c r="C421" t="s">
        <v>134</v>
      </c>
      <c r="D421" t="s">
        <v>121</v>
      </c>
      <c r="E421" t="s">
        <v>122</v>
      </c>
      <c r="F421" t="s">
        <v>55</v>
      </c>
      <c r="G421" t="s">
        <v>81</v>
      </c>
      <c r="H421" t="s">
        <v>98</v>
      </c>
      <c r="I421">
        <v>2</v>
      </c>
      <c r="J421">
        <v>470.5</v>
      </c>
      <c r="K421">
        <v>0.15</v>
      </c>
      <c r="L421">
        <v>799.85</v>
      </c>
      <c r="M421" t="s">
        <v>23</v>
      </c>
      <c r="N421" t="s">
        <v>58</v>
      </c>
      <c r="O421" t="s">
        <v>65</v>
      </c>
      <c r="P421" t="s">
        <v>102</v>
      </c>
    </row>
    <row r="422" spans="1:16" x14ac:dyDescent="0.3">
      <c r="A422" t="s">
        <v>726</v>
      </c>
      <c r="B422" s="1">
        <v>46111</v>
      </c>
      <c r="C422" t="s">
        <v>548</v>
      </c>
      <c r="D422" t="s">
        <v>170</v>
      </c>
      <c r="E422" t="s">
        <v>171</v>
      </c>
      <c r="F422" t="s">
        <v>31</v>
      </c>
      <c r="G422" t="s">
        <v>21</v>
      </c>
      <c r="H422" t="s">
        <v>126</v>
      </c>
      <c r="I422">
        <v>2</v>
      </c>
      <c r="J422">
        <v>63274.58</v>
      </c>
      <c r="K422">
        <v>0.03</v>
      </c>
      <c r="L422">
        <v>122752.69</v>
      </c>
      <c r="M422" t="s">
        <v>23</v>
      </c>
      <c r="N422" t="s">
        <v>24</v>
      </c>
      <c r="O422" t="s">
        <v>65</v>
      </c>
      <c r="P422" t="s">
        <v>111</v>
      </c>
    </row>
    <row r="423" spans="1:16" x14ac:dyDescent="0.3">
      <c r="A423" t="s">
        <v>727</v>
      </c>
      <c r="B423" s="1">
        <v>45457</v>
      </c>
      <c r="C423" t="s">
        <v>453</v>
      </c>
      <c r="D423" t="s">
        <v>170</v>
      </c>
      <c r="E423" t="s">
        <v>171</v>
      </c>
      <c r="F423" t="s">
        <v>31</v>
      </c>
      <c r="G423" t="s">
        <v>21</v>
      </c>
      <c r="H423" t="s">
        <v>22</v>
      </c>
      <c r="I423">
        <v>2</v>
      </c>
      <c r="J423">
        <v>65783.070000000007</v>
      </c>
      <c r="K423">
        <v>0.1</v>
      </c>
      <c r="L423">
        <v>118409.53</v>
      </c>
      <c r="M423" t="s">
        <v>23</v>
      </c>
      <c r="N423" t="s">
        <v>34</v>
      </c>
      <c r="O423" t="s">
        <v>65</v>
      </c>
      <c r="P423" t="s">
        <v>50</v>
      </c>
    </row>
    <row r="424" spans="1:16" x14ac:dyDescent="0.3">
      <c r="A424" t="s">
        <v>728</v>
      </c>
      <c r="B424" s="1">
        <v>45486</v>
      </c>
      <c r="C424" t="s">
        <v>483</v>
      </c>
      <c r="D424" t="s">
        <v>18</v>
      </c>
      <c r="E424" t="s">
        <v>19</v>
      </c>
      <c r="F424" t="s">
        <v>20</v>
      </c>
      <c r="G424" t="s">
        <v>32</v>
      </c>
      <c r="H424" t="s">
        <v>47</v>
      </c>
      <c r="I424">
        <v>2</v>
      </c>
      <c r="J424">
        <v>810.05</v>
      </c>
      <c r="K424">
        <v>0.08</v>
      </c>
      <c r="L424">
        <v>1490.49</v>
      </c>
      <c r="M424" t="s">
        <v>23</v>
      </c>
      <c r="N424" t="s">
        <v>49</v>
      </c>
      <c r="O424" t="s">
        <v>65</v>
      </c>
      <c r="P424" t="s">
        <v>102</v>
      </c>
    </row>
    <row r="425" spans="1:16" x14ac:dyDescent="0.3">
      <c r="A425" t="s">
        <v>729</v>
      </c>
      <c r="B425" s="1">
        <v>45322</v>
      </c>
      <c r="C425" t="s">
        <v>350</v>
      </c>
      <c r="D425" t="s">
        <v>89</v>
      </c>
      <c r="E425" t="s">
        <v>90</v>
      </c>
      <c r="F425" t="s">
        <v>20</v>
      </c>
      <c r="G425" t="s">
        <v>81</v>
      </c>
      <c r="H425" t="s">
        <v>98</v>
      </c>
      <c r="I425">
        <v>1</v>
      </c>
      <c r="J425">
        <v>737.79</v>
      </c>
      <c r="K425">
        <v>0.15</v>
      </c>
      <c r="L425">
        <v>627.12</v>
      </c>
      <c r="M425" t="s">
        <v>76</v>
      </c>
      <c r="N425" t="s">
        <v>34</v>
      </c>
      <c r="O425" t="s">
        <v>65</v>
      </c>
      <c r="P425" t="s">
        <v>111</v>
      </c>
    </row>
    <row r="426" spans="1:16" x14ac:dyDescent="0.3">
      <c r="A426" t="s">
        <v>730</v>
      </c>
      <c r="B426" s="1">
        <v>46118</v>
      </c>
      <c r="C426" t="s">
        <v>379</v>
      </c>
      <c r="D426" t="s">
        <v>62</v>
      </c>
      <c r="E426" t="s">
        <v>63</v>
      </c>
      <c r="F426" t="s">
        <v>31</v>
      </c>
      <c r="G426" t="s">
        <v>21</v>
      </c>
      <c r="H426" t="s">
        <v>93</v>
      </c>
      <c r="I426">
        <v>4</v>
      </c>
      <c r="J426">
        <v>2811.24</v>
      </c>
      <c r="K426">
        <v>0.08</v>
      </c>
      <c r="L426">
        <v>10345.36</v>
      </c>
      <c r="M426" t="s">
        <v>76</v>
      </c>
      <c r="N426" t="s">
        <v>49</v>
      </c>
      <c r="O426" t="s">
        <v>25</v>
      </c>
      <c r="P426" t="s">
        <v>116</v>
      </c>
    </row>
    <row r="427" spans="1:16" x14ac:dyDescent="0.3">
      <c r="A427" t="s">
        <v>731</v>
      </c>
      <c r="B427" s="1">
        <v>45383</v>
      </c>
      <c r="C427" t="s">
        <v>264</v>
      </c>
      <c r="D427" t="s">
        <v>85</v>
      </c>
      <c r="E427" t="s">
        <v>86</v>
      </c>
      <c r="F427" t="s">
        <v>20</v>
      </c>
      <c r="G427" t="s">
        <v>56</v>
      </c>
      <c r="H427" t="s">
        <v>123</v>
      </c>
      <c r="I427">
        <v>1</v>
      </c>
      <c r="J427">
        <v>1928.1</v>
      </c>
      <c r="K427">
        <v>0</v>
      </c>
      <c r="L427">
        <v>1928.1</v>
      </c>
      <c r="M427" t="s">
        <v>23</v>
      </c>
      <c r="N427" t="s">
        <v>49</v>
      </c>
      <c r="O427" t="s">
        <v>65</v>
      </c>
      <c r="P427" t="s">
        <v>111</v>
      </c>
    </row>
    <row r="428" spans="1:16" x14ac:dyDescent="0.3">
      <c r="A428" t="s">
        <v>732</v>
      </c>
      <c r="B428" s="1">
        <v>46036</v>
      </c>
      <c r="C428" t="s">
        <v>394</v>
      </c>
      <c r="D428" t="s">
        <v>89</v>
      </c>
      <c r="E428" t="s">
        <v>90</v>
      </c>
      <c r="F428" t="s">
        <v>20</v>
      </c>
      <c r="G428" t="s">
        <v>56</v>
      </c>
      <c r="H428" t="s">
        <v>64</v>
      </c>
      <c r="I428">
        <v>1</v>
      </c>
      <c r="J428">
        <v>743.39</v>
      </c>
      <c r="K428">
        <v>0.05</v>
      </c>
      <c r="L428">
        <v>706.22</v>
      </c>
      <c r="M428" t="s">
        <v>23</v>
      </c>
      <c r="N428" t="s">
        <v>58</v>
      </c>
      <c r="O428" t="s">
        <v>35</v>
      </c>
      <c r="P428" t="s">
        <v>116</v>
      </c>
    </row>
    <row r="429" spans="1:16" x14ac:dyDescent="0.3">
      <c r="A429" t="s">
        <v>733</v>
      </c>
      <c r="B429" s="1">
        <v>45615</v>
      </c>
      <c r="C429" t="s">
        <v>516</v>
      </c>
      <c r="D429" t="s">
        <v>176</v>
      </c>
      <c r="E429" t="s">
        <v>177</v>
      </c>
      <c r="F429" t="s">
        <v>31</v>
      </c>
      <c r="G429" t="s">
        <v>21</v>
      </c>
      <c r="H429" t="s">
        <v>22</v>
      </c>
      <c r="I429">
        <v>3</v>
      </c>
      <c r="J429">
        <v>2115.4299999999998</v>
      </c>
      <c r="K429">
        <v>0.08</v>
      </c>
      <c r="L429">
        <v>5838.59</v>
      </c>
      <c r="M429" t="s">
        <v>76</v>
      </c>
      <c r="N429" t="s">
        <v>71</v>
      </c>
      <c r="O429" t="s">
        <v>35</v>
      </c>
      <c r="P429" t="s">
        <v>72</v>
      </c>
    </row>
    <row r="430" spans="1:16" x14ac:dyDescent="0.3">
      <c r="A430" t="s">
        <v>734</v>
      </c>
      <c r="B430" s="1">
        <v>45376</v>
      </c>
      <c r="C430" t="s">
        <v>643</v>
      </c>
      <c r="D430" t="s">
        <v>176</v>
      </c>
      <c r="E430" t="s">
        <v>177</v>
      </c>
      <c r="F430" t="s">
        <v>31</v>
      </c>
      <c r="G430" t="s">
        <v>81</v>
      </c>
      <c r="H430" t="s">
        <v>98</v>
      </c>
      <c r="I430">
        <v>2</v>
      </c>
      <c r="J430">
        <v>2267.54</v>
      </c>
      <c r="K430">
        <v>0.05</v>
      </c>
      <c r="L430">
        <v>4308.33</v>
      </c>
      <c r="M430" t="s">
        <v>48</v>
      </c>
      <c r="N430" t="s">
        <v>49</v>
      </c>
      <c r="O430" t="s">
        <v>65</v>
      </c>
      <c r="P430" t="s">
        <v>116</v>
      </c>
    </row>
    <row r="431" spans="1:16" x14ac:dyDescent="0.3">
      <c r="A431" t="s">
        <v>735</v>
      </c>
      <c r="B431" s="1">
        <v>46144</v>
      </c>
      <c r="C431" t="s">
        <v>218</v>
      </c>
      <c r="D431" t="s">
        <v>121</v>
      </c>
      <c r="E431" t="s">
        <v>122</v>
      </c>
      <c r="F431" t="s">
        <v>55</v>
      </c>
      <c r="G431" t="s">
        <v>56</v>
      </c>
      <c r="H431" t="s">
        <v>101</v>
      </c>
      <c r="I431">
        <v>3</v>
      </c>
      <c r="J431">
        <v>419.41</v>
      </c>
      <c r="K431">
        <v>0.15</v>
      </c>
      <c r="L431">
        <v>1069.5</v>
      </c>
      <c r="M431" t="s">
        <v>23</v>
      </c>
      <c r="N431" t="s">
        <v>34</v>
      </c>
      <c r="O431" t="s">
        <v>35</v>
      </c>
      <c r="P431" t="s">
        <v>111</v>
      </c>
    </row>
    <row r="432" spans="1:16" x14ac:dyDescent="0.3">
      <c r="A432" t="s">
        <v>736</v>
      </c>
      <c r="B432" s="1">
        <v>45366</v>
      </c>
      <c r="C432" t="s">
        <v>572</v>
      </c>
      <c r="D432" t="s">
        <v>85</v>
      </c>
      <c r="E432" t="s">
        <v>86</v>
      </c>
      <c r="F432" t="s">
        <v>20</v>
      </c>
      <c r="G432" t="s">
        <v>21</v>
      </c>
      <c r="H432" t="s">
        <v>41</v>
      </c>
      <c r="I432">
        <v>4</v>
      </c>
      <c r="J432">
        <v>1851.69</v>
      </c>
      <c r="K432">
        <v>0.15</v>
      </c>
      <c r="L432">
        <v>6295.75</v>
      </c>
      <c r="M432" t="s">
        <v>48</v>
      </c>
      <c r="N432" t="s">
        <v>58</v>
      </c>
      <c r="O432" t="s">
        <v>25</v>
      </c>
      <c r="P432" t="s">
        <v>72</v>
      </c>
    </row>
    <row r="433" spans="1:16" x14ac:dyDescent="0.3">
      <c r="A433" t="s">
        <v>737</v>
      </c>
      <c r="B433" s="1">
        <v>45741</v>
      </c>
      <c r="C433" t="s">
        <v>738</v>
      </c>
      <c r="D433" t="s">
        <v>176</v>
      </c>
      <c r="E433" t="s">
        <v>177</v>
      </c>
      <c r="F433" t="s">
        <v>31</v>
      </c>
      <c r="G433" t="s">
        <v>81</v>
      </c>
      <c r="H433" t="s">
        <v>98</v>
      </c>
      <c r="I433">
        <v>3</v>
      </c>
      <c r="J433">
        <v>2065.9</v>
      </c>
      <c r="K433">
        <v>0.1</v>
      </c>
      <c r="L433">
        <v>5577.93</v>
      </c>
      <c r="M433" t="s">
        <v>76</v>
      </c>
      <c r="N433" t="s">
        <v>58</v>
      </c>
      <c r="O433" t="s">
        <v>65</v>
      </c>
      <c r="P433" t="s">
        <v>26</v>
      </c>
    </row>
    <row r="434" spans="1:16" x14ac:dyDescent="0.3">
      <c r="A434" t="s">
        <v>739</v>
      </c>
      <c r="B434" s="1">
        <v>46019</v>
      </c>
      <c r="C434" t="s">
        <v>576</v>
      </c>
      <c r="D434" t="s">
        <v>45</v>
      </c>
      <c r="E434" t="s">
        <v>46</v>
      </c>
      <c r="F434" t="s">
        <v>31</v>
      </c>
      <c r="G434" t="s">
        <v>32</v>
      </c>
      <c r="H434" t="s">
        <v>68</v>
      </c>
      <c r="I434">
        <v>1</v>
      </c>
      <c r="J434">
        <v>1907.49</v>
      </c>
      <c r="K434">
        <v>0</v>
      </c>
      <c r="L434">
        <v>1907.49</v>
      </c>
      <c r="M434" t="s">
        <v>48</v>
      </c>
      <c r="N434" t="s">
        <v>24</v>
      </c>
      <c r="O434" t="s">
        <v>65</v>
      </c>
      <c r="P434" t="s">
        <v>59</v>
      </c>
    </row>
    <row r="435" spans="1:16" x14ac:dyDescent="0.3">
      <c r="A435" t="s">
        <v>740</v>
      </c>
      <c r="B435" s="1">
        <v>45317</v>
      </c>
      <c r="C435" t="s">
        <v>289</v>
      </c>
      <c r="D435" t="s">
        <v>53</v>
      </c>
      <c r="E435" t="s">
        <v>54</v>
      </c>
      <c r="F435" t="s">
        <v>55</v>
      </c>
      <c r="G435" t="s">
        <v>21</v>
      </c>
      <c r="H435" t="s">
        <v>93</v>
      </c>
      <c r="I435">
        <v>3</v>
      </c>
      <c r="J435">
        <v>223.4</v>
      </c>
      <c r="K435">
        <v>0.03</v>
      </c>
      <c r="L435">
        <v>650.09</v>
      </c>
      <c r="M435" t="s">
        <v>23</v>
      </c>
      <c r="N435" t="s">
        <v>34</v>
      </c>
      <c r="O435" t="s">
        <v>35</v>
      </c>
      <c r="P435" t="s">
        <v>42</v>
      </c>
    </row>
    <row r="436" spans="1:16" x14ac:dyDescent="0.3">
      <c r="A436" t="s">
        <v>741</v>
      </c>
      <c r="B436" s="1">
        <v>45907</v>
      </c>
      <c r="C436" t="s">
        <v>151</v>
      </c>
      <c r="D436" t="s">
        <v>29</v>
      </c>
      <c r="E436" t="s">
        <v>30</v>
      </c>
      <c r="F436" t="s">
        <v>31</v>
      </c>
      <c r="G436" t="s">
        <v>21</v>
      </c>
      <c r="H436" t="s">
        <v>41</v>
      </c>
      <c r="I436">
        <v>1</v>
      </c>
      <c r="J436">
        <v>3446.15</v>
      </c>
      <c r="K436">
        <v>0.2</v>
      </c>
      <c r="L436">
        <v>2756.92</v>
      </c>
      <c r="M436" t="s">
        <v>48</v>
      </c>
      <c r="N436" t="s">
        <v>71</v>
      </c>
      <c r="O436" t="s">
        <v>65</v>
      </c>
      <c r="P436" t="s">
        <v>50</v>
      </c>
    </row>
    <row r="437" spans="1:16" x14ac:dyDescent="0.3">
      <c r="A437" t="s">
        <v>742</v>
      </c>
      <c r="B437" s="1">
        <v>45492</v>
      </c>
      <c r="C437" t="s">
        <v>17</v>
      </c>
      <c r="D437" t="s">
        <v>38</v>
      </c>
      <c r="E437" t="s">
        <v>39</v>
      </c>
      <c r="F437" t="s">
        <v>40</v>
      </c>
      <c r="G437" t="s">
        <v>32</v>
      </c>
      <c r="H437" t="s">
        <v>33</v>
      </c>
      <c r="I437">
        <v>3</v>
      </c>
      <c r="J437">
        <v>1528.82</v>
      </c>
      <c r="K437">
        <v>0.15</v>
      </c>
      <c r="L437">
        <v>3898.49</v>
      </c>
      <c r="M437" t="s">
        <v>76</v>
      </c>
      <c r="N437" t="s">
        <v>24</v>
      </c>
      <c r="O437" t="s">
        <v>65</v>
      </c>
      <c r="P437" t="s">
        <v>111</v>
      </c>
    </row>
    <row r="438" spans="1:16" x14ac:dyDescent="0.3">
      <c r="A438" t="s">
        <v>743</v>
      </c>
      <c r="B438" s="1">
        <v>45983</v>
      </c>
      <c r="C438" t="s">
        <v>404</v>
      </c>
      <c r="D438" t="s">
        <v>29</v>
      </c>
      <c r="E438" t="s">
        <v>30</v>
      </c>
      <c r="F438" t="s">
        <v>31</v>
      </c>
      <c r="G438" t="s">
        <v>56</v>
      </c>
      <c r="H438" t="s">
        <v>101</v>
      </c>
      <c r="I438">
        <v>4</v>
      </c>
      <c r="J438">
        <v>3082.48</v>
      </c>
      <c r="K438">
        <v>0.2</v>
      </c>
      <c r="L438">
        <v>9863.94</v>
      </c>
      <c r="M438" t="s">
        <v>76</v>
      </c>
      <c r="N438" t="s">
        <v>49</v>
      </c>
      <c r="O438" t="s">
        <v>65</v>
      </c>
      <c r="P438" t="s">
        <v>50</v>
      </c>
    </row>
    <row r="439" spans="1:16" x14ac:dyDescent="0.3">
      <c r="A439" t="s">
        <v>744</v>
      </c>
      <c r="B439" s="1">
        <v>46009</v>
      </c>
      <c r="C439" t="s">
        <v>480</v>
      </c>
      <c r="D439" t="s">
        <v>105</v>
      </c>
      <c r="E439" t="s">
        <v>106</v>
      </c>
      <c r="F439" t="s">
        <v>40</v>
      </c>
      <c r="G439" t="s">
        <v>56</v>
      </c>
      <c r="H439" t="s">
        <v>64</v>
      </c>
      <c r="I439">
        <v>3</v>
      </c>
      <c r="J439">
        <v>6906.65</v>
      </c>
      <c r="K439">
        <v>0.08</v>
      </c>
      <c r="L439">
        <v>19062.349999999999</v>
      </c>
      <c r="M439" t="s">
        <v>76</v>
      </c>
      <c r="N439" t="s">
        <v>24</v>
      </c>
      <c r="O439" t="s">
        <v>25</v>
      </c>
      <c r="P439" t="s">
        <v>50</v>
      </c>
    </row>
    <row r="440" spans="1:16" x14ac:dyDescent="0.3">
      <c r="A440" t="s">
        <v>745</v>
      </c>
      <c r="B440" s="1">
        <v>45827</v>
      </c>
      <c r="C440" t="s">
        <v>746</v>
      </c>
      <c r="D440" t="s">
        <v>170</v>
      </c>
      <c r="E440" t="s">
        <v>171</v>
      </c>
      <c r="F440" t="s">
        <v>31</v>
      </c>
      <c r="G440" t="s">
        <v>81</v>
      </c>
      <c r="H440" t="s">
        <v>87</v>
      </c>
      <c r="I440">
        <v>4</v>
      </c>
      <c r="J440">
        <v>63754.45</v>
      </c>
      <c r="K440">
        <v>0.15</v>
      </c>
      <c r="L440">
        <v>216765.13</v>
      </c>
      <c r="M440" t="s">
        <v>76</v>
      </c>
      <c r="N440" t="s">
        <v>58</v>
      </c>
      <c r="O440" t="s">
        <v>35</v>
      </c>
      <c r="P440" t="s">
        <v>59</v>
      </c>
    </row>
    <row r="441" spans="1:16" x14ac:dyDescent="0.3">
      <c r="A441" t="s">
        <v>747</v>
      </c>
      <c r="B441" s="1">
        <v>45584</v>
      </c>
      <c r="C441" t="s">
        <v>151</v>
      </c>
      <c r="D441" t="s">
        <v>85</v>
      </c>
      <c r="E441" t="s">
        <v>86</v>
      </c>
      <c r="F441" t="s">
        <v>20</v>
      </c>
      <c r="G441" t="s">
        <v>32</v>
      </c>
      <c r="H441" t="s">
        <v>33</v>
      </c>
      <c r="I441">
        <v>2</v>
      </c>
      <c r="J441">
        <v>1846.33</v>
      </c>
      <c r="K441">
        <v>0.2</v>
      </c>
      <c r="L441">
        <v>2954.13</v>
      </c>
      <c r="M441" t="s">
        <v>23</v>
      </c>
      <c r="N441" t="s">
        <v>49</v>
      </c>
      <c r="O441" t="s">
        <v>65</v>
      </c>
      <c r="P441" t="s">
        <v>59</v>
      </c>
    </row>
    <row r="442" spans="1:16" x14ac:dyDescent="0.3">
      <c r="A442" t="s">
        <v>748</v>
      </c>
      <c r="B442" s="1">
        <v>46185</v>
      </c>
      <c r="C442" t="s">
        <v>227</v>
      </c>
      <c r="D442" t="s">
        <v>121</v>
      </c>
      <c r="E442" t="s">
        <v>122</v>
      </c>
      <c r="F442" t="s">
        <v>55</v>
      </c>
      <c r="G442" t="s">
        <v>21</v>
      </c>
      <c r="H442" t="s">
        <v>93</v>
      </c>
      <c r="I442">
        <v>3</v>
      </c>
      <c r="J442">
        <v>421.51</v>
      </c>
      <c r="K442">
        <v>0.03</v>
      </c>
      <c r="L442">
        <v>1226.5899999999999</v>
      </c>
      <c r="M442" t="s">
        <v>76</v>
      </c>
      <c r="N442" t="s">
        <v>34</v>
      </c>
      <c r="O442" t="s">
        <v>65</v>
      </c>
      <c r="P442" t="s">
        <v>111</v>
      </c>
    </row>
    <row r="443" spans="1:16" x14ac:dyDescent="0.3">
      <c r="A443" t="s">
        <v>749</v>
      </c>
      <c r="B443" s="1">
        <v>45666</v>
      </c>
      <c r="C443" t="s">
        <v>370</v>
      </c>
      <c r="D443" t="s">
        <v>176</v>
      </c>
      <c r="E443" t="s">
        <v>177</v>
      </c>
      <c r="F443" t="s">
        <v>31</v>
      </c>
      <c r="G443" t="s">
        <v>21</v>
      </c>
      <c r="I443">
        <v>2</v>
      </c>
      <c r="J443">
        <v>2036.75</v>
      </c>
      <c r="K443">
        <v>0.2</v>
      </c>
      <c r="L443">
        <v>3258.8</v>
      </c>
      <c r="M443" t="s">
        <v>48</v>
      </c>
      <c r="N443" t="s">
        <v>24</v>
      </c>
      <c r="O443" t="s">
        <v>65</v>
      </c>
      <c r="P443" t="s">
        <v>72</v>
      </c>
    </row>
    <row r="444" spans="1:16" x14ac:dyDescent="0.3">
      <c r="A444" t="s">
        <v>750</v>
      </c>
      <c r="B444" s="1">
        <v>45687</v>
      </c>
      <c r="C444" t="s">
        <v>643</v>
      </c>
      <c r="D444" t="s">
        <v>79</v>
      </c>
      <c r="E444" t="s">
        <v>80</v>
      </c>
      <c r="F444" t="s">
        <v>31</v>
      </c>
      <c r="G444" t="s">
        <v>32</v>
      </c>
      <c r="H444" t="s">
        <v>68</v>
      </c>
      <c r="I444">
        <v>1</v>
      </c>
      <c r="J444">
        <v>12049.14</v>
      </c>
      <c r="K444">
        <v>0.2</v>
      </c>
      <c r="L444">
        <v>9639.31</v>
      </c>
      <c r="M444" t="s">
        <v>76</v>
      </c>
      <c r="N444" t="s">
        <v>58</v>
      </c>
      <c r="O444" t="s">
        <v>65</v>
      </c>
      <c r="P444" t="s">
        <v>116</v>
      </c>
    </row>
    <row r="445" spans="1:16" x14ac:dyDescent="0.3">
      <c r="A445" t="s">
        <v>751</v>
      </c>
      <c r="B445" s="1">
        <v>45292</v>
      </c>
      <c r="C445" t="s">
        <v>134</v>
      </c>
      <c r="D445" t="s">
        <v>96</v>
      </c>
      <c r="E445" t="s">
        <v>97</v>
      </c>
      <c r="F445" t="s">
        <v>31</v>
      </c>
      <c r="G445" t="s">
        <v>81</v>
      </c>
      <c r="H445" t="s">
        <v>87</v>
      </c>
      <c r="I445">
        <v>1</v>
      </c>
      <c r="J445">
        <v>1209.54</v>
      </c>
      <c r="K445">
        <v>0</v>
      </c>
      <c r="L445">
        <v>1209.54</v>
      </c>
      <c r="M445" t="s">
        <v>76</v>
      </c>
      <c r="N445" t="s">
        <v>24</v>
      </c>
      <c r="O445" t="s">
        <v>65</v>
      </c>
      <c r="P445" t="s">
        <v>50</v>
      </c>
    </row>
    <row r="446" spans="1:16" x14ac:dyDescent="0.3">
      <c r="A446" t="s">
        <v>752</v>
      </c>
      <c r="B446" s="1">
        <v>45665</v>
      </c>
      <c r="D446" t="s">
        <v>170</v>
      </c>
      <c r="E446" t="s">
        <v>171</v>
      </c>
      <c r="F446" t="s">
        <v>31</v>
      </c>
      <c r="G446" t="s">
        <v>56</v>
      </c>
      <c r="H446" t="s">
        <v>64</v>
      </c>
      <c r="I446">
        <v>5</v>
      </c>
      <c r="J446">
        <v>61119.33</v>
      </c>
      <c r="K446">
        <v>0.05</v>
      </c>
      <c r="L446">
        <v>290316.82</v>
      </c>
      <c r="M446" t="s">
        <v>23</v>
      </c>
      <c r="N446" t="s">
        <v>34</v>
      </c>
      <c r="O446" t="s">
        <v>25</v>
      </c>
      <c r="P446" t="s">
        <v>116</v>
      </c>
    </row>
    <row r="447" spans="1:16" x14ac:dyDescent="0.3">
      <c r="A447" t="s">
        <v>753</v>
      </c>
      <c r="B447" s="1">
        <v>45855</v>
      </c>
      <c r="C447" t="s">
        <v>389</v>
      </c>
      <c r="D447" t="s">
        <v>176</v>
      </c>
      <c r="E447" t="s">
        <v>177</v>
      </c>
      <c r="F447" t="s">
        <v>31</v>
      </c>
      <c r="G447" t="s">
        <v>21</v>
      </c>
      <c r="H447" t="s">
        <v>41</v>
      </c>
      <c r="I447">
        <v>3</v>
      </c>
      <c r="J447">
        <v>2055.13</v>
      </c>
      <c r="K447">
        <v>0.2</v>
      </c>
      <c r="L447">
        <v>4932.3100000000004</v>
      </c>
      <c r="M447" t="s">
        <v>76</v>
      </c>
      <c r="N447" t="s">
        <v>58</v>
      </c>
      <c r="O447" t="s">
        <v>25</v>
      </c>
      <c r="P447" t="s">
        <v>116</v>
      </c>
    </row>
    <row r="448" spans="1:16" x14ac:dyDescent="0.3">
      <c r="A448" t="s">
        <v>754</v>
      </c>
      <c r="B448" s="1">
        <v>45805</v>
      </c>
      <c r="C448" t="s">
        <v>411</v>
      </c>
      <c r="D448" t="s">
        <v>121</v>
      </c>
      <c r="E448" t="s">
        <v>122</v>
      </c>
      <c r="F448" t="s">
        <v>55</v>
      </c>
      <c r="G448" t="s">
        <v>81</v>
      </c>
      <c r="H448" t="s">
        <v>87</v>
      </c>
      <c r="I448">
        <v>2</v>
      </c>
      <c r="J448">
        <v>424.74</v>
      </c>
      <c r="K448">
        <v>0.08</v>
      </c>
      <c r="L448">
        <v>781.52</v>
      </c>
      <c r="M448" t="s">
        <v>48</v>
      </c>
      <c r="N448" t="s">
        <v>24</v>
      </c>
      <c r="O448" t="s">
        <v>65</v>
      </c>
      <c r="P448" t="s">
        <v>26</v>
      </c>
    </row>
    <row r="449" spans="1:16" x14ac:dyDescent="0.3">
      <c r="A449" t="s">
        <v>755</v>
      </c>
      <c r="B449" s="1">
        <v>45883</v>
      </c>
      <c r="C449" t="s">
        <v>166</v>
      </c>
      <c r="D449" t="s">
        <v>131</v>
      </c>
      <c r="E449" t="s">
        <v>132</v>
      </c>
      <c r="F449" t="s">
        <v>40</v>
      </c>
      <c r="G449" t="s">
        <v>756</v>
      </c>
      <c r="H449" t="s">
        <v>75</v>
      </c>
      <c r="I449">
        <v>3</v>
      </c>
      <c r="J449">
        <v>10142.75</v>
      </c>
      <c r="K449">
        <v>0</v>
      </c>
      <c r="L449">
        <v>30428.25</v>
      </c>
      <c r="M449" t="s">
        <v>76</v>
      </c>
      <c r="N449" t="s">
        <v>49</v>
      </c>
      <c r="O449" t="s">
        <v>25</v>
      </c>
      <c r="P449" t="s">
        <v>50</v>
      </c>
    </row>
    <row r="450" spans="1:16" x14ac:dyDescent="0.3">
      <c r="A450" t="s">
        <v>757</v>
      </c>
      <c r="B450" s="1">
        <v>45763</v>
      </c>
      <c r="C450" t="s">
        <v>309</v>
      </c>
      <c r="D450" t="s">
        <v>85</v>
      </c>
      <c r="E450" t="s">
        <v>86</v>
      </c>
      <c r="F450" t="s">
        <v>20</v>
      </c>
      <c r="G450" t="s">
        <v>81</v>
      </c>
      <c r="H450" t="s">
        <v>135</v>
      </c>
      <c r="I450">
        <v>4</v>
      </c>
      <c r="J450">
        <v>1700.64</v>
      </c>
      <c r="K450">
        <v>0</v>
      </c>
      <c r="L450">
        <v>6802.56</v>
      </c>
      <c r="M450" t="s">
        <v>23</v>
      </c>
      <c r="N450" t="s">
        <v>58</v>
      </c>
      <c r="O450" t="s">
        <v>25</v>
      </c>
      <c r="P450" t="s">
        <v>102</v>
      </c>
    </row>
    <row r="451" spans="1:16" x14ac:dyDescent="0.3">
      <c r="A451" t="s">
        <v>758</v>
      </c>
      <c r="B451" s="1">
        <v>45323</v>
      </c>
      <c r="C451" t="s">
        <v>443</v>
      </c>
      <c r="D451" t="s">
        <v>131</v>
      </c>
      <c r="E451" t="s">
        <v>132</v>
      </c>
      <c r="F451" t="s">
        <v>40</v>
      </c>
      <c r="G451" t="s">
        <v>21</v>
      </c>
      <c r="H451" t="s">
        <v>22</v>
      </c>
      <c r="I451">
        <v>4</v>
      </c>
      <c r="J451">
        <v>8751.3700000000008</v>
      </c>
      <c r="K451">
        <v>0.2</v>
      </c>
      <c r="L451">
        <v>28004.38</v>
      </c>
      <c r="M451" t="s">
        <v>23</v>
      </c>
      <c r="N451" t="s">
        <v>49</v>
      </c>
      <c r="O451" t="s">
        <v>65</v>
      </c>
      <c r="P451" t="s">
        <v>72</v>
      </c>
    </row>
    <row r="452" spans="1:16" x14ac:dyDescent="0.3">
      <c r="A452" t="s">
        <v>759</v>
      </c>
      <c r="B452" s="1">
        <v>45446</v>
      </c>
      <c r="C452" t="s">
        <v>202</v>
      </c>
      <c r="D452" t="s">
        <v>85</v>
      </c>
      <c r="E452" t="s">
        <v>86</v>
      </c>
      <c r="F452" t="s">
        <v>20</v>
      </c>
      <c r="G452" t="s">
        <v>56</v>
      </c>
      <c r="H452" t="s">
        <v>123</v>
      </c>
      <c r="I452">
        <v>4</v>
      </c>
      <c r="J452">
        <v>1761.17</v>
      </c>
      <c r="K452">
        <v>0.05</v>
      </c>
      <c r="L452">
        <v>6692.45</v>
      </c>
      <c r="M452" t="s">
        <v>48</v>
      </c>
      <c r="N452" t="s">
        <v>24</v>
      </c>
      <c r="O452" t="s">
        <v>65</v>
      </c>
      <c r="P452" t="s">
        <v>116</v>
      </c>
    </row>
    <row r="453" spans="1:16" x14ac:dyDescent="0.3">
      <c r="A453" t="s">
        <v>760</v>
      </c>
      <c r="B453" s="1">
        <v>45481</v>
      </c>
      <c r="C453" t="s">
        <v>511</v>
      </c>
      <c r="D453" t="s">
        <v>62</v>
      </c>
      <c r="E453" t="s">
        <v>63</v>
      </c>
      <c r="F453" t="s">
        <v>31</v>
      </c>
      <c r="G453" t="s">
        <v>21</v>
      </c>
      <c r="H453" t="s">
        <v>93</v>
      </c>
      <c r="I453">
        <v>4</v>
      </c>
      <c r="J453">
        <v>2874.74</v>
      </c>
      <c r="K453">
        <v>0.2</v>
      </c>
      <c r="L453">
        <v>9199.17</v>
      </c>
      <c r="M453" t="s">
        <v>48</v>
      </c>
      <c r="N453" t="s">
        <v>58</v>
      </c>
      <c r="O453" t="s">
        <v>35</v>
      </c>
      <c r="P453" t="s">
        <v>72</v>
      </c>
    </row>
    <row r="454" spans="1:16" x14ac:dyDescent="0.3">
      <c r="A454" t="s">
        <v>761</v>
      </c>
      <c r="B454" s="1">
        <v>46125</v>
      </c>
      <c r="C454" t="s">
        <v>499</v>
      </c>
      <c r="D454" t="s">
        <v>79</v>
      </c>
      <c r="E454" t="s">
        <v>80</v>
      </c>
      <c r="F454" t="s">
        <v>31</v>
      </c>
      <c r="G454" t="s">
        <v>21</v>
      </c>
      <c r="H454" t="s">
        <v>22</v>
      </c>
      <c r="I454">
        <v>1</v>
      </c>
      <c r="J454">
        <v>11944.96</v>
      </c>
      <c r="K454">
        <v>0.03</v>
      </c>
      <c r="L454">
        <v>11586.61</v>
      </c>
      <c r="M454" t="s">
        <v>48</v>
      </c>
      <c r="N454" t="s">
        <v>34</v>
      </c>
      <c r="O454" t="s">
        <v>65</v>
      </c>
      <c r="P454" t="s">
        <v>26</v>
      </c>
    </row>
    <row r="455" spans="1:16" x14ac:dyDescent="0.3">
      <c r="A455" t="s">
        <v>762</v>
      </c>
      <c r="B455" s="1">
        <v>45550</v>
      </c>
      <c r="C455" t="s">
        <v>304</v>
      </c>
      <c r="D455" t="s">
        <v>18</v>
      </c>
      <c r="E455" t="s">
        <v>19</v>
      </c>
      <c r="F455" t="s">
        <v>20</v>
      </c>
      <c r="G455" t="s">
        <v>56</v>
      </c>
      <c r="H455" t="s">
        <v>57</v>
      </c>
      <c r="I455">
        <v>1</v>
      </c>
      <c r="J455">
        <v>890.58</v>
      </c>
      <c r="K455">
        <v>0.05</v>
      </c>
      <c r="L455">
        <v>846.05</v>
      </c>
      <c r="M455" t="s">
        <v>76</v>
      </c>
      <c r="N455" t="s">
        <v>34</v>
      </c>
      <c r="O455" t="s">
        <v>25</v>
      </c>
      <c r="P455" t="s">
        <v>50</v>
      </c>
    </row>
    <row r="456" spans="1:16" x14ac:dyDescent="0.3">
      <c r="A456" t="s">
        <v>763</v>
      </c>
      <c r="B456" s="1">
        <v>45377</v>
      </c>
      <c r="C456" t="s">
        <v>377</v>
      </c>
      <c r="D456" t="s">
        <v>18</v>
      </c>
      <c r="E456" t="s">
        <v>19</v>
      </c>
      <c r="F456" t="s">
        <v>20</v>
      </c>
      <c r="G456" t="s">
        <v>81</v>
      </c>
      <c r="H456" t="s">
        <v>98</v>
      </c>
      <c r="I456">
        <v>1</v>
      </c>
      <c r="J456">
        <v>852.43</v>
      </c>
      <c r="K456">
        <v>0.08</v>
      </c>
      <c r="L456">
        <v>784.24</v>
      </c>
      <c r="M456" t="s">
        <v>76</v>
      </c>
      <c r="N456" t="s">
        <v>49</v>
      </c>
      <c r="O456" t="s">
        <v>65</v>
      </c>
      <c r="P456" t="s">
        <v>116</v>
      </c>
    </row>
    <row r="457" spans="1:16" x14ac:dyDescent="0.3">
      <c r="A457" t="s">
        <v>764</v>
      </c>
      <c r="B457" s="1">
        <v>45302</v>
      </c>
      <c r="C457" t="s">
        <v>375</v>
      </c>
      <c r="D457" t="s">
        <v>131</v>
      </c>
      <c r="E457" t="s">
        <v>132</v>
      </c>
      <c r="F457" t="s">
        <v>40</v>
      </c>
      <c r="G457" t="s">
        <v>81</v>
      </c>
      <c r="H457" t="s">
        <v>135</v>
      </c>
      <c r="I457">
        <v>4</v>
      </c>
      <c r="J457">
        <v>9951.84</v>
      </c>
      <c r="K457">
        <v>0.2</v>
      </c>
      <c r="L457">
        <v>31845.89</v>
      </c>
      <c r="M457" t="s">
        <v>48</v>
      </c>
      <c r="N457" t="s">
        <v>71</v>
      </c>
      <c r="O457" t="s">
        <v>35</v>
      </c>
      <c r="P457" t="s">
        <v>116</v>
      </c>
    </row>
    <row r="458" spans="1:16" x14ac:dyDescent="0.3">
      <c r="A458" t="s">
        <v>765</v>
      </c>
      <c r="B458" s="1">
        <v>45395</v>
      </c>
      <c r="C458" t="s">
        <v>672</v>
      </c>
      <c r="D458" t="s">
        <v>79</v>
      </c>
      <c r="E458" t="s">
        <v>80</v>
      </c>
      <c r="F458" t="s">
        <v>31</v>
      </c>
      <c r="G458" t="s">
        <v>32</v>
      </c>
      <c r="H458" t="s">
        <v>68</v>
      </c>
      <c r="I458">
        <v>3</v>
      </c>
      <c r="J458">
        <v>12066.93</v>
      </c>
      <c r="K458">
        <v>0.05</v>
      </c>
      <c r="L458">
        <v>34390.75</v>
      </c>
      <c r="M458" t="s">
        <v>76</v>
      </c>
      <c r="N458" t="s">
        <v>34</v>
      </c>
      <c r="O458" t="s">
        <v>65</v>
      </c>
      <c r="P458" t="s">
        <v>42</v>
      </c>
    </row>
    <row r="459" spans="1:16" x14ac:dyDescent="0.3">
      <c r="A459" t="s">
        <v>766</v>
      </c>
      <c r="B459" s="1">
        <v>45719</v>
      </c>
      <c r="C459" t="s">
        <v>581</v>
      </c>
      <c r="D459" t="s">
        <v>45</v>
      </c>
      <c r="E459" t="s">
        <v>46</v>
      </c>
      <c r="F459" t="s">
        <v>31</v>
      </c>
      <c r="G459" t="s">
        <v>21</v>
      </c>
      <c r="H459" t="s">
        <v>126</v>
      </c>
      <c r="I459">
        <v>2</v>
      </c>
      <c r="J459">
        <v>1924.01</v>
      </c>
      <c r="K459">
        <v>0</v>
      </c>
      <c r="L459">
        <v>3848.02</v>
      </c>
      <c r="M459" t="s">
        <v>76</v>
      </c>
      <c r="N459" t="s">
        <v>34</v>
      </c>
      <c r="O459" t="s">
        <v>65</v>
      </c>
      <c r="P459" t="s">
        <v>26</v>
      </c>
    </row>
    <row r="460" spans="1:16" x14ac:dyDescent="0.3">
      <c r="A460" t="s">
        <v>767</v>
      </c>
      <c r="B460" s="1">
        <v>45912</v>
      </c>
      <c r="C460" t="s">
        <v>443</v>
      </c>
      <c r="D460" t="s">
        <v>29</v>
      </c>
      <c r="E460" t="s">
        <v>30</v>
      </c>
      <c r="F460" t="s">
        <v>31</v>
      </c>
      <c r="G460" t="s">
        <v>81</v>
      </c>
      <c r="H460" t="s">
        <v>135</v>
      </c>
      <c r="I460">
        <v>4</v>
      </c>
      <c r="J460">
        <v>3258.17</v>
      </c>
      <c r="K460">
        <v>0.1</v>
      </c>
      <c r="L460">
        <v>11729.41</v>
      </c>
      <c r="M460" t="s">
        <v>23</v>
      </c>
      <c r="N460" t="s">
        <v>49</v>
      </c>
      <c r="O460" t="s">
        <v>65</v>
      </c>
      <c r="P460" t="s">
        <v>26</v>
      </c>
    </row>
    <row r="461" spans="1:16" x14ac:dyDescent="0.3">
      <c r="A461" t="s">
        <v>768</v>
      </c>
      <c r="B461" s="1">
        <v>45844</v>
      </c>
      <c r="C461" t="s">
        <v>212</v>
      </c>
      <c r="D461" t="s">
        <v>45</v>
      </c>
      <c r="E461" t="s">
        <v>46</v>
      </c>
      <c r="F461" t="s">
        <v>31</v>
      </c>
      <c r="G461" t="s">
        <v>81</v>
      </c>
      <c r="H461" t="s">
        <v>82</v>
      </c>
      <c r="I461">
        <v>4</v>
      </c>
      <c r="J461">
        <v>1673.48</v>
      </c>
      <c r="K461">
        <v>0.03</v>
      </c>
      <c r="L461">
        <v>6493.1</v>
      </c>
      <c r="M461" t="s">
        <v>48</v>
      </c>
      <c r="N461" t="s">
        <v>71</v>
      </c>
      <c r="O461" t="s">
        <v>65</v>
      </c>
      <c r="P461" t="s">
        <v>116</v>
      </c>
    </row>
    <row r="462" spans="1:16" x14ac:dyDescent="0.3">
      <c r="A462" t="s">
        <v>769</v>
      </c>
      <c r="B462" s="1">
        <v>45843</v>
      </c>
      <c r="C462" t="s">
        <v>134</v>
      </c>
      <c r="D462" t="s">
        <v>18</v>
      </c>
      <c r="E462" t="s">
        <v>19</v>
      </c>
      <c r="F462" t="s">
        <v>20</v>
      </c>
      <c r="G462" t="s">
        <v>32</v>
      </c>
      <c r="H462" t="s">
        <v>47</v>
      </c>
      <c r="I462">
        <v>5</v>
      </c>
      <c r="J462">
        <v>856.66</v>
      </c>
      <c r="K462">
        <v>0</v>
      </c>
      <c r="L462">
        <v>4283.3</v>
      </c>
      <c r="M462" t="s">
        <v>76</v>
      </c>
      <c r="N462" t="s">
        <v>71</v>
      </c>
      <c r="O462" t="s">
        <v>65</v>
      </c>
      <c r="P462" t="s">
        <v>111</v>
      </c>
    </row>
    <row r="463" spans="1:16" x14ac:dyDescent="0.3">
      <c r="A463" t="s">
        <v>770</v>
      </c>
      <c r="B463" s="1">
        <v>45889</v>
      </c>
      <c r="C463" t="s">
        <v>542</v>
      </c>
      <c r="D463" t="s">
        <v>96</v>
      </c>
      <c r="E463" t="s">
        <v>97</v>
      </c>
      <c r="F463" t="s">
        <v>31</v>
      </c>
      <c r="G463" t="s">
        <v>81</v>
      </c>
      <c r="H463" t="s">
        <v>135</v>
      </c>
      <c r="I463">
        <v>5</v>
      </c>
      <c r="J463">
        <v>1122.83</v>
      </c>
      <c r="K463">
        <v>0.2</v>
      </c>
      <c r="L463">
        <v>4491.32</v>
      </c>
      <c r="M463" t="s">
        <v>76</v>
      </c>
      <c r="N463" t="s">
        <v>24</v>
      </c>
      <c r="O463" t="s">
        <v>65</v>
      </c>
      <c r="P463" t="s">
        <v>50</v>
      </c>
    </row>
    <row r="464" spans="1:16" x14ac:dyDescent="0.3">
      <c r="A464" t="s">
        <v>771</v>
      </c>
      <c r="B464" s="1">
        <v>45548</v>
      </c>
      <c r="C464" t="s">
        <v>196</v>
      </c>
      <c r="D464" t="s">
        <v>18</v>
      </c>
      <c r="E464" t="s">
        <v>19</v>
      </c>
      <c r="F464" t="s">
        <v>20</v>
      </c>
      <c r="G464" t="s">
        <v>81</v>
      </c>
      <c r="H464" t="s">
        <v>82</v>
      </c>
      <c r="I464">
        <v>1</v>
      </c>
      <c r="J464">
        <v>862.24</v>
      </c>
      <c r="K464">
        <v>0.05</v>
      </c>
      <c r="L464">
        <v>819.13</v>
      </c>
      <c r="M464" t="s">
        <v>23</v>
      </c>
      <c r="N464" t="s">
        <v>58</v>
      </c>
      <c r="O464" t="s">
        <v>65</v>
      </c>
      <c r="P464" t="s">
        <v>111</v>
      </c>
    </row>
    <row r="465" spans="1:16" x14ac:dyDescent="0.3">
      <c r="A465" t="s">
        <v>772</v>
      </c>
      <c r="B465" s="1">
        <v>45976</v>
      </c>
      <c r="C465" t="s">
        <v>108</v>
      </c>
      <c r="D465" t="s">
        <v>79</v>
      </c>
      <c r="E465" t="s">
        <v>80</v>
      </c>
      <c r="F465" t="s">
        <v>31</v>
      </c>
      <c r="G465" t="s">
        <v>56</v>
      </c>
      <c r="H465" t="s">
        <v>101</v>
      </c>
      <c r="I465">
        <v>2</v>
      </c>
      <c r="J465">
        <v>13024.15</v>
      </c>
      <c r="K465">
        <v>0.2</v>
      </c>
      <c r="L465">
        <v>20838.64</v>
      </c>
      <c r="M465" t="s">
        <v>76</v>
      </c>
      <c r="N465" t="s">
        <v>58</v>
      </c>
      <c r="O465" t="s">
        <v>25</v>
      </c>
      <c r="P465" t="s">
        <v>26</v>
      </c>
    </row>
    <row r="466" spans="1:16" x14ac:dyDescent="0.3">
      <c r="A466" t="s">
        <v>773</v>
      </c>
      <c r="B466" s="1">
        <v>45993</v>
      </c>
      <c r="C466" t="s">
        <v>397</v>
      </c>
      <c r="D466" t="s">
        <v>89</v>
      </c>
      <c r="E466" t="s">
        <v>90</v>
      </c>
      <c r="F466" t="s">
        <v>20</v>
      </c>
      <c r="G466" t="s">
        <v>81</v>
      </c>
      <c r="H466" t="s">
        <v>87</v>
      </c>
      <c r="I466">
        <v>1</v>
      </c>
      <c r="J466">
        <v>670.28</v>
      </c>
      <c r="K466">
        <v>0.1</v>
      </c>
      <c r="L466">
        <v>603.25</v>
      </c>
      <c r="M466" t="s">
        <v>76</v>
      </c>
      <c r="N466" t="s">
        <v>58</v>
      </c>
      <c r="O466" t="s">
        <v>35</v>
      </c>
      <c r="P466" t="s">
        <v>116</v>
      </c>
    </row>
    <row r="467" spans="1:16" x14ac:dyDescent="0.3">
      <c r="A467" t="s">
        <v>774</v>
      </c>
      <c r="B467" s="1">
        <v>45724</v>
      </c>
      <c r="C467" t="s">
        <v>389</v>
      </c>
      <c r="D467" t="s">
        <v>96</v>
      </c>
      <c r="E467" t="s">
        <v>97</v>
      </c>
      <c r="F467" t="s">
        <v>31</v>
      </c>
      <c r="G467" t="s">
        <v>21</v>
      </c>
      <c r="H467" t="s">
        <v>93</v>
      </c>
      <c r="I467">
        <v>1</v>
      </c>
      <c r="J467">
        <v>1131.1300000000001</v>
      </c>
      <c r="K467">
        <v>0.05</v>
      </c>
      <c r="L467">
        <v>1074.57</v>
      </c>
      <c r="M467" t="s">
        <v>48</v>
      </c>
      <c r="N467" t="s">
        <v>34</v>
      </c>
      <c r="O467" t="s">
        <v>65</v>
      </c>
      <c r="P467" t="s">
        <v>116</v>
      </c>
    </row>
    <row r="468" spans="1:16" x14ac:dyDescent="0.3">
      <c r="A468" t="s">
        <v>775</v>
      </c>
      <c r="B468" s="1">
        <v>45876</v>
      </c>
      <c r="C468" t="s">
        <v>776</v>
      </c>
      <c r="D468" t="s">
        <v>105</v>
      </c>
      <c r="E468" t="s">
        <v>106</v>
      </c>
      <c r="F468" t="s">
        <v>40</v>
      </c>
      <c r="G468" t="s">
        <v>56</v>
      </c>
      <c r="H468" t="s">
        <v>123</v>
      </c>
      <c r="I468">
        <v>4</v>
      </c>
      <c r="J468">
        <v>6916.48</v>
      </c>
      <c r="K468">
        <v>0.05</v>
      </c>
      <c r="L468">
        <v>26282.62</v>
      </c>
      <c r="M468" t="s">
        <v>23</v>
      </c>
      <c r="N468" t="s">
        <v>71</v>
      </c>
      <c r="O468" t="s">
        <v>25</v>
      </c>
      <c r="P468" t="s">
        <v>50</v>
      </c>
    </row>
    <row r="469" spans="1:16" x14ac:dyDescent="0.3">
      <c r="A469" t="s">
        <v>777</v>
      </c>
      <c r="B469" s="1">
        <v>45935</v>
      </c>
      <c r="C469" t="s">
        <v>535</v>
      </c>
      <c r="D469" t="s">
        <v>29</v>
      </c>
      <c r="E469" t="s">
        <v>30</v>
      </c>
      <c r="F469" t="s">
        <v>31</v>
      </c>
      <c r="G469" t="s">
        <v>21</v>
      </c>
      <c r="H469" t="s">
        <v>126</v>
      </c>
      <c r="I469">
        <v>5</v>
      </c>
      <c r="J469">
        <v>3038.37</v>
      </c>
      <c r="K469">
        <v>0</v>
      </c>
      <c r="L469">
        <v>15191.85</v>
      </c>
      <c r="M469" t="s">
        <v>48</v>
      </c>
      <c r="N469" t="s">
        <v>58</v>
      </c>
      <c r="O469" t="s">
        <v>65</v>
      </c>
      <c r="P469" t="s">
        <v>102</v>
      </c>
    </row>
    <row r="470" spans="1:16" x14ac:dyDescent="0.3">
      <c r="A470" t="s">
        <v>778</v>
      </c>
      <c r="B470" s="1">
        <v>45905</v>
      </c>
      <c r="C470" t="s">
        <v>153</v>
      </c>
      <c r="D470" t="s">
        <v>18</v>
      </c>
      <c r="E470" t="s">
        <v>19</v>
      </c>
      <c r="F470" t="s">
        <v>20</v>
      </c>
      <c r="G470" t="s">
        <v>56</v>
      </c>
      <c r="H470" t="s">
        <v>64</v>
      </c>
      <c r="I470">
        <v>3</v>
      </c>
      <c r="J470">
        <v>914.65</v>
      </c>
      <c r="K470">
        <v>0.05</v>
      </c>
      <c r="L470">
        <v>2606.75</v>
      </c>
      <c r="M470" t="s">
        <v>76</v>
      </c>
      <c r="N470" t="s">
        <v>58</v>
      </c>
      <c r="O470" t="s">
        <v>65</v>
      </c>
      <c r="P470" t="s">
        <v>26</v>
      </c>
    </row>
    <row r="471" spans="1:16" x14ac:dyDescent="0.3">
      <c r="A471" t="s">
        <v>779</v>
      </c>
      <c r="B471" s="1">
        <v>46129</v>
      </c>
      <c r="C471" t="s">
        <v>406</v>
      </c>
      <c r="D471" t="s">
        <v>18</v>
      </c>
      <c r="E471" t="s">
        <v>19</v>
      </c>
      <c r="F471" t="s">
        <v>20</v>
      </c>
      <c r="G471" t="s">
        <v>81</v>
      </c>
      <c r="H471" t="s">
        <v>82</v>
      </c>
      <c r="I471">
        <v>2</v>
      </c>
      <c r="J471">
        <v>795.27</v>
      </c>
      <c r="K471">
        <v>0.2</v>
      </c>
      <c r="L471">
        <v>1272.43</v>
      </c>
      <c r="M471" t="s">
        <v>23</v>
      </c>
      <c r="N471" t="s">
        <v>49</v>
      </c>
      <c r="O471" t="s">
        <v>65</v>
      </c>
      <c r="P471" t="s">
        <v>116</v>
      </c>
    </row>
    <row r="472" spans="1:16" x14ac:dyDescent="0.3">
      <c r="A472" t="s">
        <v>780</v>
      </c>
      <c r="B472" s="1">
        <v>46080</v>
      </c>
      <c r="C472" t="s">
        <v>238</v>
      </c>
      <c r="D472" t="s">
        <v>53</v>
      </c>
      <c r="E472" t="s">
        <v>54</v>
      </c>
      <c r="F472" t="s">
        <v>55</v>
      </c>
      <c r="G472" t="s">
        <v>56</v>
      </c>
      <c r="H472" t="s">
        <v>101</v>
      </c>
      <c r="I472">
        <v>4</v>
      </c>
      <c r="J472">
        <v>209.99</v>
      </c>
      <c r="K472">
        <v>0.03</v>
      </c>
      <c r="L472">
        <v>814.76</v>
      </c>
      <c r="M472" t="s">
        <v>23</v>
      </c>
      <c r="N472" t="s">
        <v>58</v>
      </c>
      <c r="O472" t="s">
        <v>65</v>
      </c>
      <c r="P472" t="s">
        <v>111</v>
      </c>
    </row>
    <row r="473" spans="1:16" x14ac:dyDescent="0.3">
      <c r="A473" t="s">
        <v>781</v>
      </c>
      <c r="B473" s="1">
        <v>45695</v>
      </c>
      <c r="C473" t="s">
        <v>715</v>
      </c>
      <c r="D473" t="s">
        <v>45</v>
      </c>
      <c r="E473" t="s">
        <v>46</v>
      </c>
      <c r="F473" t="s">
        <v>31</v>
      </c>
      <c r="G473" t="s">
        <v>81</v>
      </c>
      <c r="H473" t="s">
        <v>87</v>
      </c>
      <c r="I473">
        <v>1</v>
      </c>
      <c r="J473">
        <v>1763.69</v>
      </c>
      <c r="K473">
        <v>0.2</v>
      </c>
      <c r="L473">
        <v>1410.95</v>
      </c>
      <c r="M473" t="s">
        <v>48</v>
      </c>
      <c r="N473" t="s">
        <v>24</v>
      </c>
      <c r="O473" t="s">
        <v>65</v>
      </c>
      <c r="P473" t="s">
        <v>50</v>
      </c>
    </row>
    <row r="474" spans="1:16" x14ac:dyDescent="0.3">
      <c r="A474" t="s">
        <v>782</v>
      </c>
      <c r="B474" s="1">
        <v>45422</v>
      </c>
      <c r="C474" t="s">
        <v>531</v>
      </c>
      <c r="D474" t="s">
        <v>29</v>
      </c>
      <c r="E474" t="s">
        <v>30</v>
      </c>
      <c r="F474" t="s">
        <v>31</v>
      </c>
      <c r="G474" t="s">
        <v>81</v>
      </c>
      <c r="H474" t="s">
        <v>98</v>
      </c>
      <c r="I474">
        <v>3</v>
      </c>
      <c r="J474">
        <v>3437.58</v>
      </c>
      <c r="K474">
        <v>0.05</v>
      </c>
      <c r="L474">
        <v>9797.1</v>
      </c>
      <c r="M474" t="s">
        <v>48</v>
      </c>
      <c r="O474" t="s">
        <v>35</v>
      </c>
      <c r="P474" t="s">
        <v>72</v>
      </c>
    </row>
    <row r="475" spans="1:16" x14ac:dyDescent="0.3">
      <c r="A475" t="s">
        <v>783</v>
      </c>
      <c r="B475" s="1">
        <v>46084</v>
      </c>
      <c r="C475" t="s">
        <v>544</v>
      </c>
      <c r="D475" t="s">
        <v>170</v>
      </c>
      <c r="E475" t="s">
        <v>171</v>
      </c>
      <c r="F475" t="s">
        <v>31</v>
      </c>
      <c r="G475" t="s">
        <v>32</v>
      </c>
      <c r="H475" t="s">
        <v>75</v>
      </c>
      <c r="I475">
        <v>4</v>
      </c>
      <c r="J475">
        <v>66153.97</v>
      </c>
      <c r="K475">
        <v>0.05</v>
      </c>
      <c r="L475">
        <v>251385.09</v>
      </c>
      <c r="M475" t="s">
        <v>48</v>
      </c>
      <c r="N475" t="s">
        <v>58</v>
      </c>
      <c r="O475" t="s">
        <v>65</v>
      </c>
      <c r="P475" t="s">
        <v>50</v>
      </c>
    </row>
    <row r="476" spans="1:16" x14ac:dyDescent="0.3">
      <c r="A476" t="s">
        <v>784</v>
      </c>
      <c r="B476" s="1">
        <v>45497</v>
      </c>
      <c r="C476" t="s">
        <v>483</v>
      </c>
      <c r="D476" t="s">
        <v>96</v>
      </c>
      <c r="E476" t="s">
        <v>97</v>
      </c>
      <c r="F476" t="s">
        <v>31</v>
      </c>
      <c r="G476" t="s">
        <v>81</v>
      </c>
      <c r="H476" t="s">
        <v>82</v>
      </c>
      <c r="I476">
        <v>4</v>
      </c>
      <c r="J476">
        <v>1250.0999999999999</v>
      </c>
      <c r="K476">
        <v>0.05</v>
      </c>
      <c r="L476">
        <v>4750.38</v>
      </c>
      <c r="M476" t="s">
        <v>23</v>
      </c>
      <c r="N476" t="s">
        <v>34</v>
      </c>
      <c r="O476" t="s">
        <v>65</v>
      </c>
      <c r="P476" t="s">
        <v>59</v>
      </c>
    </row>
    <row r="477" spans="1:16" x14ac:dyDescent="0.3">
      <c r="A477" t="s">
        <v>785</v>
      </c>
      <c r="B477" s="1">
        <v>45705</v>
      </c>
      <c r="C477" t="s">
        <v>416</v>
      </c>
      <c r="D477" t="s">
        <v>18</v>
      </c>
      <c r="E477" t="s">
        <v>19</v>
      </c>
      <c r="F477" t="s">
        <v>20</v>
      </c>
      <c r="G477" t="s">
        <v>21</v>
      </c>
      <c r="H477" t="s">
        <v>41</v>
      </c>
      <c r="I477">
        <v>4</v>
      </c>
      <c r="J477">
        <v>900.98</v>
      </c>
      <c r="K477">
        <v>0.2</v>
      </c>
      <c r="L477">
        <v>2883.14</v>
      </c>
      <c r="M477" t="s">
        <v>23</v>
      </c>
      <c r="N477" t="s">
        <v>34</v>
      </c>
      <c r="O477" t="s">
        <v>65</v>
      </c>
      <c r="P477" t="s">
        <v>102</v>
      </c>
    </row>
    <row r="478" spans="1:16" x14ac:dyDescent="0.3">
      <c r="A478" t="s">
        <v>786</v>
      </c>
      <c r="B478" s="1">
        <v>45409</v>
      </c>
      <c r="C478" t="s">
        <v>787</v>
      </c>
      <c r="D478" t="s">
        <v>121</v>
      </c>
      <c r="E478" t="s">
        <v>122</v>
      </c>
      <c r="F478" t="s">
        <v>55</v>
      </c>
      <c r="G478" t="s">
        <v>32</v>
      </c>
      <c r="H478" t="s">
        <v>75</v>
      </c>
      <c r="I478">
        <v>1</v>
      </c>
      <c r="J478">
        <v>442.1</v>
      </c>
      <c r="K478">
        <v>0.03</v>
      </c>
      <c r="L478">
        <v>428.84</v>
      </c>
      <c r="M478" t="s">
        <v>23</v>
      </c>
      <c r="N478" t="s">
        <v>71</v>
      </c>
      <c r="O478" t="s">
        <v>65</v>
      </c>
      <c r="P478" t="s">
        <v>102</v>
      </c>
    </row>
    <row r="479" spans="1:16" x14ac:dyDescent="0.3">
      <c r="A479" t="s">
        <v>788</v>
      </c>
      <c r="B479" s="1">
        <v>46161</v>
      </c>
      <c r="C479" t="s">
        <v>409</v>
      </c>
      <c r="D479" t="s">
        <v>79</v>
      </c>
      <c r="E479" t="s">
        <v>80</v>
      </c>
      <c r="F479" t="s">
        <v>31</v>
      </c>
      <c r="G479" t="s">
        <v>81</v>
      </c>
      <c r="H479" t="s">
        <v>82</v>
      </c>
      <c r="I479">
        <v>1</v>
      </c>
      <c r="J479">
        <v>13021.68</v>
      </c>
      <c r="K479">
        <v>0.2</v>
      </c>
      <c r="L479">
        <v>10417.34</v>
      </c>
      <c r="M479" t="s">
        <v>23</v>
      </c>
      <c r="N479" t="s">
        <v>49</v>
      </c>
      <c r="O479" t="s">
        <v>65</v>
      </c>
      <c r="P479" t="s">
        <v>42</v>
      </c>
    </row>
    <row r="480" spans="1:16" x14ac:dyDescent="0.3">
      <c r="A480" t="s">
        <v>789</v>
      </c>
      <c r="B480" s="1">
        <v>45939</v>
      </c>
      <c r="C480" t="s">
        <v>581</v>
      </c>
      <c r="D480" t="s">
        <v>176</v>
      </c>
      <c r="E480" t="s">
        <v>177</v>
      </c>
      <c r="F480" t="s">
        <v>31</v>
      </c>
      <c r="G480" t="s">
        <v>56</v>
      </c>
      <c r="H480" t="s">
        <v>101</v>
      </c>
      <c r="I480">
        <v>1</v>
      </c>
      <c r="J480">
        <v>2130.23</v>
      </c>
      <c r="K480">
        <v>0</v>
      </c>
      <c r="L480">
        <v>2130.23</v>
      </c>
      <c r="M480" t="s">
        <v>23</v>
      </c>
      <c r="N480" t="s">
        <v>58</v>
      </c>
      <c r="O480" t="s">
        <v>35</v>
      </c>
      <c r="P480" t="s">
        <v>116</v>
      </c>
    </row>
    <row r="481" spans="1:16" x14ac:dyDescent="0.3">
      <c r="A481" t="s">
        <v>790</v>
      </c>
      <c r="B481" s="1">
        <v>45890</v>
      </c>
      <c r="C481" t="s">
        <v>157</v>
      </c>
      <c r="D481" t="s">
        <v>170</v>
      </c>
      <c r="E481" t="s">
        <v>171</v>
      </c>
      <c r="F481" t="s">
        <v>31</v>
      </c>
      <c r="G481" t="s">
        <v>56</v>
      </c>
      <c r="H481" t="s">
        <v>101</v>
      </c>
      <c r="I481">
        <v>3</v>
      </c>
      <c r="J481">
        <v>61458.73</v>
      </c>
      <c r="K481">
        <v>0.1</v>
      </c>
      <c r="L481">
        <v>165938.57</v>
      </c>
      <c r="M481" t="s">
        <v>48</v>
      </c>
      <c r="N481" t="s">
        <v>58</v>
      </c>
      <c r="O481" t="s">
        <v>25</v>
      </c>
      <c r="P481" t="s">
        <v>42</v>
      </c>
    </row>
    <row r="482" spans="1:16" x14ac:dyDescent="0.3">
      <c r="A482" t="s">
        <v>791</v>
      </c>
      <c r="B482" s="1">
        <v>45885</v>
      </c>
      <c r="C482" t="s">
        <v>792</v>
      </c>
      <c r="D482" t="s">
        <v>45</v>
      </c>
      <c r="E482" t="s">
        <v>46</v>
      </c>
      <c r="F482" t="s">
        <v>31</v>
      </c>
      <c r="G482" t="s">
        <v>32</v>
      </c>
      <c r="H482" t="s">
        <v>68</v>
      </c>
      <c r="I482">
        <v>2</v>
      </c>
      <c r="J482">
        <v>1786.8</v>
      </c>
      <c r="K482">
        <v>0.15</v>
      </c>
      <c r="L482">
        <v>3037.56</v>
      </c>
      <c r="M482" t="s">
        <v>23</v>
      </c>
      <c r="N482" t="s">
        <v>49</v>
      </c>
      <c r="O482" t="s">
        <v>65</v>
      </c>
      <c r="P482" t="s">
        <v>42</v>
      </c>
    </row>
    <row r="483" spans="1:16" x14ac:dyDescent="0.3">
      <c r="A483" t="s">
        <v>793</v>
      </c>
      <c r="B483" s="1">
        <v>45786</v>
      </c>
      <c r="D483" t="s">
        <v>79</v>
      </c>
      <c r="E483" t="s">
        <v>80</v>
      </c>
      <c r="F483" t="s">
        <v>31</v>
      </c>
      <c r="G483" t="s">
        <v>81</v>
      </c>
      <c r="H483" t="s">
        <v>87</v>
      </c>
      <c r="I483">
        <v>4</v>
      </c>
      <c r="J483">
        <v>13387.89</v>
      </c>
      <c r="K483">
        <v>0.1</v>
      </c>
      <c r="L483">
        <v>48196.4</v>
      </c>
      <c r="M483" t="s">
        <v>23</v>
      </c>
      <c r="N483" t="s">
        <v>34</v>
      </c>
      <c r="O483" t="s">
        <v>65</v>
      </c>
      <c r="P483" t="s">
        <v>72</v>
      </c>
    </row>
    <row r="484" spans="1:16" x14ac:dyDescent="0.3">
      <c r="A484" t="s">
        <v>794</v>
      </c>
      <c r="B484" s="1">
        <v>45923</v>
      </c>
      <c r="C484" t="s">
        <v>480</v>
      </c>
      <c r="D484" t="s">
        <v>170</v>
      </c>
      <c r="E484" t="s">
        <v>171</v>
      </c>
      <c r="F484" t="s">
        <v>31</v>
      </c>
      <c r="G484" t="s">
        <v>56</v>
      </c>
      <c r="H484" t="s">
        <v>101</v>
      </c>
      <c r="I484">
        <v>4</v>
      </c>
      <c r="J484">
        <v>68567.81</v>
      </c>
      <c r="K484">
        <v>0.08</v>
      </c>
      <c r="L484">
        <v>252329.54</v>
      </c>
      <c r="M484" t="s">
        <v>23</v>
      </c>
      <c r="N484" t="s">
        <v>71</v>
      </c>
      <c r="O484" t="s">
        <v>35</v>
      </c>
      <c r="P484" t="s">
        <v>72</v>
      </c>
    </row>
    <row r="485" spans="1:16" x14ac:dyDescent="0.3">
      <c r="A485" t="s">
        <v>795</v>
      </c>
      <c r="B485" s="1">
        <v>45635</v>
      </c>
      <c r="C485" t="s">
        <v>715</v>
      </c>
      <c r="D485" t="s">
        <v>170</v>
      </c>
      <c r="E485" t="s">
        <v>171</v>
      </c>
      <c r="F485" t="s">
        <v>31</v>
      </c>
      <c r="G485" t="s">
        <v>56</v>
      </c>
      <c r="H485" t="s">
        <v>64</v>
      </c>
      <c r="I485">
        <v>3</v>
      </c>
      <c r="J485">
        <v>70158.559999999998</v>
      </c>
      <c r="K485">
        <v>0.03</v>
      </c>
      <c r="L485">
        <v>204161.41</v>
      </c>
      <c r="M485" t="s">
        <v>23</v>
      </c>
      <c r="N485" t="s">
        <v>34</v>
      </c>
      <c r="O485" t="s">
        <v>65</v>
      </c>
      <c r="P485" t="s">
        <v>26</v>
      </c>
    </row>
    <row r="486" spans="1:16" x14ac:dyDescent="0.3">
      <c r="A486" t="s">
        <v>796</v>
      </c>
      <c r="B486" s="1">
        <v>45322</v>
      </c>
      <c r="C486" t="s">
        <v>17</v>
      </c>
      <c r="D486" t="s">
        <v>18</v>
      </c>
      <c r="E486" t="s">
        <v>19</v>
      </c>
      <c r="F486" t="s">
        <v>20</v>
      </c>
      <c r="G486" t="s">
        <v>81</v>
      </c>
      <c r="H486" t="s">
        <v>87</v>
      </c>
      <c r="I486">
        <v>4</v>
      </c>
      <c r="J486">
        <v>807</v>
      </c>
      <c r="K486">
        <v>0.03</v>
      </c>
      <c r="L486">
        <v>3131.16</v>
      </c>
      <c r="M486" t="s">
        <v>23</v>
      </c>
      <c r="N486" t="s">
        <v>71</v>
      </c>
      <c r="O486" t="s">
        <v>65</v>
      </c>
      <c r="P486" t="s">
        <v>42</v>
      </c>
    </row>
    <row r="487" spans="1:16" x14ac:dyDescent="0.3">
      <c r="A487" t="s">
        <v>797</v>
      </c>
      <c r="B487" s="1">
        <v>45614</v>
      </c>
      <c r="C487" t="s">
        <v>675</v>
      </c>
      <c r="D487" t="s">
        <v>38</v>
      </c>
      <c r="E487" t="s">
        <v>39</v>
      </c>
      <c r="F487" t="s">
        <v>40</v>
      </c>
      <c r="G487" t="s">
        <v>81</v>
      </c>
      <c r="H487" t="s">
        <v>98</v>
      </c>
      <c r="I487">
        <v>2</v>
      </c>
      <c r="J487">
        <v>1556.93</v>
      </c>
      <c r="K487">
        <v>0.03</v>
      </c>
      <c r="L487">
        <v>3020.44</v>
      </c>
      <c r="M487" t="s">
        <v>48</v>
      </c>
      <c r="N487" t="s">
        <v>71</v>
      </c>
      <c r="O487" t="s">
        <v>35</v>
      </c>
      <c r="P487" t="s">
        <v>102</v>
      </c>
    </row>
    <row r="488" spans="1:16" x14ac:dyDescent="0.3">
      <c r="A488" t="s">
        <v>798</v>
      </c>
      <c r="B488" s="1">
        <v>45716</v>
      </c>
      <c r="C488" t="s">
        <v>212</v>
      </c>
      <c r="D488" t="s">
        <v>131</v>
      </c>
      <c r="E488" t="s">
        <v>132</v>
      </c>
      <c r="F488" t="s">
        <v>40</v>
      </c>
      <c r="G488" t="s">
        <v>32</v>
      </c>
      <c r="H488" t="s">
        <v>68</v>
      </c>
      <c r="I488">
        <v>5</v>
      </c>
      <c r="J488">
        <v>8956.7099999999991</v>
      </c>
      <c r="K488">
        <v>0</v>
      </c>
      <c r="L488">
        <v>44783.55</v>
      </c>
      <c r="M488" t="s">
        <v>48</v>
      </c>
      <c r="N488" t="s">
        <v>71</v>
      </c>
      <c r="O488" t="s">
        <v>65</v>
      </c>
      <c r="P488" t="s">
        <v>72</v>
      </c>
    </row>
    <row r="489" spans="1:16" x14ac:dyDescent="0.3">
      <c r="A489" t="s">
        <v>799</v>
      </c>
      <c r="B489" s="1">
        <v>45921</v>
      </c>
      <c r="C489" t="s">
        <v>243</v>
      </c>
      <c r="D489" t="s">
        <v>79</v>
      </c>
      <c r="E489" t="s">
        <v>80</v>
      </c>
      <c r="F489" t="s">
        <v>31</v>
      </c>
      <c r="G489" t="s">
        <v>81</v>
      </c>
      <c r="H489" t="s">
        <v>82</v>
      </c>
      <c r="I489">
        <v>1</v>
      </c>
      <c r="J489">
        <v>11653.28</v>
      </c>
      <c r="K489">
        <v>0.03</v>
      </c>
      <c r="L489">
        <v>11303.68</v>
      </c>
      <c r="M489" t="s">
        <v>23</v>
      </c>
      <c r="N489" t="s">
        <v>34</v>
      </c>
      <c r="O489" t="s">
        <v>65</v>
      </c>
      <c r="P489" t="s">
        <v>26</v>
      </c>
    </row>
    <row r="490" spans="1:16" x14ac:dyDescent="0.3">
      <c r="A490" t="s">
        <v>800</v>
      </c>
      <c r="B490" s="1">
        <v>45450</v>
      </c>
      <c r="C490" t="s">
        <v>208</v>
      </c>
      <c r="D490" t="s">
        <v>29</v>
      </c>
      <c r="E490" t="s">
        <v>30</v>
      </c>
      <c r="F490" t="s">
        <v>31</v>
      </c>
      <c r="G490" t="s">
        <v>21</v>
      </c>
      <c r="H490" t="s">
        <v>22</v>
      </c>
      <c r="I490">
        <v>5</v>
      </c>
      <c r="J490">
        <v>2964.57</v>
      </c>
      <c r="K490">
        <v>0.08</v>
      </c>
      <c r="L490">
        <v>13637.02</v>
      </c>
      <c r="M490" t="s">
        <v>48</v>
      </c>
      <c r="N490" t="s">
        <v>49</v>
      </c>
      <c r="O490" t="s">
        <v>65</v>
      </c>
      <c r="P490" t="s">
        <v>26</v>
      </c>
    </row>
    <row r="491" spans="1:16" x14ac:dyDescent="0.3">
      <c r="A491" t="s">
        <v>801</v>
      </c>
      <c r="B491" s="1">
        <v>45295</v>
      </c>
      <c r="C491" t="s">
        <v>520</v>
      </c>
      <c r="D491" t="s">
        <v>170</v>
      </c>
      <c r="E491" t="s">
        <v>171</v>
      </c>
      <c r="F491" t="s">
        <v>31</v>
      </c>
      <c r="G491" t="s">
        <v>21</v>
      </c>
      <c r="H491" t="s">
        <v>93</v>
      </c>
      <c r="I491">
        <v>4</v>
      </c>
      <c r="J491">
        <v>62476.24</v>
      </c>
      <c r="K491">
        <v>0.2</v>
      </c>
      <c r="L491">
        <v>199923.97</v>
      </c>
      <c r="M491" t="s">
        <v>48</v>
      </c>
      <c r="N491" t="s">
        <v>71</v>
      </c>
      <c r="O491" t="s">
        <v>65</v>
      </c>
      <c r="P491" t="s">
        <v>72</v>
      </c>
    </row>
    <row r="492" spans="1:16" x14ac:dyDescent="0.3">
      <c r="A492" t="s">
        <v>802</v>
      </c>
      <c r="B492" s="1">
        <v>46195</v>
      </c>
      <c r="C492" t="s">
        <v>803</v>
      </c>
      <c r="D492" t="s">
        <v>96</v>
      </c>
      <c r="E492" t="s">
        <v>97</v>
      </c>
      <c r="F492" t="s">
        <v>31</v>
      </c>
      <c r="G492" t="s">
        <v>32</v>
      </c>
      <c r="H492" t="s">
        <v>75</v>
      </c>
      <c r="I492">
        <v>4</v>
      </c>
      <c r="J492">
        <v>1131.51</v>
      </c>
      <c r="K492">
        <v>0.03</v>
      </c>
      <c r="L492">
        <v>4390.26</v>
      </c>
      <c r="M492" t="s">
        <v>23</v>
      </c>
      <c r="N492" t="s">
        <v>58</v>
      </c>
      <c r="O492" t="s">
        <v>65</v>
      </c>
      <c r="P492" t="s">
        <v>116</v>
      </c>
    </row>
    <row r="493" spans="1:16" x14ac:dyDescent="0.3">
      <c r="A493" t="s">
        <v>804</v>
      </c>
      <c r="B493" s="1">
        <v>45316</v>
      </c>
      <c r="C493" t="s">
        <v>480</v>
      </c>
      <c r="D493" t="s">
        <v>79</v>
      </c>
      <c r="E493" t="s">
        <v>80</v>
      </c>
      <c r="F493" t="s">
        <v>31</v>
      </c>
      <c r="G493" t="s">
        <v>21</v>
      </c>
      <c r="H493" t="s">
        <v>93</v>
      </c>
      <c r="I493">
        <v>3</v>
      </c>
      <c r="J493">
        <v>12795.75</v>
      </c>
      <c r="K493">
        <v>0.1</v>
      </c>
      <c r="L493">
        <v>34548.53</v>
      </c>
      <c r="M493" t="s">
        <v>23</v>
      </c>
      <c r="N493" t="s">
        <v>24</v>
      </c>
      <c r="O493" t="s">
        <v>65</v>
      </c>
      <c r="P493" t="s">
        <v>72</v>
      </c>
    </row>
    <row r="494" spans="1:16" x14ac:dyDescent="0.3">
      <c r="A494" t="s">
        <v>805</v>
      </c>
      <c r="B494" s="1">
        <v>45807</v>
      </c>
      <c r="C494" t="s">
        <v>480</v>
      </c>
      <c r="D494" t="s">
        <v>45</v>
      </c>
      <c r="E494" t="s">
        <v>46</v>
      </c>
      <c r="F494" t="s">
        <v>31</v>
      </c>
      <c r="G494" t="s">
        <v>21</v>
      </c>
      <c r="H494" t="s">
        <v>41</v>
      </c>
      <c r="I494">
        <v>5</v>
      </c>
      <c r="J494">
        <v>1921.75</v>
      </c>
      <c r="K494">
        <v>0.08</v>
      </c>
      <c r="L494">
        <v>8840.0499999999993</v>
      </c>
      <c r="M494" t="s">
        <v>48</v>
      </c>
      <c r="N494" t="s">
        <v>49</v>
      </c>
      <c r="O494" t="s">
        <v>65</v>
      </c>
      <c r="P494" t="s">
        <v>116</v>
      </c>
    </row>
    <row r="495" spans="1:16" x14ac:dyDescent="0.3">
      <c r="A495" t="s">
        <v>806</v>
      </c>
      <c r="B495" s="1">
        <v>46138</v>
      </c>
      <c r="C495" t="s">
        <v>241</v>
      </c>
      <c r="D495" t="s">
        <v>38</v>
      </c>
      <c r="E495" t="s">
        <v>39</v>
      </c>
      <c r="F495" t="s">
        <v>40</v>
      </c>
      <c r="G495" t="s">
        <v>56</v>
      </c>
      <c r="H495" t="s">
        <v>64</v>
      </c>
      <c r="I495">
        <v>1</v>
      </c>
      <c r="J495">
        <v>1488.02</v>
      </c>
      <c r="K495">
        <v>0</v>
      </c>
      <c r="L495">
        <v>1488.02</v>
      </c>
      <c r="M495" t="s">
        <v>48</v>
      </c>
      <c r="N495" t="s">
        <v>71</v>
      </c>
      <c r="O495" t="s">
        <v>65</v>
      </c>
      <c r="P495" t="s">
        <v>42</v>
      </c>
    </row>
    <row r="496" spans="1:16" x14ac:dyDescent="0.3">
      <c r="A496" t="s">
        <v>807</v>
      </c>
      <c r="B496" s="1">
        <v>45450</v>
      </c>
      <c r="C496" t="s">
        <v>808</v>
      </c>
      <c r="D496" t="s">
        <v>29</v>
      </c>
      <c r="E496" t="s">
        <v>30</v>
      </c>
      <c r="F496" t="s">
        <v>31</v>
      </c>
      <c r="G496" t="s">
        <v>32</v>
      </c>
      <c r="H496" t="s">
        <v>47</v>
      </c>
      <c r="I496">
        <v>4</v>
      </c>
      <c r="J496">
        <v>3018.98</v>
      </c>
      <c r="K496">
        <v>0.2</v>
      </c>
      <c r="L496">
        <v>9660.74</v>
      </c>
      <c r="M496" t="s">
        <v>48</v>
      </c>
      <c r="N496" t="s">
        <v>58</v>
      </c>
      <c r="O496" t="s">
        <v>65</v>
      </c>
      <c r="P496" t="s">
        <v>116</v>
      </c>
    </row>
    <row r="497" spans="1:16" x14ac:dyDescent="0.3">
      <c r="A497" t="s">
        <v>809</v>
      </c>
      <c r="B497" s="1">
        <v>45303</v>
      </c>
      <c r="C497" t="s">
        <v>810</v>
      </c>
      <c r="D497" t="s">
        <v>38</v>
      </c>
      <c r="E497" t="s">
        <v>39</v>
      </c>
      <c r="F497" t="s">
        <v>40</v>
      </c>
      <c r="G497" t="s">
        <v>56</v>
      </c>
      <c r="H497" t="s">
        <v>57</v>
      </c>
      <c r="I497">
        <v>1</v>
      </c>
      <c r="J497">
        <v>1542.21</v>
      </c>
      <c r="K497">
        <v>0.05</v>
      </c>
      <c r="L497">
        <v>1465.1</v>
      </c>
      <c r="M497" t="s">
        <v>23</v>
      </c>
      <c r="O497" t="s">
        <v>65</v>
      </c>
      <c r="P497" t="s">
        <v>26</v>
      </c>
    </row>
    <row r="498" spans="1:16" x14ac:dyDescent="0.3">
      <c r="A498" t="s">
        <v>811</v>
      </c>
      <c r="B498" s="1">
        <v>45463</v>
      </c>
      <c r="C498" t="s">
        <v>208</v>
      </c>
      <c r="D498" t="s">
        <v>45</v>
      </c>
      <c r="E498" t="s">
        <v>46</v>
      </c>
      <c r="F498" t="s">
        <v>31</v>
      </c>
      <c r="G498" t="s">
        <v>32</v>
      </c>
      <c r="H498" t="s">
        <v>33</v>
      </c>
      <c r="I498">
        <v>5</v>
      </c>
      <c r="J498">
        <v>1712.11</v>
      </c>
      <c r="K498">
        <v>0.2</v>
      </c>
      <c r="L498">
        <v>6848.44</v>
      </c>
      <c r="M498" t="s">
        <v>76</v>
      </c>
      <c r="N498" t="s">
        <v>58</v>
      </c>
      <c r="O498" t="s">
        <v>65</v>
      </c>
      <c r="P498" t="s">
        <v>50</v>
      </c>
    </row>
    <row r="499" spans="1:16" x14ac:dyDescent="0.3">
      <c r="A499" t="s">
        <v>812</v>
      </c>
      <c r="B499" s="1">
        <v>45692</v>
      </c>
      <c r="C499" t="s">
        <v>137</v>
      </c>
      <c r="D499" t="s">
        <v>79</v>
      </c>
      <c r="E499" t="s">
        <v>80</v>
      </c>
      <c r="F499" t="s">
        <v>31</v>
      </c>
      <c r="G499" t="s">
        <v>81</v>
      </c>
      <c r="H499" t="s">
        <v>98</v>
      </c>
      <c r="I499">
        <v>1</v>
      </c>
      <c r="J499">
        <v>11699.86</v>
      </c>
      <c r="K499">
        <v>0.08</v>
      </c>
      <c r="L499">
        <v>10763.87</v>
      </c>
      <c r="M499" t="s">
        <v>23</v>
      </c>
      <c r="N499" t="s">
        <v>71</v>
      </c>
      <c r="O499" t="s">
        <v>65</v>
      </c>
      <c r="P499" t="s">
        <v>102</v>
      </c>
    </row>
    <row r="500" spans="1:16" x14ac:dyDescent="0.3">
      <c r="A500" t="s">
        <v>813</v>
      </c>
      <c r="B500" s="1">
        <v>45512</v>
      </c>
      <c r="C500" t="s">
        <v>672</v>
      </c>
      <c r="D500" t="s">
        <v>131</v>
      </c>
      <c r="E500" t="s">
        <v>132</v>
      </c>
      <c r="F500" t="s">
        <v>40</v>
      </c>
      <c r="G500" t="s">
        <v>81</v>
      </c>
      <c r="H500" t="s">
        <v>135</v>
      </c>
      <c r="I500">
        <v>2</v>
      </c>
      <c r="J500">
        <v>10105.34</v>
      </c>
      <c r="K500">
        <v>0.15</v>
      </c>
      <c r="L500">
        <v>17179.080000000002</v>
      </c>
      <c r="M500" t="s">
        <v>76</v>
      </c>
      <c r="N500" t="s">
        <v>49</v>
      </c>
      <c r="O500" t="s">
        <v>25</v>
      </c>
      <c r="P500" t="s">
        <v>111</v>
      </c>
    </row>
    <row r="501" spans="1:16" x14ac:dyDescent="0.3">
      <c r="A501" t="s">
        <v>814</v>
      </c>
      <c r="B501" s="1">
        <v>45565</v>
      </c>
      <c r="C501" t="s">
        <v>287</v>
      </c>
      <c r="D501" t="s">
        <v>96</v>
      </c>
      <c r="E501" t="s">
        <v>97</v>
      </c>
      <c r="F501" t="s">
        <v>31</v>
      </c>
      <c r="G501" t="s">
        <v>81</v>
      </c>
      <c r="H501" t="s">
        <v>135</v>
      </c>
      <c r="I501">
        <v>5</v>
      </c>
      <c r="J501">
        <v>1170.3399999999999</v>
      </c>
      <c r="K501">
        <v>0.08</v>
      </c>
      <c r="L501">
        <v>5383.56</v>
      </c>
      <c r="M501" t="s">
        <v>76</v>
      </c>
      <c r="N501" t="s">
        <v>34</v>
      </c>
      <c r="O501" t="s">
        <v>65</v>
      </c>
      <c r="P501" t="s">
        <v>59</v>
      </c>
    </row>
    <row r="502" spans="1:16" x14ac:dyDescent="0.3">
      <c r="A502" t="s">
        <v>815</v>
      </c>
      <c r="B502" s="1">
        <v>45403</v>
      </c>
      <c r="C502" t="s">
        <v>216</v>
      </c>
      <c r="D502" t="s">
        <v>89</v>
      </c>
      <c r="E502" t="s">
        <v>90</v>
      </c>
      <c r="F502" t="s">
        <v>20</v>
      </c>
      <c r="G502" t="s">
        <v>21</v>
      </c>
      <c r="H502" t="s">
        <v>126</v>
      </c>
      <c r="I502">
        <v>3</v>
      </c>
      <c r="J502">
        <v>698.77</v>
      </c>
      <c r="K502">
        <v>0.05</v>
      </c>
      <c r="L502">
        <v>1991.49</v>
      </c>
      <c r="M502" t="s">
        <v>23</v>
      </c>
      <c r="N502" t="s">
        <v>58</v>
      </c>
      <c r="O502" t="s">
        <v>35</v>
      </c>
      <c r="P502" t="s">
        <v>72</v>
      </c>
    </row>
    <row r="503" spans="1:16" x14ac:dyDescent="0.3">
      <c r="A503" t="s">
        <v>816</v>
      </c>
      <c r="B503" s="1">
        <v>45384</v>
      </c>
      <c r="C503" t="s">
        <v>817</v>
      </c>
      <c r="D503" t="s">
        <v>38</v>
      </c>
      <c r="E503" t="s">
        <v>39</v>
      </c>
      <c r="F503" t="s">
        <v>40</v>
      </c>
      <c r="G503" t="s">
        <v>56</v>
      </c>
      <c r="H503" t="s">
        <v>64</v>
      </c>
      <c r="I503">
        <v>2</v>
      </c>
      <c r="J503">
        <v>1483</v>
      </c>
      <c r="K503">
        <v>0.08</v>
      </c>
      <c r="L503">
        <v>2728.72</v>
      </c>
      <c r="M503" t="s">
        <v>23</v>
      </c>
      <c r="N503" t="s">
        <v>49</v>
      </c>
      <c r="O503" t="s">
        <v>65</v>
      </c>
      <c r="P503" t="s">
        <v>72</v>
      </c>
    </row>
    <row r="504" spans="1:16" x14ac:dyDescent="0.3">
      <c r="A504" t="s">
        <v>818</v>
      </c>
      <c r="B504" s="1">
        <v>45305</v>
      </c>
      <c r="C504" t="s">
        <v>37</v>
      </c>
      <c r="D504" t="s">
        <v>53</v>
      </c>
      <c r="E504" t="s">
        <v>54</v>
      </c>
      <c r="F504" t="s">
        <v>55</v>
      </c>
      <c r="G504" t="s">
        <v>32</v>
      </c>
      <c r="H504" t="s">
        <v>47</v>
      </c>
      <c r="I504">
        <v>2</v>
      </c>
      <c r="J504">
        <v>209.05</v>
      </c>
      <c r="K504">
        <v>0</v>
      </c>
      <c r="L504">
        <v>418.1</v>
      </c>
      <c r="M504" t="s">
        <v>48</v>
      </c>
      <c r="N504" t="s">
        <v>58</v>
      </c>
      <c r="O504" t="s">
        <v>25</v>
      </c>
      <c r="P504" t="s">
        <v>42</v>
      </c>
    </row>
    <row r="505" spans="1:16" x14ac:dyDescent="0.3">
      <c r="A505" t="s">
        <v>819</v>
      </c>
      <c r="B505" s="1">
        <v>45419</v>
      </c>
      <c r="C505" t="s">
        <v>424</v>
      </c>
      <c r="D505" t="s">
        <v>89</v>
      </c>
      <c r="E505" t="s">
        <v>90</v>
      </c>
      <c r="F505" t="s">
        <v>20</v>
      </c>
      <c r="G505" t="s">
        <v>32</v>
      </c>
      <c r="H505" t="s">
        <v>75</v>
      </c>
      <c r="I505">
        <v>2</v>
      </c>
      <c r="J505">
        <v>715.87</v>
      </c>
      <c r="K505">
        <v>0.1</v>
      </c>
      <c r="L505">
        <v>1288.57</v>
      </c>
      <c r="M505" t="s">
        <v>76</v>
      </c>
      <c r="N505" t="s">
        <v>49</v>
      </c>
      <c r="O505" t="s">
        <v>65</v>
      </c>
      <c r="P505" t="s">
        <v>111</v>
      </c>
    </row>
    <row r="506" spans="1:16" x14ac:dyDescent="0.3">
      <c r="A506" t="s">
        <v>820</v>
      </c>
      <c r="B506" s="1">
        <v>45455</v>
      </c>
      <c r="C506" t="s">
        <v>397</v>
      </c>
      <c r="D506" t="s">
        <v>53</v>
      </c>
      <c r="E506" t="s">
        <v>54</v>
      </c>
      <c r="F506" t="s">
        <v>55</v>
      </c>
      <c r="G506" t="s">
        <v>56</v>
      </c>
      <c r="H506" t="s">
        <v>101</v>
      </c>
      <c r="I506">
        <v>3</v>
      </c>
      <c r="J506">
        <v>206.11</v>
      </c>
      <c r="K506">
        <v>0</v>
      </c>
      <c r="L506">
        <v>618.33000000000004</v>
      </c>
      <c r="M506" t="s">
        <v>76</v>
      </c>
      <c r="N506" t="s">
        <v>24</v>
      </c>
      <c r="O506" t="s">
        <v>65</v>
      </c>
      <c r="P506" t="s">
        <v>72</v>
      </c>
    </row>
    <row r="507" spans="1:16" x14ac:dyDescent="0.3">
      <c r="A507" t="s">
        <v>821</v>
      </c>
      <c r="B507" s="1">
        <v>45543</v>
      </c>
      <c r="C507" t="s">
        <v>723</v>
      </c>
      <c r="D507" t="s">
        <v>96</v>
      </c>
      <c r="E507" t="s">
        <v>97</v>
      </c>
      <c r="F507" t="s">
        <v>31</v>
      </c>
      <c r="G507" t="s">
        <v>81</v>
      </c>
      <c r="H507" t="s">
        <v>82</v>
      </c>
      <c r="I507">
        <v>1</v>
      </c>
      <c r="J507">
        <v>1226.6400000000001</v>
      </c>
      <c r="K507">
        <v>0.03</v>
      </c>
      <c r="L507">
        <v>1189.8399999999999</v>
      </c>
      <c r="M507" t="s">
        <v>23</v>
      </c>
      <c r="N507" t="s">
        <v>24</v>
      </c>
      <c r="O507" t="s">
        <v>65</v>
      </c>
      <c r="P507" t="s">
        <v>72</v>
      </c>
    </row>
    <row r="508" spans="1:16" x14ac:dyDescent="0.3">
      <c r="A508" t="s">
        <v>822</v>
      </c>
      <c r="B508" s="1">
        <v>45412</v>
      </c>
      <c r="C508" t="s">
        <v>190</v>
      </c>
      <c r="D508" t="s">
        <v>121</v>
      </c>
      <c r="E508" t="s">
        <v>122</v>
      </c>
      <c r="F508" t="s">
        <v>55</v>
      </c>
      <c r="G508" t="s">
        <v>56</v>
      </c>
      <c r="H508" t="s">
        <v>101</v>
      </c>
      <c r="I508">
        <v>2</v>
      </c>
      <c r="J508">
        <v>455.69</v>
      </c>
      <c r="K508">
        <v>0.1</v>
      </c>
      <c r="L508">
        <v>820.24</v>
      </c>
      <c r="M508" t="s">
        <v>76</v>
      </c>
      <c r="N508" t="s">
        <v>58</v>
      </c>
      <c r="O508" t="s">
        <v>65</v>
      </c>
      <c r="P508" t="s">
        <v>72</v>
      </c>
    </row>
    <row r="509" spans="1:16" x14ac:dyDescent="0.3">
      <c r="A509" t="s">
        <v>823</v>
      </c>
      <c r="B509" s="1">
        <v>46173</v>
      </c>
      <c r="C509" t="s">
        <v>175</v>
      </c>
      <c r="D509" t="s">
        <v>105</v>
      </c>
      <c r="E509" t="s">
        <v>106</v>
      </c>
      <c r="F509" t="s">
        <v>40</v>
      </c>
      <c r="G509" t="s">
        <v>32</v>
      </c>
      <c r="H509" t="s">
        <v>68</v>
      </c>
      <c r="I509">
        <v>5</v>
      </c>
      <c r="J509">
        <v>7176.06</v>
      </c>
      <c r="K509">
        <v>0.08</v>
      </c>
      <c r="L509">
        <v>33009.879999999997</v>
      </c>
      <c r="M509" t="s">
        <v>23</v>
      </c>
      <c r="N509" t="s">
        <v>34</v>
      </c>
      <c r="O509" t="s">
        <v>65</v>
      </c>
      <c r="P509" t="s">
        <v>42</v>
      </c>
    </row>
    <row r="510" spans="1:16" x14ac:dyDescent="0.3">
      <c r="A510" t="s">
        <v>824</v>
      </c>
      <c r="B510" s="1">
        <v>45698</v>
      </c>
      <c r="C510" t="s">
        <v>95</v>
      </c>
      <c r="D510" t="s">
        <v>79</v>
      </c>
      <c r="E510" t="s">
        <v>80</v>
      </c>
      <c r="F510" t="s">
        <v>31</v>
      </c>
      <c r="G510" t="s">
        <v>32</v>
      </c>
      <c r="H510" t="s">
        <v>47</v>
      </c>
      <c r="I510">
        <v>5</v>
      </c>
      <c r="J510">
        <v>11594.73</v>
      </c>
      <c r="K510">
        <v>0</v>
      </c>
      <c r="L510">
        <v>57973.65</v>
      </c>
      <c r="M510" t="s">
        <v>23</v>
      </c>
      <c r="N510" t="s">
        <v>58</v>
      </c>
      <c r="O510" t="s">
        <v>65</v>
      </c>
      <c r="P510" t="s">
        <v>59</v>
      </c>
    </row>
    <row r="511" spans="1:16" x14ac:dyDescent="0.3">
      <c r="A511" t="s">
        <v>825</v>
      </c>
      <c r="B511" s="1">
        <v>45838</v>
      </c>
      <c r="C511" t="s">
        <v>184</v>
      </c>
      <c r="D511" t="s">
        <v>131</v>
      </c>
      <c r="E511" t="s">
        <v>132</v>
      </c>
      <c r="F511" t="s">
        <v>40</v>
      </c>
      <c r="G511" t="s">
        <v>81</v>
      </c>
      <c r="H511" t="s">
        <v>82</v>
      </c>
      <c r="I511">
        <v>1</v>
      </c>
      <c r="J511">
        <v>10164.1</v>
      </c>
      <c r="K511">
        <v>0.2</v>
      </c>
      <c r="L511">
        <v>8131.28</v>
      </c>
      <c r="M511" t="s">
        <v>48</v>
      </c>
      <c r="N511" t="s">
        <v>49</v>
      </c>
      <c r="O511" t="s">
        <v>65</v>
      </c>
      <c r="P511" t="s">
        <v>42</v>
      </c>
    </row>
    <row r="512" spans="1:16" x14ac:dyDescent="0.3">
      <c r="A512" t="s">
        <v>826</v>
      </c>
      <c r="B512" s="1">
        <v>45734</v>
      </c>
      <c r="C512" t="s">
        <v>291</v>
      </c>
      <c r="D512" t="s">
        <v>170</v>
      </c>
      <c r="E512" t="s">
        <v>171</v>
      </c>
      <c r="F512" t="s">
        <v>31</v>
      </c>
      <c r="G512" t="s">
        <v>81</v>
      </c>
      <c r="H512" t="s">
        <v>135</v>
      </c>
      <c r="I512">
        <v>4</v>
      </c>
      <c r="J512">
        <v>60689.8</v>
      </c>
      <c r="K512">
        <v>0.2</v>
      </c>
      <c r="L512">
        <v>194207.35999999999</v>
      </c>
      <c r="M512" t="s">
        <v>23</v>
      </c>
      <c r="N512" t="s">
        <v>58</v>
      </c>
      <c r="O512" t="s">
        <v>65</v>
      </c>
      <c r="P512" t="s">
        <v>102</v>
      </c>
    </row>
    <row r="513" spans="1:16" x14ac:dyDescent="0.3">
      <c r="A513" t="s">
        <v>827</v>
      </c>
      <c r="B513" s="1">
        <v>45687</v>
      </c>
      <c r="C513" t="s">
        <v>828</v>
      </c>
      <c r="D513" t="s">
        <v>18</v>
      </c>
      <c r="E513" t="s">
        <v>19</v>
      </c>
      <c r="F513" t="s">
        <v>20</v>
      </c>
      <c r="G513" t="s">
        <v>21</v>
      </c>
      <c r="H513" t="s">
        <v>41</v>
      </c>
      <c r="I513">
        <v>1</v>
      </c>
      <c r="J513">
        <v>864.19</v>
      </c>
      <c r="K513">
        <v>0.15</v>
      </c>
      <c r="L513">
        <v>734.56</v>
      </c>
      <c r="M513" t="s">
        <v>48</v>
      </c>
      <c r="N513" t="s">
        <v>24</v>
      </c>
      <c r="O513" t="s">
        <v>65</v>
      </c>
      <c r="P513" t="s">
        <v>111</v>
      </c>
    </row>
    <row r="514" spans="1:16" x14ac:dyDescent="0.3">
      <c r="A514" t="s">
        <v>829</v>
      </c>
      <c r="B514" s="1">
        <v>46101</v>
      </c>
      <c r="C514" t="s">
        <v>466</v>
      </c>
      <c r="D514" t="s">
        <v>53</v>
      </c>
      <c r="E514" t="s">
        <v>54</v>
      </c>
      <c r="F514" t="s">
        <v>55</v>
      </c>
      <c r="G514" t="s">
        <v>21</v>
      </c>
      <c r="H514" t="s">
        <v>126</v>
      </c>
      <c r="I514">
        <v>2</v>
      </c>
      <c r="J514">
        <v>212.08</v>
      </c>
      <c r="K514">
        <v>0</v>
      </c>
      <c r="L514">
        <v>424.16</v>
      </c>
      <c r="M514" t="s">
        <v>23</v>
      </c>
      <c r="N514" t="s">
        <v>71</v>
      </c>
      <c r="O514" t="s">
        <v>65</v>
      </c>
      <c r="P514" t="s">
        <v>59</v>
      </c>
    </row>
    <row r="515" spans="1:16" x14ac:dyDescent="0.3">
      <c r="A515" t="s">
        <v>830</v>
      </c>
      <c r="B515" s="1">
        <v>45626</v>
      </c>
      <c r="C515" t="s">
        <v>556</v>
      </c>
      <c r="D515" t="s">
        <v>45</v>
      </c>
      <c r="E515" t="s">
        <v>46</v>
      </c>
      <c r="F515" t="s">
        <v>31</v>
      </c>
      <c r="G515" t="s">
        <v>56</v>
      </c>
      <c r="H515" t="s">
        <v>123</v>
      </c>
      <c r="I515">
        <v>2</v>
      </c>
      <c r="J515">
        <v>1910.34</v>
      </c>
      <c r="K515">
        <v>0.08</v>
      </c>
      <c r="L515">
        <v>3515.03</v>
      </c>
      <c r="M515" t="s">
        <v>48</v>
      </c>
      <c r="N515" t="s">
        <v>24</v>
      </c>
      <c r="O515" t="s">
        <v>65</v>
      </c>
      <c r="P515" t="s">
        <v>42</v>
      </c>
    </row>
    <row r="516" spans="1:16" x14ac:dyDescent="0.3">
      <c r="A516" t="s">
        <v>831</v>
      </c>
      <c r="B516" s="1">
        <v>45968</v>
      </c>
      <c r="C516" t="s">
        <v>291</v>
      </c>
      <c r="D516" t="s">
        <v>38</v>
      </c>
      <c r="E516" t="s">
        <v>39</v>
      </c>
      <c r="F516" t="s">
        <v>40</v>
      </c>
      <c r="G516" t="s">
        <v>56</v>
      </c>
      <c r="H516" t="s">
        <v>123</v>
      </c>
      <c r="I516">
        <v>1</v>
      </c>
      <c r="J516">
        <v>1600.77</v>
      </c>
      <c r="K516">
        <v>0.03</v>
      </c>
      <c r="L516">
        <v>1552.75</v>
      </c>
      <c r="M516" t="s">
        <v>48</v>
      </c>
      <c r="N516" t="s">
        <v>34</v>
      </c>
      <c r="O516" t="s">
        <v>35</v>
      </c>
      <c r="P516" t="s">
        <v>50</v>
      </c>
    </row>
    <row r="517" spans="1:16" x14ac:dyDescent="0.3">
      <c r="A517" t="s">
        <v>832</v>
      </c>
      <c r="B517" s="1">
        <v>45829</v>
      </c>
      <c r="C517" t="s">
        <v>169</v>
      </c>
      <c r="D517" t="s">
        <v>62</v>
      </c>
      <c r="E517" t="s">
        <v>63</v>
      </c>
      <c r="F517" t="s">
        <v>31</v>
      </c>
      <c r="G517" t="s">
        <v>32</v>
      </c>
      <c r="H517" t="s">
        <v>68</v>
      </c>
      <c r="I517">
        <v>2</v>
      </c>
      <c r="J517">
        <v>2590.7199999999998</v>
      </c>
      <c r="K517">
        <v>0.05</v>
      </c>
      <c r="L517">
        <v>4922.37</v>
      </c>
      <c r="M517" t="s">
        <v>48</v>
      </c>
      <c r="N517" t="s">
        <v>71</v>
      </c>
      <c r="O517" t="s">
        <v>65</v>
      </c>
      <c r="P517" t="s">
        <v>42</v>
      </c>
    </row>
    <row r="518" spans="1:16" x14ac:dyDescent="0.3">
      <c r="A518" t="s">
        <v>833</v>
      </c>
      <c r="B518" s="1">
        <v>45474</v>
      </c>
      <c r="C518" t="s">
        <v>570</v>
      </c>
      <c r="D518" t="s">
        <v>53</v>
      </c>
      <c r="E518" t="s">
        <v>54</v>
      </c>
      <c r="F518" t="s">
        <v>55</v>
      </c>
      <c r="G518" t="s">
        <v>56</v>
      </c>
      <c r="H518" t="s">
        <v>101</v>
      </c>
      <c r="I518">
        <v>2</v>
      </c>
      <c r="J518">
        <v>219.32</v>
      </c>
      <c r="K518">
        <v>0.08</v>
      </c>
      <c r="L518">
        <v>403.55</v>
      </c>
      <c r="M518" t="s">
        <v>48</v>
      </c>
      <c r="O518" t="s">
        <v>35</v>
      </c>
      <c r="P518" t="s">
        <v>111</v>
      </c>
    </row>
    <row r="519" spans="1:16" x14ac:dyDescent="0.3">
      <c r="A519" t="s">
        <v>834</v>
      </c>
      <c r="B519" s="1">
        <v>45582</v>
      </c>
      <c r="C519" t="s">
        <v>587</v>
      </c>
      <c r="D519" t="s">
        <v>45</v>
      </c>
      <c r="E519" t="s">
        <v>46</v>
      </c>
      <c r="F519" t="s">
        <v>31</v>
      </c>
      <c r="G519" t="s">
        <v>56</v>
      </c>
      <c r="H519" t="s">
        <v>123</v>
      </c>
      <c r="I519">
        <v>2</v>
      </c>
      <c r="J519">
        <v>1827.77</v>
      </c>
      <c r="K519">
        <v>0.1</v>
      </c>
      <c r="L519">
        <v>3289.99</v>
      </c>
      <c r="M519" t="s">
        <v>48</v>
      </c>
      <c r="N519" t="s">
        <v>58</v>
      </c>
      <c r="O519" t="s">
        <v>65</v>
      </c>
      <c r="P519" t="s">
        <v>26</v>
      </c>
    </row>
    <row r="520" spans="1:16" x14ac:dyDescent="0.3">
      <c r="A520" t="s">
        <v>835</v>
      </c>
      <c r="B520" s="1">
        <v>45592</v>
      </c>
      <c r="C520" t="s">
        <v>836</v>
      </c>
      <c r="D520" t="s">
        <v>176</v>
      </c>
      <c r="E520" t="s">
        <v>177</v>
      </c>
      <c r="F520" t="s">
        <v>31</v>
      </c>
      <c r="G520" t="s">
        <v>56</v>
      </c>
      <c r="H520" t="s">
        <v>101</v>
      </c>
      <c r="I520">
        <v>1</v>
      </c>
      <c r="J520">
        <v>2338.23</v>
      </c>
      <c r="K520">
        <v>0.05</v>
      </c>
      <c r="L520">
        <v>2221.3200000000002</v>
      </c>
      <c r="M520" t="s">
        <v>23</v>
      </c>
      <c r="N520" t="s">
        <v>34</v>
      </c>
      <c r="O520" t="s">
        <v>25</v>
      </c>
      <c r="P520" t="s">
        <v>72</v>
      </c>
    </row>
    <row r="521" spans="1:16" x14ac:dyDescent="0.3">
      <c r="A521" t="s">
        <v>837</v>
      </c>
      <c r="B521" s="1">
        <v>45440</v>
      </c>
      <c r="C521" t="s">
        <v>115</v>
      </c>
      <c r="D521" t="s">
        <v>105</v>
      </c>
      <c r="E521" t="s">
        <v>106</v>
      </c>
      <c r="F521" t="s">
        <v>40</v>
      </c>
      <c r="G521" t="s">
        <v>21</v>
      </c>
      <c r="H521" t="s">
        <v>41</v>
      </c>
      <c r="I521">
        <v>4</v>
      </c>
      <c r="J521">
        <v>6635.67</v>
      </c>
      <c r="K521">
        <v>0.05</v>
      </c>
      <c r="L521">
        <v>25215.55</v>
      </c>
      <c r="M521" t="s">
        <v>76</v>
      </c>
      <c r="N521" t="s">
        <v>24</v>
      </c>
      <c r="O521" t="s">
        <v>65</v>
      </c>
      <c r="P521" t="s">
        <v>102</v>
      </c>
    </row>
    <row r="522" spans="1:16" x14ac:dyDescent="0.3">
      <c r="A522" t="s">
        <v>838</v>
      </c>
      <c r="B522" s="1">
        <v>45322</v>
      </c>
      <c r="C522" t="s">
        <v>839</v>
      </c>
      <c r="D522" t="s">
        <v>131</v>
      </c>
      <c r="E522" t="s">
        <v>132</v>
      </c>
      <c r="F522" t="s">
        <v>40</v>
      </c>
      <c r="G522" t="s">
        <v>81</v>
      </c>
      <c r="H522" t="s">
        <v>82</v>
      </c>
      <c r="I522">
        <v>5</v>
      </c>
      <c r="J522">
        <v>9586.39</v>
      </c>
      <c r="K522">
        <v>0.08</v>
      </c>
      <c r="L522">
        <v>44097.39</v>
      </c>
      <c r="M522" t="s">
        <v>23</v>
      </c>
      <c r="N522" t="s">
        <v>24</v>
      </c>
      <c r="O522" t="s">
        <v>35</v>
      </c>
      <c r="P522" t="s">
        <v>102</v>
      </c>
    </row>
    <row r="523" spans="1:16" x14ac:dyDescent="0.3">
      <c r="A523" t="s">
        <v>840</v>
      </c>
      <c r="B523" s="1">
        <v>45792</v>
      </c>
      <c r="C523" t="s">
        <v>206</v>
      </c>
      <c r="D523" t="s">
        <v>89</v>
      </c>
      <c r="E523" t="s">
        <v>90</v>
      </c>
      <c r="F523" t="s">
        <v>20</v>
      </c>
      <c r="G523" t="s">
        <v>32</v>
      </c>
      <c r="H523" t="s">
        <v>68</v>
      </c>
      <c r="I523">
        <v>3</v>
      </c>
      <c r="J523">
        <v>674.07</v>
      </c>
      <c r="K523">
        <v>0.08</v>
      </c>
      <c r="L523">
        <v>1860.43</v>
      </c>
      <c r="M523" t="s">
        <v>76</v>
      </c>
      <c r="N523" t="s">
        <v>49</v>
      </c>
      <c r="O523" t="s">
        <v>65</v>
      </c>
      <c r="P523" t="s">
        <v>102</v>
      </c>
    </row>
    <row r="524" spans="1:16" x14ac:dyDescent="0.3">
      <c r="A524" t="s">
        <v>841</v>
      </c>
      <c r="B524" s="1">
        <v>45884</v>
      </c>
      <c r="C524" t="s">
        <v>599</v>
      </c>
      <c r="D524" t="s">
        <v>170</v>
      </c>
      <c r="E524" t="s">
        <v>171</v>
      </c>
      <c r="F524" t="s">
        <v>31</v>
      </c>
      <c r="G524" t="s">
        <v>81</v>
      </c>
      <c r="H524" t="s">
        <v>82</v>
      </c>
      <c r="I524">
        <v>4</v>
      </c>
      <c r="J524">
        <v>60577.73</v>
      </c>
      <c r="K524">
        <v>0.2</v>
      </c>
      <c r="L524">
        <v>193848.74</v>
      </c>
      <c r="M524" t="s">
        <v>23</v>
      </c>
      <c r="N524" t="s">
        <v>71</v>
      </c>
      <c r="O524" t="s">
        <v>35</v>
      </c>
      <c r="P524" t="s">
        <v>59</v>
      </c>
    </row>
    <row r="525" spans="1:16" x14ac:dyDescent="0.3">
      <c r="A525" t="s">
        <v>842</v>
      </c>
      <c r="B525" s="1">
        <v>45882</v>
      </c>
      <c r="C525" t="s">
        <v>623</v>
      </c>
      <c r="D525" t="s">
        <v>38</v>
      </c>
      <c r="E525" t="s">
        <v>39</v>
      </c>
      <c r="F525" t="s">
        <v>40</v>
      </c>
      <c r="G525" t="s">
        <v>81</v>
      </c>
      <c r="H525" t="s">
        <v>135</v>
      </c>
      <c r="I525">
        <v>3</v>
      </c>
      <c r="J525">
        <v>1606</v>
      </c>
      <c r="K525">
        <v>0.15</v>
      </c>
      <c r="L525">
        <v>4095.3</v>
      </c>
      <c r="M525" t="s">
        <v>23</v>
      </c>
      <c r="N525" t="s">
        <v>34</v>
      </c>
      <c r="O525" t="s">
        <v>35</v>
      </c>
      <c r="P525" t="s">
        <v>111</v>
      </c>
    </row>
    <row r="526" spans="1:16" x14ac:dyDescent="0.3">
      <c r="A526" t="s">
        <v>843</v>
      </c>
      <c r="B526" s="1">
        <v>45668</v>
      </c>
      <c r="C526" t="s">
        <v>264</v>
      </c>
      <c r="D526" t="s">
        <v>53</v>
      </c>
      <c r="E526" t="s">
        <v>54</v>
      </c>
      <c r="F526" t="s">
        <v>55</v>
      </c>
      <c r="G526" t="s">
        <v>56</v>
      </c>
      <c r="H526" t="s">
        <v>57</v>
      </c>
      <c r="I526">
        <v>2</v>
      </c>
      <c r="J526">
        <v>205.95</v>
      </c>
      <c r="K526">
        <v>1.25</v>
      </c>
      <c r="L526">
        <v>329.52</v>
      </c>
      <c r="M526" t="s">
        <v>76</v>
      </c>
      <c r="N526" t="s">
        <v>34</v>
      </c>
      <c r="O526" t="s">
        <v>65</v>
      </c>
      <c r="P526" t="s">
        <v>116</v>
      </c>
    </row>
    <row r="527" spans="1:16" x14ac:dyDescent="0.3">
      <c r="A527" t="s">
        <v>844</v>
      </c>
      <c r="B527" s="1">
        <v>45758</v>
      </c>
      <c r="C527" t="s">
        <v>845</v>
      </c>
      <c r="D527" t="s">
        <v>85</v>
      </c>
      <c r="E527" t="s">
        <v>86</v>
      </c>
      <c r="F527" t="s">
        <v>20</v>
      </c>
      <c r="G527" t="s">
        <v>81</v>
      </c>
      <c r="H527" t="s">
        <v>82</v>
      </c>
      <c r="I527">
        <v>3</v>
      </c>
      <c r="J527">
        <v>1722.84</v>
      </c>
      <c r="K527">
        <v>0.05</v>
      </c>
      <c r="L527">
        <v>4910.09</v>
      </c>
      <c r="M527" t="s">
        <v>23</v>
      </c>
      <c r="N527" t="s">
        <v>49</v>
      </c>
      <c r="O527" t="s">
        <v>35</v>
      </c>
      <c r="P527" t="s">
        <v>72</v>
      </c>
    </row>
    <row r="528" spans="1:16" x14ac:dyDescent="0.3">
      <c r="A528" t="s">
        <v>846</v>
      </c>
      <c r="B528" s="1">
        <v>45351</v>
      </c>
      <c r="C528" t="s">
        <v>257</v>
      </c>
      <c r="D528" t="s">
        <v>38</v>
      </c>
      <c r="E528" t="s">
        <v>39</v>
      </c>
      <c r="F528" t="s">
        <v>40</v>
      </c>
      <c r="G528" t="s">
        <v>56</v>
      </c>
      <c r="H528" t="s">
        <v>64</v>
      </c>
      <c r="I528">
        <v>5</v>
      </c>
      <c r="J528">
        <v>1640.71</v>
      </c>
      <c r="K528">
        <v>0.08</v>
      </c>
      <c r="L528">
        <v>7547.27</v>
      </c>
      <c r="M528" t="s">
        <v>76</v>
      </c>
      <c r="N528" t="s">
        <v>58</v>
      </c>
      <c r="O528" t="s">
        <v>65</v>
      </c>
      <c r="P528" t="s">
        <v>42</v>
      </c>
    </row>
    <row r="529" spans="1:16" x14ac:dyDescent="0.3">
      <c r="A529" t="s">
        <v>847</v>
      </c>
      <c r="B529" s="1">
        <v>45774</v>
      </c>
      <c r="C529" t="s">
        <v>848</v>
      </c>
      <c r="D529" t="s">
        <v>29</v>
      </c>
      <c r="E529" t="s">
        <v>30</v>
      </c>
      <c r="F529" t="s">
        <v>31</v>
      </c>
      <c r="G529" t="s">
        <v>81</v>
      </c>
      <c r="H529" t="s">
        <v>135</v>
      </c>
      <c r="I529">
        <v>5</v>
      </c>
      <c r="J529">
        <v>3417.24</v>
      </c>
      <c r="K529">
        <v>0.2</v>
      </c>
      <c r="L529">
        <v>13668.96</v>
      </c>
      <c r="M529" t="s">
        <v>48</v>
      </c>
      <c r="N529" t="s">
        <v>24</v>
      </c>
      <c r="O529" t="s">
        <v>65</v>
      </c>
      <c r="P529" t="s">
        <v>116</v>
      </c>
    </row>
    <row r="530" spans="1:16" x14ac:dyDescent="0.3">
      <c r="A530" t="s">
        <v>849</v>
      </c>
      <c r="B530" s="1">
        <v>46114</v>
      </c>
      <c r="C530" t="s">
        <v>583</v>
      </c>
      <c r="D530" t="s">
        <v>89</v>
      </c>
      <c r="E530" t="s">
        <v>90</v>
      </c>
      <c r="F530" t="s">
        <v>20</v>
      </c>
      <c r="G530" t="s">
        <v>56</v>
      </c>
      <c r="H530" t="s">
        <v>57</v>
      </c>
      <c r="I530">
        <v>2</v>
      </c>
      <c r="J530">
        <v>706.94</v>
      </c>
      <c r="K530">
        <v>0.15</v>
      </c>
      <c r="L530">
        <v>1201.8</v>
      </c>
      <c r="M530" t="s">
        <v>23</v>
      </c>
      <c r="N530" t="s">
        <v>24</v>
      </c>
      <c r="O530" t="s">
        <v>413</v>
      </c>
      <c r="P530" t="s">
        <v>59</v>
      </c>
    </row>
    <row r="531" spans="1:16" x14ac:dyDescent="0.3">
      <c r="A531" t="s">
        <v>850</v>
      </c>
      <c r="B531" s="1">
        <v>45298</v>
      </c>
      <c r="C531" t="s">
        <v>675</v>
      </c>
      <c r="D531" t="s">
        <v>85</v>
      </c>
      <c r="E531" t="s">
        <v>86</v>
      </c>
      <c r="F531" t="s">
        <v>20</v>
      </c>
      <c r="G531" t="s">
        <v>21</v>
      </c>
      <c r="H531" t="s">
        <v>22</v>
      </c>
      <c r="I531">
        <v>2</v>
      </c>
      <c r="J531">
        <v>1710.1</v>
      </c>
      <c r="K531">
        <v>0.03</v>
      </c>
      <c r="L531">
        <v>3317.59</v>
      </c>
      <c r="M531" t="s">
        <v>48</v>
      </c>
      <c r="N531" t="s">
        <v>58</v>
      </c>
      <c r="O531" t="s">
        <v>65</v>
      </c>
      <c r="P531" t="s">
        <v>102</v>
      </c>
    </row>
    <row r="532" spans="1:16" x14ac:dyDescent="0.3">
      <c r="A532" t="s">
        <v>851</v>
      </c>
      <c r="B532" s="1">
        <v>45427</v>
      </c>
      <c r="C532" t="s">
        <v>245</v>
      </c>
      <c r="D532" t="s">
        <v>105</v>
      </c>
      <c r="E532" t="s">
        <v>106</v>
      </c>
      <c r="F532" t="s">
        <v>40</v>
      </c>
      <c r="G532" t="s">
        <v>81</v>
      </c>
      <c r="H532" t="s">
        <v>135</v>
      </c>
      <c r="I532">
        <v>4</v>
      </c>
      <c r="J532">
        <v>7001.97</v>
      </c>
      <c r="K532">
        <v>0.1</v>
      </c>
      <c r="L532">
        <v>25207.09</v>
      </c>
      <c r="M532" t="s">
        <v>48</v>
      </c>
      <c r="N532" t="s">
        <v>71</v>
      </c>
      <c r="O532" t="s">
        <v>35</v>
      </c>
      <c r="P532" t="s">
        <v>111</v>
      </c>
    </row>
    <row r="533" spans="1:16" x14ac:dyDescent="0.3">
      <c r="A533" t="s">
        <v>852</v>
      </c>
      <c r="B533" s="1">
        <v>45802</v>
      </c>
      <c r="C533" t="s">
        <v>391</v>
      </c>
      <c r="D533" t="s">
        <v>176</v>
      </c>
      <c r="E533" t="s">
        <v>177</v>
      </c>
      <c r="F533" t="s">
        <v>31</v>
      </c>
      <c r="G533" t="s">
        <v>81</v>
      </c>
      <c r="H533" t="s">
        <v>135</v>
      </c>
      <c r="I533">
        <v>1</v>
      </c>
      <c r="J533">
        <v>2372.7800000000002</v>
      </c>
      <c r="K533">
        <v>0</v>
      </c>
      <c r="L533">
        <v>2372.7800000000002</v>
      </c>
      <c r="M533" t="s">
        <v>23</v>
      </c>
      <c r="N533" t="s">
        <v>34</v>
      </c>
      <c r="O533" t="s">
        <v>65</v>
      </c>
      <c r="P533" t="s">
        <v>102</v>
      </c>
    </row>
    <row r="534" spans="1:16" x14ac:dyDescent="0.3">
      <c r="A534" t="s">
        <v>853</v>
      </c>
      <c r="B534" s="1">
        <v>45320</v>
      </c>
      <c r="C534" t="s">
        <v>357</v>
      </c>
      <c r="D534" t="s">
        <v>170</v>
      </c>
      <c r="E534" t="s">
        <v>171</v>
      </c>
      <c r="F534" t="s">
        <v>31</v>
      </c>
      <c r="G534" t="s">
        <v>81</v>
      </c>
      <c r="H534" t="s">
        <v>87</v>
      </c>
      <c r="I534">
        <v>4</v>
      </c>
      <c r="J534">
        <v>68011.41</v>
      </c>
      <c r="K534">
        <v>0.03</v>
      </c>
      <c r="L534">
        <v>263884.27</v>
      </c>
      <c r="M534" t="s">
        <v>23</v>
      </c>
      <c r="N534" t="s">
        <v>58</v>
      </c>
      <c r="O534" t="s">
        <v>65</v>
      </c>
      <c r="P534" t="s">
        <v>26</v>
      </c>
    </row>
    <row r="535" spans="1:16" x14ac:dyDescent="0.3">
      <c r="A535" t="s">
        <v>854</v>
      </c>
      <c r="B535" s="1">
        <v>45977</v>
      </c>
      <c r="C535" t="s">
        <v>855</v>
      </c>
      <c r="D535" t="s">
        <v>96</v>
      </c>
      <c r="E535" t="s">
        <v>97</v>
      </c>
      <c r="F535" t="s">
        <v>31</v>
      </c>
      <c r="G535" t="s">
        <v>32</v>
      </c>
      <c r="H535" t="s">
        <v>33</v>
      </c>
      <c r="I535">
        <v>1</v>
      </c>
      <c r="J535">
        <v>1161.8399999999999</v>
      </c>
      <c r="K535">
        <v>0.1</v>
      </c>
      <c r="L535">
        <v>1045.6600000000001</v>
      </c>
      <c r="M535" t="s">
        <v>48</v>
      </c>
      <c r="N535" t="s">
        <v>34</v>
      </c>
      <c r="O535" t="s">
        <v>35</v>
      </c>
      <c r="P535" t="s">
        <v>59</v>
      </c>
    </row>
    <row r="536" spans="1:16" x14ac:dyDescent="0.3">
      <c r="A536" t="s">
        <v>856</v>
      </c>
      <c r="B536" s="1">
        <v>45750</v>
      </c>
      <c r="C536" t="s">
        <v>528</v>
      </c>
      <c r="D536" t="s">
        <v>121</v>
      </c>
      <c r="E536" t="s">
        <v>122</v>
      </c>
      <c r="F536" t="s">
        <v>55</v>
      </c>
      <c r="G536" t="s">
        <v>32</v>
      </c>
      <c r="H536" t="s">
        <v>75</v>
      </c>
      <c r="I536">
        <v>3</v>
      </c>
      <c r="J536">
        <v>453.79</v>
      </c>
      <c r="K536">
        <v>0.08</v>
      </c>
      <c r="L536">
        <v>1252.46</v>
      </c>
      <c r="M536" t="s">
        <v>76</v>
      </c>
      <c r="N536" t="s">
        <v>34</v>
      </c>
      <c r="O536" t="s">
        <v>35</v>
      </c>
      <c r="P536" t="s">
        <v>59</v>
      </c>
    </row>
    <row r="537" spans="1:16" x14ac:dyDescent="0.3">
      <c r="A537" t="s">
        <v>857</v>
      </c>
      <c r="B537" s="1">
        <v>46121</v>
      </c>
      <c r="C537" t="s">
        <v>257</v>
      </c>
      <c r="D537" t="s">
        <v>45</v>
      </c>
      <c r="E537" t="s">
        <v>46</v>
      </c>
      <c r="F537" t="s">
        <v>31</v>
      </c>
      <c r="G537" t="s">
        <v>32</v>
      </c>
      <c r="H537" t="s">
        <v>75</v>
      </c>
      <c r="I537">
        <v>2</v>
      </c>
      <c r="J537">
        <v>1783.34</v>
      </c>
      <c r="K537">
        <v>0.08</v>
      </c>
      <c r="L537">
        <v>3281.35</v>
      </c>
      <c r="M537" t="s">
        <v>23</v>
      </c>
      <c r="N537" t="s">
        <v>34</v>
      </c>
      <c r="O537" t="s">
        <v>25</v>
      </c>
      <c r="P537" t="s">
        <v>116</v>
      </c>
    </row>
    <row r="538" spans="1:16" x14ac:dyDescent="0.3">
      <c r="A538" t="s">
        <v>858</v>
      </c>
      <c r="B538" s="1">
        <v>45791</v>
      </c>
      <c r="C538" t="s">
        <v>379</v>
      </c>
      <c r="D538" t="s">
        <v>29</v>
      </c>
      <c r="E538" t="s">
        <v>30</v>
      </c>
      <c r="F538" t="s">
        <v>31</v>
      </c>
      <c r="G538" t="s">
        <v>81</v>
      </c>
      <c r="H538" t="s">
        <v>135</v>
      </c>
      <c r="I538">
        <v>4</v>
      </c>
      <c r="J538">
        <v>3326.02</v>
      </c>
      <c r="K538">
        <v>0.03</v>
      </c>
      <c r="L538">
        <v>12904.96</v>
      </c>
      <c r="M538" t="s">
        <v>23</v>
      </c>
      <c r="N538" t="s">
        <v>49</v>
      </c>
      <c r="O538" t="s">
        <v>65</v>
      </c>
      <c r="P538" t="s">
        <v>42</v>
      </c>
    </row>
    <row r="539" spans="1:16" x14ac:dyDescent="0.3">
      <c r="A539" t="s">
        <v>859</v>
      </c>
      <c r="B539" s="1">
        <v>45828</v>
      </c>
      <c r="C539" t="s">
        <v>181</v>
      </c>
      <c r="D539" t="s">
        <v>89</v>
      </c>
      <c r="E539" t="s">
        <v>90</v>
      </c>
      <c r="F539" t="s">
        <v>20</v>
      </c>
      <c r="G539" t="s">
        <v>81</v>
      </c>
      <c r="H539" t="s">
        <v>98</v>
      </c>
      <c r="I539">
        <v>5</v>
      </c>
      <c r="J539">
        <v>712.32</v>
      </c>
      <c r="K539">
        <v>0.15</v>
      </c>
      <c r="L539">
        <v>3027.36</v>
      </c>
      <c r="M539" t="s">
        <v>76</v>
      </c>
      <c r="N539" t="s">
        <v>34</v>
      </c>
      <c r="O539" t="s">
        <v>65</v>
      </c>
      <c r="P539" t="s">
        <v>26</v>
      </c>
    </row>
    <row r="540" spans="1:16" x14ac:dyDescent="0.3">
      <c r="A540" t="s">
        <v>860</v>
      </c>
      <c r="B540" s="1">
        <v>45974</v>
      </c>
      <c r="C540" t="s">
        <v>78</v>
      </c>
      <c r="D540" t="s">
        <v>18</v>
      </c>
      <c r="E540" t="s">
        <v>19</v>
      </c>
      <c r="F540" t="s">
        <v>20</v>
      </c>
      <c r="G540" t="s">
        <v>56</v>
      </c>
      <c r="H540" t="s">
        <v>57</v>
      </c>
      <c r="I540">
        <v>2</v>
      </c>
      <c r="J540">
        <v>838.31</v>
      </c>
      <c r="K540">
        <v>0.05</v>
      </c>
      <c r="L540">
        <v>1592.79</v>
      </c>
      <c r="M540" t="s">
        <v>76</v>
      </c>
      <c r="N540" t="s">
        <v>58</v>
      </c>
      <c r="O540" t="s">
        <v>65</v>
      </c>
      <c r="P540" t="s">
        <v>116</v>
      </c>
    </row>
    <row r="541" spans="1:16" x14ac:dyDescent="0.3">
      <c r="A541" t="s">
        <v>861</v>
      </c>
      <c r="B541" s="1">
        <v>45880</v>
      </c>
      <c r="C541" t="s">
        <v>848</v>
      </c>
      <c r="D541" t="s">
        <v>89</v>
      </c>
      <c r="E541" t="s">
        <v>90</v>
      </c>
      <c r="F541" t="s">
        <v>20</v>
      </c>
      <c r="G541" t="s">
        <v>21</v>
      </c>
      <c r="H541" t="s">
        <v>41</v>
      </c>
      <c r="I541">
        <v>1</v>
      </c>
      <c r="J541">
        <v>699.61</v>
      </c>
      <c r="K541">
        <v>0.08</v>
      </c>
      <c r="L541">
        <v>643.64</v>
      </c>
      <c r="M541" t="s">
        <v>76</v>
      </c>
      <c r="N541" t="s">
        <v>49</v>
      </c>
      <c r="O541" t="s">
        <v>65</v>
      </c>
      <c r="P541" t="s">
        <v>42</v>
      </c>
    </row>
    <row r="542" spans="1:16" x14ac:dyDescent="0.3">
      <c r="A542" t="s">
        <v>862</v>
      </c>
      <c r="B542" s="1">
        <v>45765</v>
      </c>
      <c r="C542" t="s">
        <v>499</v>
      </c>
      <c r="D542" t="s">
        <v>89</v>
      </c>
      <c r="E542" t="s">
        <v>90</v>
      </c>
      <c r="F542" t="s">
        <v>20</v>
      </c>
      <c r="G542" t="s">
        <v>21</v>
      </c>
      <c r="H542" t="s">
        <v>93</v>
      </c>
      <c r="I542">
        <v>4</v>
      </c>
      <c r="J542">
        <v>752.78</v>
      </c>
      <c r="K542">
        <v>0</v>
      </c>
      <c r="L542">
        <v>3011.12</v>
      </c>
      <c r="M542" t="s">
        <v>48</v>
      </c>
      <c r="N542" t="s">
        <v>34</v>
      </c>
      <c r="O542" t="s">
        <v>35</v>
      </c>
      <c r="P542" t="s">
        <v>102</v>
      </c>
    </row>
    <row r="543" spans="1:16" x14ac:dyDescent="0.3">
      <c r="A543" t="s">
        <v>863</v>
      </c>
      <c r="B543" s="1">
        <v>45847</v>
      </c>
      <c r="C543" t="s">
        <v>516</v>
      </c>
      <c r="D543" t="s">
        <v>38</v>
      </c>
      <c r="E543" t="s">
        <v>39</v>
      </c>
      <c r="F543" t="s">
        <v>40</v>
      </c>
      <c r="G543" t="s">
        <v>81</v>
      </c>
      <c r="H543" t="s">
        <v>82</v>
      </c>
      <c r="I543">
        <v>1</v>
      </c>
      <c r="J543">
        <v>1667.94</v>
      </c>
      <c r="K543">
        <v>0.08</v>
      </c>
      <c r="L543">
        <v>1534.5</v>
      </c>
      <c r="M543" t="s">
        <v>76</v>
      </c>
      <c r="N543" t="s">
        <v>34</v>
      </c>
      <c r="O543" t="s">
        <v>25</v>
      </c>
      <c r="P543" t="s">
        <v>72</v>
      </c>
    </row>
    <row r="544" spans="1:16" x14ac:dyDescent="0.3">
      <c r="A544" t="s">
        <v>864</v>
      </c>
      <c r="B544" s="1">
        <v>45835</v>
      </c>
      <c r="C544" t="s">
        <v>230</v>
      </c>
      <c r="D544" t="s">
        <v>105</v>
      </c>
      <c r="E544" t="s">
        <v>106</v>
      </c>
      <c r="F544" t="s">
        <v>40</v>
      </c>
      <c r="G544" t="s">
        <v>32</v>
      </c>
      <c r="H544" t="s">
        <v>47</v>
      </c>
      <c r="I544">
        <v>3</v>
      </c>
      <c r="J544">
        <v>6749.09</v>
      </c>
      <c r="K544">
        <v>0.2</v>
      </c>
      <c r="L544">
        <v>16197.82</v>
      </c>
      <c r="M544" t="s">
        <v>592</v>
      </c>
      <c r="N544" t="s">
        <v>58</v>
      </c>
      <c r="O544" t="s">
        <v>25</v>
      </c>
      <c r="P544" t="s">
        <v>102</v>
      </c>
    </row>
    <row r="545" spans="1:16" x14ac:dyDescent="0.3">
      <c r="A545" t="s">
        <v>865</v>
      </c>
      <c r="B545" s="1">
        <v>45733</v>
      </c>
      <c r="C545" t="s">
        <v>299</v>
      </c>
      <c r="D545" t="s">
        <v>53</v>
      </c>
      <c r="E545" t="s">
        <v>54</v>
      </c>
      <c r="F545" t="s">
        <v>55</v>
      </c>
      <c r="G545" t="s">
        <v>81</v>
      </c>
      <c r="H545" t="s">
        <v>98</v>
      </c>
      <c r="I545">
        <v>5</v>
      </c>
      <c r="J545">
        <v>219.07</v>
      </c>
      <c r="K545">
        <v>0</v>
      </c>
      <c r="L545">
        <v>1095.3499999999999</v>
      </c>
      <c r="M545" t="s">
        <v>76</v>
      </c>
      <c r="N545" t="s">
        <v>49</v>
      </c>
      <c r="O545" t="s">
        <v>65</v>
      </c>
      <c r="P545" t="s">
        <v>111</v>
      </c>
    </row>
    <row r="546" spans="1:16" x14ac:dyDescent="0.3">
      <c r="A546" t="s">
        <v>866</v>
      </c>
      <c r="B546" s="1">
        <v>45846</v>
      </c>
      <c r="C546" t="s">
        <v>52</v>
      </c>
      <c r="D546" t="s">
        <v>79</v>
      </c>
      <c r="E546" t="s">
        <v>80</v>
      </c>
      <c r="F546" t="s">
        <v>31</v>
      </c>
      <c r="G546" t="s">
        <v>21</v>
      </c>
      <c r="H546" t="s">
        <v>93</v>
      </c>
      <c r="I546">
        <v>3</v>
      </c>
      <c r="J546">
        <v>12107.17</v>
      </c>
      <c r="K546">
        <v>0.15</v>
      </c>
      <c r="L546">
        <v>30873.279999999999</v>
      </c>
      <c r="M546" t="s">
        <v>48</v>
      </c>
      <c r="N546" t="s">
        <v>49</v>
      </c>
      <c r="O546" t="s">
        <v>65</v>
      </c>
      <c r="P546" t="s">
        <v>116</v>
      </c>
    </row>
    <row r="547" spans="1:16" x14ac:dyDescent="0.3">
      <c r="A547" t="s">
        <v>867</v>
      </c>
      <c r="B547" s="1">
        <v>46099</v>
      </c>
      <c r="C547" t="s">
        <v>419</v>
      </c>
      <c r="D547" t="s">
        <v>121</v>
      </c>
      <c r="E547" t="s">
        <v>122</v>
      </c>
      <c r="F547" t="s">
        <v>55</v>
      </c>
      <c r="G547" t="s">
        <v>81</v>
      </c>
      <c r="H547" t="s">
        <v>87</v>
      </c>
      <c r="I547">
        <v>1</v>
      </c>
      <c r="J547">
        <v>447.91</v>
      </c>
      <c r="K547">
        <v>0.05</v>
      </c>
      <c r="L547">
        <v>425.51</v>
      </c>
      <c r="M547" t="s">
        <v>48</v>
      </c>
      <c r="N547" t="s">
        <v>34</v>
      </c>
      <c r="O547" t="s">
        <v>65</v>
      </c>
      <c r="P547" t="s">
        <v>72</v>
      </c>
    </row>
    <row r="548" spans="1:16" x14ac:dyDescent="0.3">
      <c r="A548" t="s">
        <v>868</v>
      </c>
      <c r="B548" s="1">
        <v>45514</v>
      </c>
      <c r="C548" t="s">
        <v>365</v>
      </c>
      <c r="D548" t="s">
        <v>38</v>
      </c>
      <c r="E548" t="s">
        <v>39</v>
      </c>
      <c r="F548" t="s">
        <v>40</v>
      </c>
      <c r="G548" t="s">
        <v>56</v>
      </c>
      <c r="H548" t="s">
        <v>64</v>
      </c>
      <c r="I548">
        <v>5</v>
      </c>
      <c r="J548">
        <v>1560.07</v>
      </c>
      <c r="K548">
        <v>0.1</v>
      </c>
      <c r="L548">
        <v>7020.31</v>
      </c>
      <c r="M548" t="s">
        <v>76</v>
      </c>
      <c r="N548" t="s">
        <v>58</v>
      </c>
      <c r="O548" t="s">
        <v>65</v>
      </c>
      <c r="P548" t="s">
        <v>72</v>
      </c>
    </row>
    <row r="549" spans="1:16" x14ac:dyDescent="0.3">
      <c r="A549" t="s">
        <v>869</v>
      </c>
      <c r="B549" s="1">
        <v>46020</v>
      </c>
      <c r="C549" t="s">
        <v>848</v>
      </c>
      <c r="D549" t="s">
        <v>89</v>
      </c>
      <c r="E549" t="s">
        <v>90</v>
      </c>
      <c r="F549" t="s">
        <v>20</v>
      </c>
      <c r="G549" t="s">
        <v>56</v>
      </c>
      <c r="H549" t="s">
        <v>101</v>
      </c>
      <c r="I549">
        <v>3</v>
      </c>
      <c r="J549">
        <v>713.74</v>
      </c>
      <c r="K549">
        <v>0.2</v>
      </c>
      <c r="L549">
        <v>1712.98</v>
      </c>
      <c r="M549" t="s">
        <v>76</v>
      </c>
      <c r="N549" t="s">
        <v>49</v>
      </c>
      <c r="O549" t="s">
        <v>65</v>
      </c>
      <c r="P549" t="s">
        <v>116</v>
      </c>
    </row>
    <row r="550" spans="1:16" x14ac:dyDescent="0.3">
      <c r="A550" t="s">
        <v>870</v>
      </c>
      <c r="B550" s="1">
        <v>45361</v>
      </c>
      <c r="C550" t="s">
        <v>871</v>
      </c>
      <c r="D550" t="s">
        <v>62</v>
      </c>
      <c r="E550" t="s">
        <v>63</v>
      </c>
      <c r="F550" t="s">
        <v>31</v>
      </c>
      <c r="G550" t="s">
        <v>32</v>
      </c>
      <c r="H550" t="s">
        <v>47</v>
      </c>
      <c r="I550">
        <v>1</v>
      </c>
      <c r="J550">
        <v>2939.86</v>
      </c>
      <c r="K550">
        <v>0.05</v>
      </c>
      <c r="L550">
        <v>2792.87</v>
      </c>
      <c r="M550" t="s">
        <v>48</v>
      </c>
      <c r="N550" t="s">
        <v>71</v>
      </c>
      <c r="O550" t="s">
        <v>65</v>
      </c>
      <c r="P550" t="s">
        <v>116</v>
      </c>
    </row>
    <row r="551" spans="1:16" x14ac:dyDescent="0.3">
      <c r="A551" t="s">
        <v>872</v>
      </c>
      <c r="B551" s="1">
        <v>46055</v>
      </c>
      <c r="C551" t="s">
        <v>485</v>
      </c>
      <c r="D551" t="s">
        <v>79</v>
      </c>
      <c r="E551" t="s">
        <v>80</v>
      </c>
      <c r="F551" t="s">
        <v>31</v>
      </c>
      <c r="G551" t="s">
        <v>56</v>
      </c>
      <c r="H551" t="s">
        <v>123</v>
      </c>
      <c r="I551">
        <v>1</v>
      </c>
      <c r="J551">
        <v>11780.9</v>
      </c>
      <c r="L551">
        <v>10013.76</v>
      </c>
      <c r="M551" t="s">
        <v>48</v>
      </c>
      <c r="N551" t="s">
        <v>24</v>
      </c>
      <c r="O551" t="s">
        <v>65</v>
      </c>
      <c r="P551" t="s">
        <v>42</v>
      </c>
    </row>
    <row r="552" spans="1:16" x14ac:dyDescent="0.3">
      <c r="A552" t="s">
        <v>873</v>
      </c>
      <c r="B552" s="1">
        <v>45837</v>
      </c>
      <c r="C552" t="s">
        <v>289</v>
      </c>
      <c r="D552" t="s">
        <v>105</v>
      </c>
      <c r="E552" t="s">
        <v>106</v>
      </c>
      <c r="F552" t="s">
        <v>40</v>
      </c>
      <c r="G552" t="s">
        <v>81</v>
      </c>
      <c r="H552" t="s">
        <v>98</v>
      </c>
      <c r="I552">
        <v>5</v>
      </c>
      <c r="J552">
        <v>7482.56</v>
      </c>
      <c r="K552">
        <v>0.05</v>
      </c>
      <c r="L552">
        <v>35542.160000000003</v>
      </c>
      <c r="M552" t="s">
        <v>23</v>
      </c>
      <c r="N552" t="s">
        <v>71</v>
      </c>
      <c r="O552" t="s">
        <v>35</v>
      </c>
      <c r="P552" t="s">
        <v>26</v>
      </c>
    </row>
    <row r="553" spans="1:16" x14ac:dyDescent="0.3">
      <c r="A553" t="s">
        <v>874</v>
      </c>
      <c r="B553" s="1">
        <v>46014</v>
      </c>
      <c r="C553" t="s">
        <v>283</v>
      </c>
      <c r="D553" t="s">
        <v>176</v>
      </c>
      <c r="E553" t="s">
        <v>177</v>
      </c>
      <c r="F553" t="s">
        <v>31</v>
      </c>
      <c r="G553" t="s">
        <v>56</v>
      </c>
      <c r="H553" t="s">
        <v>57</v>
      </c>
      <c r="I553">
        <v>3</v>
      </c>
      <c r="J553">
        <v>2346.13</v>
      </c>
      <c r="K553">
        <v>0.15</v>
      </c>
      <c r="L553">
        <v>5982.63</v>
      </c>
      <c r="M553" t="s">
        <v>48</v>
      </c>
      <c r="N553" t="s">
        <v>58</v>
      </c>
      <c r="O553" t="s">
        <v>65</v>
      </c>
      <c r="P553" t="s">
        <v>59</v>
      </c>
    </row>
    <row r="554" spans="1:16" x14ac:dyDescent="0.3">
      <c r="A554" t="s">
        <v>875</v>
      </c>
      <c r="B554" s="1">
        <v>45972</v>
      </c>
      <c r="C554" t="s">
        <v>556</v>
      </c>
      <c r="D554" t="s">
        <v>18</v>
      </c>
      <c r="E554" t="s">
        <v>19</v>
      </c>
      <c r="F554" t="s">
        <v>20</v>
      </c>
      <c r="G554" t="s">
        <v>56</v>
      </c>
      <c r="H554" t="s">
        <v>64</v>
      </c>
      <c r="I554">
        <v>2</v>
      </c>
      <c r="J554">
        <v>826.62</v>
      </c>
      <c r="K554">
        <v>0.08</v>
      </c>
      <c r="L554">
        <v>1520.98</v>
      </c>
      <c r="M554" t="s">
        <v>48</v>
      </c>
      <c r="N554" t="s">
        <v>24</v>
      </c>
      <c r="O554" t="s">
        <v>65</v>
      </c>
      <c r="P554" t="s">
        <v>42</v>
      </c>
    </row>
    <row r="555" spans="1:16" x14ac:dyDescent="0.3">
      <c r="A555" t="s">
        <v>876</v>
      </c>
      <c r="B555" s="1">
        <v>45332</v>
      </c>
      <c r="C555" t="s">
        <v>134</v>
      </c>
      <c r="D555" t="s">
        <v>53</v>
      </c>
      <c r="E555" t="s">
        <v>54</v>
      </c>
      <c r="F555" t="s">
        <v>55</v>
      </c>
      <c r="G555" t="s">
        <v>32</v>
      </c>
      <c r="H555" t="s">
        <v>47</v>
      </c>
      <c r="I555">
        <v>3</v>
      </c>
      <c r="J555">
        <v>233.48</v>
      </c>
      <c r="K555">
        <v>0.2</v>
      </c>
      <c r="L555">
        <v>560.35</v>
      </c>
      <c r="M555" t="s">
        <v>23</v>
      </c>
      <c r="N555" t="s">
        <v>24</v>
      </c>
      <c r="O555" t="s">
        <v>35</v>
      </c>
      <c r="P555" t="s">
        <v>42</v>
      </c>
    </row>
    <row r="556" spans="1:16" x14ac:dyDescent="0.3">
      <c r="A556" t="s">
        <v>877</v>
      </c>
      <c r="B556" s="1">
        <v>45533</v>
      </c>
      <c r="C556" t="s">
        <v>574</v>
      </c>
      <c r="D556" t="s">
        <v>96</v>
      </c>
      <c r="E556" t="s">
        <v>97</v>
      </c>
      <c r="F556" t="s">
        <v>31</v>
      </c>
      <c r="G556" t="s">
        <v>81</v>
      </c>
      <c r="H556" t="s">
        <v>135</v>
      </c>
      <c r="I556">
        <v>3</v>
      </c>
      <c r="J556">
        <v>1283.6300000000001</v>
      </c>
      <c r="K556">
        <v>0.2</v>
      </c>
      <c r="L556">
        <v>3080.71</v>
      </c>
      <c r="M556" t="s">
        <v>23</v>
      </c>
      <c r="N556" t="s">
        <v>24</v>
      </c>
      <c r="O556" t="s">
        <v>65</v>
      </c>
      <c r="P556" t="s">
        <v>50</v>
      </c>
    </row>
    <row r="557" spans="1:16" x14ac:dyDescent="0.3">
      <c r="A557" t="s">
        <v>878</v>
      </c>
      <c r="B557" s="1">
        <v>45516</v>
      </c>
      <c r="C557" t="s">
        <v>879</v>
      </c>
      <c r="D557" t="s">
        <v>176</v>
      </c>
      <c r="E557" t="s">
        <v>177</v>
      </c>
      <c r="F557" t="s">
        <v>31</v>
      </c>
      <c r="G557" t="s">
        <v>81</v>
      </c>
      <c r="H557" t="s">
        <v>87</v>
      </c>
      <c r="I557">
        <v>2</v>
      </c>
      <c r="J557">
        <v>2254.9299999999998</v>
      </c>
      <c r="K557">
        <v>0.03</v>
      </c>
      <c r="L557">
        <v>4374.5600000000004</v>
      </c>
      <c r="M557" t="s">
        <v>76</v>
      </c>
      <c r="N557" t="s">
        <v>49</v>
      </c>
      <c r="O557" t="s">
        <v>65</v>
      </c>
      <c r="P557" t="s">
        <v>102</v>
      </c>
    </row>
    <row r="558" spans="1:16" x14ac:dyDescent="0.3">
      <c r="A558" t="s">
        <v>880</v>
      </c>
      <c r="B558" s="1">
        <v>46127</v>
      </c>
      <c r="C558" t="s">
        <v>181</v>
      </c>
      <c r="D558" t="s">
        <v>176</v>
      </c>
      <c r="E558" t="s">
        <v>177</v>
      </c>
      <c r="F558" t="s">
        <v>31</v>
      </c>
      <c r="G558" t="s">
        <v>21</v>
      </c>
      <c r="H558" t="s">
        <v>41</v>
      </c>
      <c r="I558">
        <v>4</v>
      </c>
      <c r="J558">
        <v>2080.23</v>
      </c>
      <c r="K558">
        <v>0.08</v>
      </c>
      <c r="L558">
        <v>7655.25</v>
      </c>
      <c r="M558" t="s">
        <v>23</v>
      </c>
      <c r="N558" t="s">
        <v>58</v>
      </c>
      <c r="O558" t="s">
        <v>25</v>
      </c>
      <c r="P558" t="s">
        <v>116</v>
      </c>
    </row>
    <row r="559" spans="1:16" x14ac:dyDescent="0.3">
      <c r="A559" t="s">
        <v>881</v>
      </c>
      <c r="B559" s="1">
        <v>45859</v>
      </c>
      <c r="C559" t="s">
        <v>225</v>
      </c>
      <c r="D559" t="s">
        <v>79</v>
      </c>
      <c r="E559" t="s">
        <v>80</v>
      </c>
      <c r="F559" t="s">
        <v>31</v>
      </c>
      <c r="G559" t="s">
        <v>56</v>
      </c>
      <c r="H559" t="s">
        <v>101</v>
      </c>
      <c r="I559">
        <v>4</v>
      </c>
      <c r="J559">
        <v>13171.03</v>
      </c>
      <c r="K559">
        <v>0.08</v>
      </c>
      <c r="L559">
        <v>48469.39</v>
      </c>
      <c r="M559" t="s">
        <v>76</v>
      </c>
      <c r="N559" t="s">
        <v>24</v>
      </c>
      <c r="O559" t="s">
        <v>35</v>
      </c>
      <c r="P559" t="s">
        <v>102</v>
      </c>
    </row>
    <row r="560" spans="1:16" x14ac:dyDescent="0.3">
      <c r="A560" t="s">
        <v>882</v>
      </c>
      <c r="B560" s="1">
        <v>45481</v>
      </c>
      <c r="C560" t="s">
        <v>504</v>
      </c>
      <c r="D560" t="s">
        <v>29</v>
      </c>
      <c r="E560" t="s">
        <v>30</v>
      </c>
      <c r="F560" t="s">
        <v>31</v>
      </c>
      <c r="G560" t="s">
        <v>32</v>
      </c>
      <c r="H560" t="s">
        <v>47</v>
      </c>
      <c r="I560">
        <v>4</v>
      </c>
      <c r="J560">
        <v>2998.47</v>
      </c>
      <c r="K560">
        <v>0.03</v>
      </c>
      <c r="L560">
        <v>11634.06</v>
      </c>
      <c r="M560" t="s">
        <v>48</v>
      </c>
      <c r="N560" t="s">
        <v>24</v>
      </c>
      <c r="O560" t="s">
        <v>65</v>
      </c>
      <c r="P560" t="s">
        <v>111</v>
      </c>
    </row>
    <row r="561" spans="1:16" x14ac:dyDescent="0.3">
      <c r="A561" t="s">
        <v>883</v>
      </c>
      <c r="B561" s="1">
        <v>45671</v>
      </c>
      <c r="C561" t="s">
        <v>583</v>
      </c>
      <c r="D561" t="s">
        <v>53</v>
      </c>
      <c r="E561" t="s">
        <v>54</v>
      </c>
      <c r="F561" t="s">
        <v>55</v>
      </c>
      <c r="G561" t="s">
        <v>21</v>
      </c>
      <c r="H561" t="s">
        <v>22</v>
      </c>
      <c r="I561">
        <v>2</v>
      </c>
      <c r="J561">
        <v>231.34</v>
      </c>
      <c r="K561">
        <v>0</v>
      </c>
      <c r="L561">
        <v>462.68</v>
      </c>
      <c r="M561" t="s">
        <v>23</v>
      </c>
      <c r="N561" t="s">
        <v>34</v>
      </c>
      <c r="O561" t="s">
        <v>65</v>
      </c>
      <c r="P561" t="s">
        <v>116</v>
      </c>
    </row>
    <row r="562" spans="1:16" x14ac:dyDescent="0.3">
      <c r="A562" t="s">
        <v>884</v>
      </c>
      <c r="B562" s="1">
        <v>45880</v>
      </c>
      <c r="C562" t="s">
        <v>625</v>
      </c>
      <c r="D562" t="s">
        <v>131</v>
      </c>
      <c r="E562" t="s">
        <v>132</v>
      </c>
      <c r="F562" t="s">
        <v>40</v>
      </c>
      <c r="G562" t="s">
        <v>21</v>
      </c>
      <c r="H562" t="s">
        <v>93</v>
      </c>
      <c r="I562">
        <v>1</v>
      </c>
      <c r="J562">
        <v>9008.2199999999993</v>
      </c>
      <c r="K562">
        <v>0</v>
      </c>
      <c r="L562">
        <v>9008.2199999999993</v>
      </c>
      <c r="M562" t="s">
        <v>23</v>
      </c>
      <c r="N562" t="s">
        <v>49</v>
      </c>
      <c r="O562" t="s">
        <v>35</v>
      </c>
      <c r="P562" t="s">
        <v>42</v>
      </c>
    </row>
    <row r="563" spans="1:16" x14ac:dyDescent="0.3">
      <c r="A563" t="s">
        <v>885</v>
      </c>
      <c r="B563" s="1">
        <v>45611</v>
      </c>
      <c r="C563" t="s">
        <v>157</v>
      </c>
      <c r="D563" t="s">
        <v>79</v>
      </c>
      <c r="E563" t="s">
        <v>80</v>
      </c>
      <c r="F563" t="s">
        <v>31</v>
      </c>
      <c r="G563" t="s">
        <v>56</v>
      </c>
      <c r="H563" t="s">
        <v>123</v>
      </c>
      <c r="I563">
        <v>2</v>
      </c>
      <c r="J563">
        <v>13218.36</v>
      </c>
      <c r="K563">
        <v>0.03</v>
      </c>
      <c r="L563">
        <v>25643.62</v>
      </c>
      <c r="M563" t="s">
        <v>48</v>
      </c>
      <c r="N563" t="s">
        <v>58</v>
      </c>
      <c r="O563" t="s">
        <v>25</v>
      </c>
      <c r="P563" t="s">
        <v>42</v>
      </c>
    </row>
    <row r="564" spans="1:16" x14ac:dyDescent="0.3">
      <c r="A564" t="s">
        <v>886</v>
      </c>
      <c r="B564" s="1">
        <v>45784</v>
      </c>
      <c r="C564" t="s">
        <v>787</v>
      </c>
      <c r="D564" t="s">
        <v>79</v>
      </c>
      <c r="E564" t="s">
        <v>80</v>
      </c>
      <c r="F564" t="s">
        <v>31</v>
      </c>
      <c r="G564" t="s">
        <v>32</v>
      </c>
      <c r="H564" t="s">
        <v>47</v>
      </c>
      <c r="I564">
        <v>2</v>
      </c>
      <c r="J564">
        <v>11817.06</v>
      </c>
      <c r="K564">
        <v>0.2</v>
      </c>
      <c r="L564">
        <v>18907.3</v>
      </c>
      <c r="M564" t="s">
        <v>76</v>
      </c>
      <c r="N564" t="s">
        <v>49</v>
      </c>
      <c r="O564" t="s">
        <v>25</v>
      </c>
      <c r="P564" t="s">
        <v>116</v>
      </c>
    </row>
    <row r="565" spans="1:16" x14ac:dyDescent="0.3">
      <c r="A565" t="s">
        <v>887</v>
      </c>
      <c r="B565" s="1">
        <v>45344</v>
      </c>
      <c r="C565" t="s">
        <v>249</v>
      </c>
      <c r="D565" t="s">
        <v>79</v>
      </c>
      <c r="E565" t="s">
        <v>80</v>
      </c>
      <c r="F565" t="s">
        <v>31</v>
      </c>
      <c r="G565" t="s">
        <v>81</v>
      </c>
      <c r="H565" t="s">
        <v>82</v>
      </c>
      <c r="I565">
        <v>5</v>
      </c>
      <c r="J565">
        <v>13280.03</v>
      </c>
      <c r="K565">
        <v>0.2</v>
      </c>
      <c r="L565">
        <v>53120.12</v>
      </c>
      <c r="M565" t="s">
        <v>76</v>
      </c>
      <c r="N565" t="s">
        <v>58</v>
      </c>
      <c r="O565" t="s">
        <v>65</v>
      </c>
      <c r="P565" t="s">
        <v>59</v>
      </c>
    </row>
    <row r="566" spans="1:16" x14ac:dyDescent="0.3">
      <c r="A566" t="s">
        <v>888</v>
      </c>
      <c r="B566" s="1">
        <v>45601</v>
      </c>
      <c r="C566" t="s">
        <v>334</v>
      </c>
      <c r="D566" t="s">
        <v>79</v>
      </c>
      <c r="E566" t="s">
        <v>80</v>
      </c>
      <c r="F566" t="s">
        <v>31</v>
      </c>
      <c r="G566" t="s">
        <v>56</v>
      </c>
      <c r="H566" t="s">
        <v>57</v>
      </c>
      <c r="I566">
        <v>1</v>
      </c>
      <c r="J566">
        <v>12651.64</v>
      </c>
      <c r="K566">
        <v>0.2</v>
      </c>
      <c r="L566">
        <v>10121.31</v>
      </c>
      <c r="M566" t="s">
        <v>76</v>
      </c>
      <c r="N566" t="s">
        <v>34</v>
      </c>
      <c r="O566" t="s">
        <v>65</v>
      </c>
      <c r="P566" t="s">
        <v>26</v>
      </c>
    </row>
    <row r="567" spans="1:16" x14ac:dyDescent="0.3">
      <c r="A567" t="s">
        <v>889</v>
      </c>
      <c r="B567" s="1">
        <v>45562</v>
      </c>
      <c r="C567" t="s">
        <v>746</v>
      </c>
      <c r="D567" t="s">
        <v>170</v>
      </c>
      <c r="E567" t="s">
        <v>171</v>
      </c>
      <c r="F567" t="s">
        <v>31</v>
      </c>
      <c r="G567" t="s">
        <v>56</v>
      </c>
      <c r="H567" t="s">
        <v>123</v>
      </c>
      <c r="I567">
        <v>5</v>
      </c>
      <c r="J567">
        <v>68934.47</v>
      </c>
      <c r="K567">
        <v>0.15</v>
      </c>
      <c r="L567">
        <v>292971.5</v>
      </c>
      <c r="M567" t="s">
        <v>48</v>
      </c>
      <c r="N567" t="s">
        <v>24</v>
      </c>
      <c r="O567" t="s">
        <v>65</v>
      </c>
      <c r="P567" t="s">
        <v>42</v>
      </c>
    </row>
    <row r="568" spans="1:16" x14ac:dyDescent="0.3">
      <c r="A568" t="s">
        <v>890</v>
      </c>
      <c r="B568" s="1">
        <v>46092</v>
      </c>
      <c r="C568" t="s">
        <v>416</v>
      </c>
      <c r="D568" t="s">
        <v>170</v>
      </c>
      <c r="E568" t="s">
        <v>171</v>
      </c>
      <c r="F568" t="s">
        <v>31</v>
      </c>
      <c r="G568" t="s">
        <v>81</v>
      </c>
      <c r="H568" t="s">
        <v>82</v>
      </c>
      <c r="I568">
        <v>4</v>
      </c>
      <c r="J568">
        <v>64227.41</v>
      </c>
      <c r="K568">
        <v>0</v>
      </c>
      <c r="L568">
        <v>256909.64</v>
      </c>
      <c r="M568" t="s">
        <v>76</v>
      </c>
      <c r="N568" t="s">
        <v>71</v>
      </c>
      <c r="O568" t="s">
        <v>65</v>
      </c>
      <c r="P568" t="s">
        <v>111</v>
      </c>
    </row>
    <row r="569" spans="1:16" x14ac:dyDescent="0.3">
      <c r="A569" t="s">
        <v>891</v>
      </c>
      <c r="B569" s="1">
        <v>45378</v>
      </c>
      <c r="C569" t="s">
        <v>572</v>
      </c>
      <c r="D569" t="s">
        <v>85</v>
      </c>
      <c r="E569" t="s">
        <v>86</v>
      </c>
      <c r="F569" t="s">
        <v>20</v>
      </c>
      <c r="G569" t="s">
        <v>56</v>
      </c>
      <c r="H569" t="s">
        <v>123</v>
      </c>
      <c r="I569">
        <v>2</v>
      </c>
      <c r="J569">
        <v>1833.16</v>
      </c>
      <c r="K569">
        <v>0.2</v>
      </c>
      <c r="L569">
        <v>2933.06</v>
      </c>
      <c r="M569" t="s">
        <v>48</v>
      </c>
      <c r="N569" t="s">
        <v>71</v>
      </c>
      <c r="O569" t="s">
        <v>65</v>
      </c>
      <c r="P569" t="s">
        <v>116</v>
      </c>
    </row>
    <row r="570" spans="1:16" x14ac:dyDescent="0.3">
      <c r="A570" t="s">
        <v>892</v>
      </c>
      <c r="B570" s="1">
        <v>45860</v>
      </c>
      <c r="C570" t="s">
        <v>370</v>
      </c>
      <c r="D570" t="s">
        <v>96</v>
      </c>
      <c r="E570" t="s">
        <v>97</v>
      </c>
      <c r="F570" t="s">
        <v>31</v>
      </c>
      <c r="G570" t="s">
        <v>32</v>
      </c>
      <c r="I570">
        <v>3</v>
      </c>
      <c r="J570">
        <v>1185.33</v>
      </c>
      <c r="K570">
        <v>0.03</v>
      </c>
      <c r="L570">
        <v>3449.31</v>
      </c>
      <c r="M570" t="s">
        <v>23</v>
      </c>
      <c r="N570" t="s">
        <v>24</v>
      </c>
      <c r="O570" t="s">
        <v>65</v>
      </c>
      <c r="P570" t="s">
        <v>59</v>
      </c>
    </row>
    <row r="571" spans="1:16" x14ac:dyDescent="0.3">
      <c r="A571" t="s">
        <v>893</v>
      </c>
      <c r="B571" s="1">
        <v>45314</v>
      </c>
      <c r="C571" t="s">
        <v>419</v>
      </c>
      <c r="D571" t="s">
        <v>170</v>
      </c>
      <c r="E571" t="s">
        <v>171</v>
      </c>
      <c r="F571" t="s">
        <v>31</v>
      </c>
      <c r="G571" t="s">
        <v>56</v>
      </c>
      <c r="H571" t="s">
        <v>101</v>
      </c>
      <c r="I571">
        <v>4</v>
      </c>
      <c r="J571">
        <v>62338.25</v>
      </c>
      <c r="K571">
        <v>0.2</v>
      </c>
      <c r="L571">
        <v>199482.4</v>
      </c>
      <c r="M571" t="s">
        <v>48</v>
      </c>
      <c r="N571" t="s">
        <v>49</v>
      </c>
      <c r="O571" t="s">
        <v>65</v>
      </c>
      <c r="P571" t="s">
        <v>72</v>
      </c>
    </row>
    <row r="572" spans="1:16" x14ac:dyDescent="0.3">
      <c r="A572" t="s">
        <v>894</v>
      </c>
      <c r="B572" s="1">
        <v>45365</v>
      </c>
      <c r="C572" t="s">
        <v>275</v>
      </c>
      <c r="D572" t="s">
        <v>45</v>
      </c>
      <c r="E572" t="s">
        <v>46</v>
      </c>
      <c r="F572" t="s">
        <v>31</v>
      </c>
      <c r="G572" t="s">
        <v>21</v>
      </c>
      <c r="H572" t="s">
        <v>41</v>
      </c>
      <c r="I572">
        <v>2</v>
      </c>
      <c r="J572">
        <v>1782.44</v>
      </c>
      <c r="K572">
        <v>0.03</v>
      </c>
      <c r="L572">
        <v>3457.93</v>
      </c>
      <c r="M572" t="s">
        <v>48</v>
      </c>
      <c r="N572" t="s">
        <v>49</v>
      </c>
      <c r="O572" t="s">
        <v>25</v>
      </c>
      <c r="P572" t="s">
        <v>50</v>
      </c>
    </row>
    <row r="573" spans="1:16" x14ac:dyDescent="0.3">
      <c r="A573" t="s">
        <v>895</v>
      </c>
      <c r="B573" s="1">
        <v>45983</v>
      </c>
      <c r="C573" t="s">
        <v>283</v>
      </c>
      <c r="D573" t="s">
        <v>89</v>
      </c>
      <c r="E573" t="s">
        <v>90</v>
      </c>
      <c r="F573" t="s">
        <v>20</v>
      </c>
      <c r="G573" t="s">
        <v>32</v>
      </c>
      <c r="H573" t="s">
        <v>47</v>
      </c>
      <c r="I573">
        <v>3</v>
      </c>
      <c r="J573">
        <v>739.44</v>
      </c>
      <c r="K573">
        <v>0.15</v>
      </c>
      <c r="L573">
        <v>1885.57</v>
      </c>
      <c r="M573" t="s">
        <v>76</v>
      </c>
      <c r="N573" t="s">
        <v>49</v>
      </c>
      <c r="O573" t="s">
        <v>65</v>
      </c>
      <c r="P573" t="s">
        <v>111</v>
      </c>
    </row>
    <row r="574" spans="1:16" x14ac:dyDescent="0.3">
      <c r="A574" t="s">
        <v>896</v>
      </c>
      <c r="B574" s="1">
        <v>46030</v>
      </c>
      <c r="C574" t="s">
        <v>70</v>
      </c>
      <c r="D574" t="s">
        <v>89</v>
      </c>
      <c r="E574" t="s">
        <v>90</v>
      </c>
      <c r="F574" t="s">
        <v>20</v>
      </c>
      <c r="G574" t="s">
        <v>21</v>
      </c>
      <c r="H574" t="s">
        <v>126</v>
      </c>
      <c r="I574">
        <v>3</v>
      </c>
      <c r="J574">
        <v>701.67</v>
      </c>
      <c r="K574">
        <v>0.03</v>
      </c>
      <c r="L574">
        <v>2041.86</v>
      </c>
      <c r="M574" t="s">
        <v>48</v>
      </c>
      <c r="N574" t="s">
        <v>71</v>
      </c>
      <c r="O574" t="s">
        <v>65</v>
      </c>
      <c r="P574" t="s">
        <v>26</v>
      </c>
    </row>
    <row r="575" spans="1:16" x14ac:dyDescent="0.3">
      <c r="A575" t="s">
        <v>897</v>
      </c>
      <c r="B575" s="1">
        <v>46039</v>
      </c>
      <c r="C575" t="s">
        <v>640</v>
      </c>
      <c r="D575" t="s">
        <v>18</v>
      </c>
      <c r="E575" t="s">
        <v>19</v>
      </c>
      <c r="F575" t="s">
        <v>20</v>
      </c>
      <c r="G575" t="s">
        <v>32</v>
      </c>
      <c r="H575" t="s">
        <v>75</v>
      </c>
      <c r="I575">
        <v>5</v>
      </c>
      <c r="J575">
        <v>815.85</v>
      </c>
      <c r="K575">
        <v>0.2</v>
      </c>
      <c r="L575">
        <v>3263.4</v>
      </c>
      <c r="M575" t="s">
        <v>23</v>
      </c>
      <c r="N575" t="s">
        <v>49</v>
      </c>
      <c r="O575" t="s">
        <v>65</v>
      </c>
      <c r="P575" t="s">
        <v>102</v>
      </c>
    </row>
    <row r="576" spans="1:16" x14ac:dyDescent="0.3">
      <c r="A576" t="s">
        <v>898</v>
      </c>
      <c r="B576" s="1">
        <v>45485</v>
      </c>
      <c r="C576" t="s">
        <v>535</v>
      </c>
      <c r="D576" t="s">
        <v>62</v>
      </c>
      <c r="E576" t="s">
        <v>63</v>
      </c>
      <c r="F576" t="s">
        <v>31</v>
      </c>
      <c r="G576" t="s">
        <v>56</v>
      </c>
      <c r="H576" t="s">
        <v>101</v>
      </c>
      <c r="I576">
        <v>3</v>
      </c>
      <c r="J576">
        <v>2650.95</v>
      </c>
      <c r="K576">
        <v>0.1</v>
      </c>
      <c r="L576">
        <v>7157.56</v>
      </c>
      <c r="M576" t="s">
        <v>48</v>
      </c>
      <c r="N576" t="s">
        <v>58</v>
      </c>
      <c r="O576" t="s">
        <v>65</v>
      </c>
      <c r="P576" t="s">
        <v>59</v>
      </c>
    </row>
    <row r="577" spans="1:16" x14ac:dyDescent="0.3">
      <c r="A577" t="s">
        <v>899</v>
      </c>
      <c r="B577" s="1">
        <v>45952</v>
      </c>
      <c r="D577" t="s">
        <v>89</v>
      </c>
      <c r="E577" t="s">
        <v>90</v>
      </c>
      <c r="F577" t="s">
        <v>20</v>
      </c>
      <c r="G577" t="s">
        <v>32</v>
      </c>
      <c r="H577" t="s">
        <v>68</v>
      </c>
      <c r="I577">
        <v>4</v>
      </c>
      <c r="J577">
        <v>667.65</v>
      </c>
      <c r="K577">
        <v>0.08</v>
      </c>
      <c r="L577">
        <v>2456.9499999999998</v>
      </c>
      <c r="M577" t="s">
        <v>23</v>
      </c>
      <c r="N577" t="s">
        <v>34</v>
      </c>
      <c r="O577" t="s">
        <v>35</v>
      </c>
      <c r="P577" t="s">
        <v>116</v>
      </c>
    </row>
    <row r="578" spans="1:16" x14ac:dyDescent="0.3">
      <c r="A578" t="s">
        <v>900</v>
      </c>
      <c r="B578" s="1">
        <v>45305</v>
      </c>
      <c r="C578" t="s">
        <v>348</v>
      </c>
      <c r="D578" t="s">
        <v>96</v>
      </c>
      <c r="E578" t="s">
        <v>97</v>
      </c>
      <c r="F578" t="s">
        <v>31</v>
      </c>
      <c r="G578" t="s">
        <v>81</v>
      </c>
      <c r="H578" t="s">
        <v>135</v>
      </c>
      <c r="I578">
        <v>4</v>
      </c>
      <c r="J578">
        <v>1272.27</v>
      </c>
      <c r="K578">
        <v>0.03</v>
      </c>
      <c r="L578">
        <v>4936.41</v>
      </c>
      <c r="M578" t="s">
        <v>23</v>
      </c>
      <c r="N578" t="s">
        <v>24</v>
      </c>
      <c r="O578" t="s">
        <v>65</v>
      </c>
      <c r="P578" t="s">
        <v>111</v>
      </c>
    </row>
    <row r="579" spans="1:16" x14ac:dyDescent="0.3">
      <c r="A579" t="s">
        <v>901</v>
      </c>
      <c r="B579" s="1">
        <v>45369</v>
      </c>
      <c r="C579" t="s">
        <v>391</v>
      </c>
      <c r="D579" t="s">
        <v>18</v>
      </c>
      <c r="E579" t="s">
        <v>19</v>
      </c>
      <c r="F579" t="s">
        <v>20</v>
      </c>
      <c r="G579" t="s">
        <v>21</v>
      </c>
      <c r="H579" t="s">
        <v>93</v>
      </c>
      <c r="I579">
        <v>4</v>
      </c>
      <c r="J579">
        <v>884.18</v>
      </c>
      <c r="K579">
        <v>0.08</v>
      </c>
      <c r="L579">
        <v>3253.78</v>
      </c>
      <c r="M579" t="s">
        <v>76</v>
      </c>
      <c r="N579" t="s">
        <v>58</v>
      </c>
      <c r="O579" t="s">
        <v>65</v>
      </c>
      <c r="P579" t="s">
        <v>42</v>
      </c>
    </row>
    <row r="580" spans="1:16" x14ac:dyDescent="0.3">
      <c r="A580" t="s">
        <v>902</v>
      </c>
      <c r="B580" s="1">
        <v>45549</v>
      </c>
      <c r="C580" t="s">
        <v>468</v>
      </c>
      <c r="D580" t="s">
        <v>131</v>
      </c>
      <c r="E580" t="s">
        <v>132</v>
      </c>
      <c r="F580" t="s">
        <v>40</v>
      </c>
      <c r="G580" t="s">
        <v>81</v>
      </c>
      <c r="H580" t="s">
        <v>87</v>
      </c>
      <c r="I580">
        <v>5</v>
      </c>
      <c r="J580">
        <v>10242.030000000001</v>
      </c>
      <c r="K580">
        <v>0.03</v>
      </c>
      <c r="L580">
        <v>49673.85</v>
      </c>
      <c r="M580" t="s">
        <v>23</v>
      </c>
      <c r="N580" t="s">
        <v>24</v>
      </c>
      <c r="O580" t="s">
        <v>65</v>
      </c>
      <c r="P580" t="s">
        <v>42</v>
      </c>
    </row>
    <row r="581" spans="1:16" x14ac:dyDescent="0.3">
      <c r="A581" t="s">
        <v>903</v>
      </c>
      <c r="B581" s="1">
        <v>45518</v>
      </c>
      <c r="C581" t="s">
        <v>574</v>
      </c>
      <c r="D581" t="s">
        <v>38</v>
      </c>
      <c r="E581" t="s">
        <v>39</v>
      </c>
      <c r="F581" t="s">
        <v>40</v>
      </c>
      <c r="G581" t="s">
        <v>81</v>
      </c>
      <c r="H581" t="s">
        <v>87</v>
      </c>
      <c r="I581">
        <v>3</v>
      </c>
      <c r="J581">
        <v>1603.21</v>
      </c>
      <c r="K581">
        <v>0.15</v>
      </c>
      <c r="L581">
        <v>4088.19</v>
      </c>
      <c r="M581" t="s">
        <v>23</v>
      </c>
      <c r="N581" t="s">
        <v>49</v>
      </c>
      <c r="O581" t="s">
        <v>65</v>
      </c>
      <c r="P581" t="s">
        <v>26</v>
      </c>
    </row>
    <row r="582" spans="1:16" x14ac:dyDescent="0.3">
      <c r="A582" t="s">
        <v>904</v>
      </c>
      <c r="B582" s="1">
        <v>45889</v>
      </c>
      <c r="C582" t="s">
        <v>208</v>
      </c>
      <c r="D582" t="s">
        <v>89</v>
      </c>
      <c r="E582" t="s">
        <v>90</v>
      </c>
      <c r="F582" t="s">
        <v>20</v>
      </c>
      <c r="G582" t="s">
        <v>56</v>
      </c>
      <c r="H582" t="s">
        <v>123</v>
      </c>
      <c r="I582">
        <v>5</v>
      </c>
      <c r="J582">
        <v>735.6</v>
      </c>
      <c r="K582">
        <v>0.05</v>
      </c>
      <c r="L582">
        <v>3494.1</v>
      </c>
      <c r="M582" t="s">
        <v>48</v>
      </c>
      <c r="O582" t="s">
        <v>65</v>
      </c>
      <c r="P582" t="s">
        <v>59</v>
      </c>
    </row>
    <row r="583" spans="1:16" x14ac:dyDescent="0.3">
      <c r="A583" t="s">
        <v>905</v>
      </c>
      <c r="B583" s="1">
        <v>45934</v>
      </c>
      <c r="C583" t="s">
        <v>115</v>
      </c>
      <c r="D583" t="s">
        <v>176</v>
      </c>
      <c r="E583" t="s">
        <v>177</v>
      </c>
      <c r="F583" t="s">
        <v>31</v>
      </c>
      <c r="G583" t="s">
        <v>81</v>
      </c>
      <c r="H583" t="s">
        <v>98</v>
      </c>
      <c r="I583">
        <v>5</v>
      </c>
      <c r="J583">
        <v>2362.5700000000002</v>
      </c>
      <c r="K583">
        <v>0.15</v>
      </c>
      <c r="L583">
        <v>10040.92</v>
      </c>
      <c r="M583" t="s">
        <v>76</v>
      </c>
      <c r="N583" t="s">
        <v>34</v>
      </c>
      <c r="O583" t="s">
        <v>65</v>
      </c>
      <c r="P583" t="s">
        <v>102</v>
      </c>
    </row>
    <row r="584" spans="1:16" x14ac:dyDescent="0.3">
      <c r="A584" t="s">
        <v>906</v>
      </c>
      <c r="B584" s="1">
        <v>45673</v>
      </c>
      <c r="C584" t="s">
        <v>599</v>
      </c>
      <c r="D584" t="s">
        <v>79</v>
      </c>
      <c r="E584" t="s">
        <v>80</v>
      </c>
      <c r="F584" t="s">
        <v>31</v>
      </c>
      <c r="G584" t="s">
        <v>56</v>
      </c>
      <c r="H584" t="s">
        <v>101</v>
      </c>
      <c r="I584">
        <v>3</v>
      </c>
      <c r="J584">
        <v>13420.45</v>
      </c>
      <c r="K584">
        <v>0.1</v>
      </c>
      <c r="L584">
        <v>36235.22</v>
      </c>
      <c r="M584" t="s">
        <v>23</v>
      </c>
      <c r="N584" t="s">
        <v>34</v>
      </c>
      <c r="O584" t="s">
        <v>65</v>
      </c>
      <c r="P584" t="s">
        <v>116</v>
      </c>
    </row>
    <row r="585" spans="1:16" x14ac:dyDescent="0.3">
      <c r="A585" t="s">
        <v>907</v>
      </c>
      <c r="B585" s="1">
        <v>45928</v>
      </c>
      <c r="C585" t="s">
        <v>406</v>
      </c>
      <c r="D585" t="s">
        <v>170</v>
      </c>
      <c r="E585" t="s">
        <v>171</v>
      </c>
      <c r="F585" t="s">
        <v>31</v>
      </c>
      <c r="G585" t="s">
        <v>81</v>
      </c>
      <c r="H585" t="s">
        <v>98</v>
      </c>
      <c r="I585">
        <v>4</v>
      </c>
      <c r="J585">
        <v>60042.23</v>
      </c>
      <c r="K585">
        <v>0.05</v>
      </c>
      <c r="L585">
        <v>228160.47</v>
      </c>
      <c r="M585" t="s">
        <v>23</v>
      </c>
      <c r="N585" t="s">
        <v>24</v>
      </c>
      <c r="O585" t="s">
        <v>65</v>
      </c>
      <c r="P585" t="s">
        <v>26</v>
      </c>
    </row>
    <row r="586" spans="1:16" x14ac:dyDescent="0.3">
      <c r="A586" t="s">
        <v>908</v>
      </c>
      <c r="B586" s="1">
        <v>45788</v>
      </c>
      <c r="C586" t="s">
        <v>554</v>
      </c>
      <c r="D586" t="s">
        <v>176</v>
      </c>
      <c r="E586" t="s">
        <v>177</v>
      </c>
      <c r="F586" t="s">
        <v>31</v>
      </c>
      <c r="G586" t="s">
        <v>56</v>
      </c>
      <c r="H586" t="s">
        <v>64</v>
      </c>
      <c r="I586">
        <v>4</v>
      </c>
      <c r="J586">
        <v>2120.27</v>
      </c>
      <c r="K586">
        <v>0.1</v>
      </c>
      <c r="L586">
        <v>7632.97</v>
      </c>
      <c r="M586" t="s">
        <v>23</v>
      </c>
      <c r="N586" t="s">
        <v>58</v>
      </c>
      <c r="O586" t="s">
        <v>65</v>
      </c>
    </row>
    <row r="587" spans="1:16" x14ac:dyDescent="0.3">
      <c r="A587" t="s">
        <v>909</v>
      </c>
      <c r="B587" s="1">
        <v>45576</v>
      </c>
      <c r="C587" t="s">
        <v>357</v>
      </c>
      <c r="D587" t="s">
        <v>53</v>
      </c>
      <c r="E587" t="s">
        <v>54</v>
      </c>
      <c r="F587" t="s">
        <v>55</v>
      </c>
      <c r="G587" t="s">
        <v>81</v>
      </c>
      <c r="H587" t="s">
        <v>82</v>
      </c>
      <c r="I587">
        <v>2</v>
      </c>
      <c r="J587">
        <v>207.94</v>
      </c>
      <c r="K587">
        <v>0</v>
      </c>
      <c r="L587">
        <v>415.88</v>
      </c>
      <c r="M587" t="s">
        <v>48</v>
      </c>
      <c r="N587" t="s">
        <v>49</v>
      </c>
      <c r="O587" t="s">
        <v>65</v>
      </c>
      <c r="P587" t="s">
        <v>102</v>
      </c>
    </row>
    <row r="588" spans="1:16" x14ac:dyDescent="0.3">
      <c r="A588" t="s">
        <v>910</v>
      </c>
      <c r="B588" s="1">
        <v>45525</v>
      </c>
      <c r="C588" t="s">
        <v>188</v>
      </c>
      <c r="D588" t="s">
        <v>18</v>
      </c>
      <c r="E588" t="s">
        <v>19</v>
      </c>
      <c r="F588" t="s">
        <v>20</v>
      </c>
      <c r="G588" t="s">
        <v>32</v>
      </c>
      <c r="H588" t="s">
        <v>68</v>
      </c>
      <c r="I588">
        <v>3</v>
      </c>
      <c r="J588">
        <v>858.71</v>
      </c>
      <c r="K588">
        <v>0.15</v>
      </c>
      <c r="L588">
        <v>2189.71</v>
      </c>
      <c r="M588" t="s">
        <v>23</v>
      </c>
      <c r="N588" t="s">
        <v>49</v>
      </c>
      <c r="O588" t="s">
        <v>65</v>
      </c>
      <c r="P588" t="s">
        <v>42</v>
      </c>
    </row>
    <row r="589" spans="1:16" x14ac:dyDescent="0.3">
      <c r="A589" t="s">
        <v>911</v>
      </c>
      <c r="B589" s="1">
        <v>45647</v>
      </c>
      <c r="C589" t="s">
        <v>243</v>
      </c>
      <c r="D589" t="s">
        <v>89</v>
      </c>
      <c r="E589" t="s">
        <v>90</v>
      </c>
      <c r="F589" t="s">
        <v>20</v>
      </c>
      <c r="G589" t="s">
        <v>56</v>
      </c>
      <c r="H589" t="s">
        <v>57</v>
      </c>
      <c r="I589">
        <v>1</v>
      </c>
      <c r="J589">
        <v>720.81</v>
      </c>
      <c r="K589">
        <v>0.03</v>
      </c>
      <c r="L589">
        <v>699.19</v>
      </c>
      <c r="M589" t="s">
        <v>76</v>
      </c>
      <c r="N589" t="s">
        <v>49</v>
      </c>
      <c r="O589" t="s">
        <v>65</v>
      </c>
      <c r="P589" t="s">
        <v>26</v>
      </c>
    </row>
    <row r="590" spans="1:16" x14ac:dyDescent="0.3">
      <c r="A590" t="s">
        <v>912</v>
      </c>
      <c r="B590" s="1">
        <v>45389</v>
      </c>
      <c r="C590" t="s">
        <v>190</v>
      </c>
      <c r="D590" t="s">
        <v>85</v>
      </c>
      <c r="E590" t="s">
        <v>86</v>
      </c>
      <c r="F590" t="s">
        <v>20</v>
      </c>
      <c r="G590" t="s">
        <v>21</v>
      </c>
      <c r="I590">
        <v>1</v>
      </c>
      <c r="J590">
        <v>1812.96</v>
      </c>
      <c r="K590">
        <v>0.08</v>
      </c>
      <c r="L590">
        <v>1667.92</v>
      </c>
      <c r="M590" t="s">
        <v>23</v>
      </c>
      <c r="N590" t="s">
        <v>71</v>
      </c>
      <c r="O590" t="s">
        <v>65</v>
      </c>
      <c r="P590" t="s">
        <v>111</v>
      </c>
    </row>
    <row r="591" spans="1:16" x14ac:dyDescent="0.3">
      <c r="A591" t="s">
        <v>913</v>
      </c>
      <c r="B591" s="1">
        <v>46145</v>
      </c>
      <c r="C591" t="s">
        <v>483</v>
      </c>
      <c r="D591" t="s">
        <v>176</v>
      </c>
      <c r="E591" t="s">
        <v>177</v>
      </c>
      <c r="F591" t="s">
        <v>31</v>
      </c>
      <c r="G591" t="s">
        <v>21</v>
      </c>
      <c r="H591" t="s">
        <v>93</v>
      </c>
      <c r="I591">
        <v>4</v>
      </c>
      <c r="J591">
        <v>2242.56</v>
      </c>
      <c r="K591">
        <v>0.08</v>
      </c>
      <c r="L591">
        <v>8252.6200000000008</v>
      </c>
      <c r="M591" t="s">
        <v>76</v>
      </c>
      <c r="N591" t="s">
        <v>24</v>
      </c>
      <c r="O591" t="s">
        <v>65</v>
      </c>
      <c r="P591" t="s">
        <v>42</v>
      </c>
    </row>
    <row r="592" spans="1:16" x14ac:dyDescent="0.3">
      <c r="A592" t="s">
        <v>914</v>
      </c>
      <c r="B592" s="1">
        <v>45363</v>
      </c>
      <c r="C592" t="s">
        <v>462</v>
      </c>
      <c r="D592" t="s">
        <v>121</v>
      </c>
      <c r="E592" t="s">
        <v>122</v>
      </c>
      <c r="F592" t="s">
        <v>55</v>
      </c>
      <c r="G592" t="s">
        <v>21</v>
      </c>
      <c r="H592" t="s">
        <v>93</v>
      </c>
      <c r="I592">
        <v>4</v>
      </c>
      <c r="J592">
        <v>471.24</v>
      </c>
      <c r="K592">
        <v>0.2</v>
      </c>
      <c r="L592">
        <v>1507.97</v>
      </c>
      <c r="M592" t="s">
        <v>23</v>
      </c>
      <c r="N592" t="s">
        <v>58</v>
      </c>
      <c r="O592" t="s">
        <v>35</v>
      </c>
      <c r="P592" t="s">
        <v>111</v>
      </c>
    </row>
    <row r="593" spans="1:16" x14ac:dyDescent="0.3">
      <c r="A593" t="s">
        <v>915</v>
      </c>
      <c r="B593" s="1">
        <v>45878</v>
      </c>
      <c r="C593" t="s">
        <v>490</v>
      </c>
      <c r="D593" t="s">
        <v>53</v>
      </c>
      <c r="E593" t="s">
        <v>54</v>
      </c>
      <c r="F593" t="s">
        <v>55</v>
      </c>
      <c r="G593" t="s">
        <v>21</v>
      </c>
      <c r="H593" t="s">
        <v>126</v>
      </c>
      <c r="I593">
        <v>1</v>
      </c>
      <c r="J593">
        <v>236.16</v>
      </c>
      <c r="K593">
        <v>0.1</v>
      </c>
      <c r="L593">
        <v>212.54</v>
      </c>
      <c r="M593" t="s">
        <v>76</v>
      </c>
      <c r="N593" t="s">
        <v>49</v>
      </c>
      <c r="O593" t="s">
        <v>65</v>
      </c>
      <c r="P593" t="s">
        <v>26</v>
      </c>
    </row>
    <row r="594" spans="1:16" x14ac:dyDescent="0.3">
      <c r="A594" t="s">
        <v>916</v>
      </c>
      <c r="B594" s="1">
        <v>45762</v>
      </c>
      <c r="C594" t="s">
        <v>159</v>
      </c>
      <c r="D594" t="s">
        <v>79</v>
      </c>
      <c r="E594" t="s">
        <v>80</v>
      </c>
      <c r="F594" t="s">
        <v>31</v>
      </c>
      <c r="G594" t="s">
        <v>81</v>
      </c>
      <c r="H594" t="s">
        <v>135</v>
      </c>
      <c r="I594">
        <v>2</v>
      </c>
      <c r="J594">
        <v>12055.4</v>
      </c>
      <c r="K594">
        <v>0.08</v>
      </c>
      <c r="L594">
        <v>22181.94</v>
      </c>
      <c r="M594" t="s">
        <v>76</v>
      </c>
      <c r="N594" t="s">
        <v>34</v>
      </c>
      <c r="O594" t="s">
        <v>65</v>
      </c>
      <c r="P594" t="s">
        <v>59</v>
      </c>
    </row>
    <row r="595" spans="1:16" x14ac:dyDescent="0.3">
      <c r="A595" t="s">
        <v>917</v>
      </c>
      <c r="B595" s="1">
        <v>45842</v>
      </c>
      <c r="C595" t="s">
        <v>275</v>
      </c>
      <c r="D595" t="s">
        <v>79</v>
      </c>
      <c r="E595" t="s">
        <v>80</v>
      </c>
      <c r="F595" t="s">
        <v>31</v>
      </c>
      <c r="G595" t="s">
        <v>81</v>
      </c>
      <c r="H595" t="s">
        <v>82</v>
      </c>
      <c r="I595">
        <v>2</v>
      </c>
      <c r="J595">
        <v>12375.07</v>
      </c>
      <c r="K595">
        <v>0.15</v>
      </c>
      <c r="L595">
        <v>21037.62</v>
      </c>
      <c r="M595" t="s">
        <v>76</v>
      </c>
      <c r="N595" t="s">
        <v>71</v>
      </c>
      <c r="O595" t="s">
        <v>65</v>
      </c>
      <c r="P595" t="s">
        <v>59</v>
      </c>
    </row>
    <row r="596" spans="1:16" x14ac:dyDescent="0.3">
      <c r="A596" t="s">
        <v>918</v>
      </c>
      <c r="B596" s="1">
        <v>46030</v>
      </c>
      <c r="C596" t="s">
        <v>329</v>
      </c>
      <c r="D596" t="s">
        <v>170</v>
      </c>
      <c r="E596" t="s">
        <v>171</v>
      </c>
      <c r="F596" t="s">
        <v>31</v>
      </c>
      <c r="G596" t="s">
        <v>32</v>
      </c>
      <c r="H596" t="s">
        <v>75</v>
      </c>
      <c r="I596">
        <v>4</v>
      </c>
      <c r="J596">
        <v>69672.23</v>
      </c>
      <c r="K596">
        <v>0</v>
      </c>
      <c r="L596">
        <v>278688.92</v>
      </c>
      <c r="M596" t="s">
        <v>23</v>
      </c>
      <c r="N596" t="s">
        <v>58</v>
      </c>
      <c r="O596" t="s">
        <v>65</v>
      </c>
      <c r="P596" t="s">
        <v>72</v>
      </c>
    </row>
    <row r="597" spans="1:16" x14ac:dyDescent="0.3">
      <c r="A597" t="s">
        <v>919</v>
      </c>
      <c r="B597" s="1">
        <v>45526</v>
      </c>
      <c r="C597" t="s">
        <v>194</v>
      </c>
      <c r="D597" t="s">
        <v>45</v>
      </c>
      <c r="E597" t="s">
        <v>46</v>
      </c>
      <c r="F597" t="s">
        <v>31</v>
      </c>
      <c r="G597" t="s">
        <v>21</v>
      </c>
      <c r="H597" t="s">
        <v>22</v>
      </c>
      <c r="I597">
        <v>4</v>
      </c>
      <c r="J597">
        <v>1762.74</v>
      </c>
      <c r="K597">
        <v>0.08</v>
      </c>
      <c r="L597">
        <v>6486.88</v>
      </c>
      <c r="M597" t="s">
        <v>23</v>
      </c>
      <c r="N597" t="s">
        <v>71</v>
      </c>
      <c r="O597" t="s">
        <v>35</v>
      </c>
      <c r="P597" t="s">
        <v>72</v>
      </c>
    </row>
    <row r="598" spans="1:16" x14ac:dyDescent="0.3">
      <c r="A598" t="s">
        <v>920</v>
      </c>
      <c r="B598" s="1">
        <v>45822</v>
      </c>
      <c r="C598" t="s">
        <v>299</v>
      </c>
      <c r="D598" t="s">
        <v>89</v>
      </c>
      <c r="E598" t="s">
        <v>90</v>
      </c>
      <c r="F598" t="s">
        <v>20</v>
      </c>
      <c r="G598" t="s">
        <v>21</v>
      </c>
      <c r="H598" t="s">
        <v>22</v>
      </c>
      <c r="I598">
        <v>3</v>
      </c>
      <c r="J598">
        <v>750.73</v>
      </c>
      <c r="K598">
        <v>0.03</v>
      </c>
      <c r="L598">
        <v>2184.62</v>
      </c>
      <c r="M598" t="s">
        <v>23</v>
      </c>
      <c r="N598" t="s">
        <v>34</v>
      </c>
      <c r="O598" t="s">
        <v>65</v>
      </c>
      <c r="P598" t="s">
        <v>42</v>
      </c>
    </row>
    <row r="599" spans="1:16" x14ac:dyDescent="0.3">
      <c r="A599" t="s">
        <v>921</v>
      </c>
      <c r="B599" s="1">
        <v>45946</v>
      </c>
      <c r="C599" t="s">
        <v>287</v>
      </c>
      <c r="D599" t="s">
        <v>53</v>
      </c>
      <c r="E599" t="s">
        <v>54</v>
      </c>
      <c r="F599" t="s">
        <v>55</v>
      </c>
      <c r="G599" t="s">
        <v>32</v>
      </c>
      <c r="H599" t="s">
        <v>47</v>
      </c>
      <c r="I599">
        <v>3</v>
      </c>
      <c r="J599">
        <v>218.72</v>
      </c>
      <c r="K599">
        <v>0.1</v>
      </c>
      <c r="L599">
        <v>590.54</v>
      </c>
      <c r="M599" t="s">
        <v>23</v>
      </c>
      <c r="N599" t="s">
        <v>71</v>
      </c>
      <c r="O599" t="s">
        <v>65</v>
      </c>
      <c r="P599" t="s">
        <v>102</v>
      </c>
    </row>
    <row r="600" spans="1:16" x14ac:dyDescent="0.3">
      <c r="A600" t="s">
        <v>922</v>
      </c>
      <c r="B600" s="1">
        <v>45370</v>
      </c>
      <c r="C600" t="s">
        <v>289</v>
      </c>
      <c r="D600" t="s">
        <v>38</v>
      </c>
      <c r="E600" t="s">
        <v>39</v>
      </c>
      <c r="F600" t="s">
        <v>40</v>
      </c>
      <c r="G600" t="s">
        <v>32</v>
      </c>
      <c r="H600" t="s">
        <v>47</v>
      </c>
      <c r="I600">
        <v>5</v>
      </c>
      <c r="J600">
        <v>1508.47</v>
      </c>
      <c r="K600">
        <v>0.05</v>
      </c>
      <c r="L600">
        <v>7165.23</v>
      </c>
      <c r="M600" t="s">
        <v>76</v>
      </c>
      <c r="N600" t="s">
        <v>24</v>
      </c>
      <c r="O600" t="s">
        <v>65</v>
      </c>
      <c r="P600" t="s">
        <v>26</v>
      </c>
    </row>
    <row r="601" spans="1:16" x14ac:dyDescent="0.3">
      <c r="A601" t="s">
        <v>923</v>
      </c>
      <c r="B601" s="1">
        <v>45769</v>
      </c>
      <c r="C601" t="s">
        <v>460</v>
      </c>
      <c r="D601" t="s">
        <v>38</v>
      </c>
      <c r="E601" t="s">
        <v>39</v>
      </c>
      <c r="F601" t="s">
        <v>40</v>
      </c>
      <c r="G601" t="s">
        <v>32</v>
      </c>
      <c r="H601" t="s">
        <v>33</v>
      </c>
      <c r="I601">
        <v>5</v>
      </c>
      <c r="J601">
        <v>1551.63</v>
      </c>
      <c r="K601">
        <v>0.1</v>
      </c>
      <c r="L601">
        <v>6982.34</v>
      </c>
      <c r="M601" t="s">
        <v>48</v>
      </c>
      <c r="N601" t="s">
        <v>71</v>
      </c>
      <c r="O601" t="s">
        <v>65</v>
      </c>
      <c r="P601" t="s">
        <v>50</v>
      </c>
    </row>
    <row r="602" spans="1:16" x14ac:dyDescent="0.3">
      <c r="A602" t="s">
        <v>924</v>
      </c>
      <c r="B602" s="1">
        <v>45683</v>
      </c>
      <c r="C602" t="s">
        <v>74</v>
      </c>
      <c r="D602" t="s">
        <v>45</v>
      </c>
      <c r="E602" t="s">
        <v>46</v>
      </c>
      <c r="F602" t="s">
        <v>31</v>
      </c>
      <c r="G602" t="s">
        <v>21</v>
      </c>
      <c r="H602" t="s">
        <v>22</v>
      </c>
      <c r="I602">
        <v>5</v>
      </c>
      <c r="J602">
        <v>1808.74</v>
      </c>
      <c r="K602">
        <v>0.15</v>
      </c>
      <c r="L602">
        <v>7687.15</v>
      </c>
      <c r="M602" t="s">
        <v>76</v>
      </c>
      <c r="N602" t="s">
        <v>24</v>
      </c>
      <c r="O602" t="s">
        <v>35</v>
      </c>
      <c r="P602" t="s">
        <v>72</v>
      </c>
    </row>
    <row r="603" spans="1:16" x14ac:dyDescent="0.3">
      <c r="A603" t="s">
        <v>925</v>
      </c>
      <c r="B603" s="1">
        <v>46033</v>
      </c>
      <c r="C603" t="s">
        <v>52</v>
      </c>
      <c r="D603" t="s">
        <v>121</v>
      </c>
      <c r="E603" t="s">
        <v>122</v>
      </c>
      <c r="F603" t="s">
        <v>55</v>
      </c>
      <c r="G603" t="s">
        <v>32</v>
      </c>
      <c r="H603" t="s">
        <v>75</v>
      </c>
      <c r="I603">
        <v>3</v>
      </c>
      <c r="J603">
        <v>473.03</v>
      </c>
      <c r="K603">
        <v>0.08</v>
      </c>
      <c r="L603">
        <v>1305.56</v>
      </c>
      <c r="M603" t="s">
        <v>23</v>
      </c>
      <c r="N603" t="s">
        <v>24</v>
      </c>
      <c r="O603" t="s">
        <v>35</v>
      </c>
      <c r="P603" t="s">
        <v>111</v>
      </c>
    </row>
    <row r="604" spans="1:16" x14ac:dyDescent="0.3">
      <c r="A604" t="s">
        <v>926</v>
      </c>
      <c r="B604" s="1">
        <v>45550</v>
      </c>
      <c r="C604" t="s">
        <v>84</v>
      </c>
      <c r="D604" t="s">
        <v>105</v>
      </c>
      <c r="E604" t="s">
        <v>106</v>
      </c>
      <c r="F604" t="s">
        <v>40</v>
      </c>
      <c r="G604" t="s">
        <v>21</v>
      </c>
      <c r="H604" t="s">
        <v>41</v>
      </c>
      <c r="I604">
        <v>2</v>
      </c>
      <c r="J604">
        <v>7221.54</v>
      </c>
      <c r="K604">
        <v>0.03</v>
      </c>
      <c r="L604">
        <v>14009.79</v>
      </c>
      <c r="M604" t="s">
        <v>76</v>
      </c>
      <c r="N604" t="s">
        <v>58</v>
      </c>
      <c r="O604" t="s">
        <v>65</v>
      </c>
      <c r="P604" t="s">
        <v>111</v>
      </c>
    </row>
    <row r="605" spans="1:16" x14ac:dyDescent="0.3">
      <c r="A605" t="s">
        <v>927</v>
      </c>
      <c r="B605" s="1">
        <v>45684</v>
      </c>
      <c r="C605" t="s">
        <v>216</v>
      </c>
      <c r="D605" t="s">
        <v>53</v>
      </c>
      <c r="E605" t="s">
        <v>54</v>
      </c>
      <c r="F605" t="s">
        <v>55</v>
      </c>
      <c r="G605" t="s">
        <v>81</v>
      </c>
      <c r="H605" t="s">
        <v>135</v>
      </c>
      <c r="I605">
        <v>5</v>
      </c>
      <c r="J605">
        <v>214.58</v>
      </c>
      <c r="K605">
        <v>0.2</v>
      </c>
      <c r="L605">
        <v>858.32</v>
      </c>
      <c r="M605" t="s">
        <v>23</v>
      </c>
      <c r="N605" t="s">
        <v>58</v>
      </c>
      <c r="O605" t="s">
        <v>65</v>
      </c>
      <c r="P605" t="s">
        <v>116</v>
      </c>
    </row>
    <row r="606" spans="1:16" x14ac:dyDescent="0.3">
      <c r="A606" t="s">
        <v>928</v>
      </c>
      <c r="B606" s="1">
        <v>45519</v>
      </c>
      <c r="C606" t="s">
        <v>447</v>
      </c>
      <c r="D606" t="s">
        <v>85</v>
      </c>
      <c r="E606" t="s">
        <v>86</v>
      </c>
      <c r="F606" t="s">
        <v>20</v>
      </c>
      <c r="G606" t="s">
        <v>21</v>
      </c>
      <c r="H606" t="s">
        <v>126</v>
      </c>
      <c r="I606">
        <v>5</v>
      </c>
      <c r="J606">
        <v>1918.06</v>
      </c>
      <c r="K606">
        <v>0</v>
      </c>
      <c r="L606">
        <v>9590.2999999999993</v>
      </c>
      <c r="M606" t="s">
        <v>76</v>
      </c>
      <c r="N606" t="s">
        <v>49</v>
      </c>
      <c r="O606" t="s">
        <v>65</v>
      </c>
      <c r="P606" t="s">
        <v>50</v>
      </c>
    </row>
    <row r="607" spans="1:16" x14ac:dyDescent="0.3">
      <c r="A607" t="s">
        <v>929</v>
      </c>
      <c r="B607" s="1">
        <v>45757</v>
      </c>
      <c r="C607" t="s">
        <v>108</v>
      </c>
      <c r="D607" t="s">
        <v>29</v>
      </c>
      <c r="E607" t="s">
        <v>30</v>
      </c>
      <c r="F607" t="s">
        <v>31</v>
      </c>
      <c r="G607" t="s">
        <v>81</v>
      </c>
      <c r="H607" t="s">
        <v>87</v>
      </c>
      <c r="I607">
        <v>4</v>
      </c>
      <c r="J607">
        <v>3078.94</v>
      </c>
      <c r="K607">
        <v>0.08</v>
      </c>
      <c r="L607">
        <v>11330.5</v>
      </c>
      <c r="M607" t="s">
        <v>23</v>
      </c>
      <c r="N607" t="s">
        <v>49</v>
      </c>
      <c r="O607" t="s">
        <v>65</v>
      </c>
      <c r="P607" t="s">
        <v>59</v>
      </c>
    </row>
    <row r="608" spans="1:16" x14ac:dyDescent="0.3">
      <c r="A608" t="s">
        <v>930</v>
      </c>
      <c r="B608" s="1">
        <v>46020</v>
      </c>
      <c r="C608" t="s">
        <v>470</v>
      </c>
      <c r="D608" t="s">
        <v>96</v>
      </c>
      <c r="E608" t="s">
        <v>97</v>
      </c>
      <c r="F608" t="s">
        <v>31</v>
      </c>
      <c r="G608" t="s">
        <v>56</v>
      </c>
      <c r="H608" t="s">
        <v>123</v>
      </c>
      <c r="I608">
        <v>1</v>
      </c>
      <c r="J608">
        <v>1140.6500000000001</v>
      </c>
      <c r="K608">
        <v>0.2</v>
      </c>
      <c r="L608">
        <v>912.52</v>
      </c>
      <c r="M608" t="s">
        <v>76</v>
      </c>
      <c r="N608" t="s">
        <v>34</v>
      </c>
      <c r="O608" t="s">
        <v>65</v>
      </c>
      <c r="P608" t="s">
        <v>50</v>
      </c>
    </row>
    <row r="609" spans="1:16" x14ac:dyDescent="0.3">
      <c r="A609" t="s">
        <v>931</v>
      </c>
      <c r="B609" s="1">
        <v>46096</v>
      </c>
      <c r="C609" t="s">
        <v>78</v>
      </c>
      <c r="D609" t="s">
        <v>131</v>
      </c>
      <c r="E609" t="s">
        <v>132</v>
      </c>
      <c r="F609" t="s">
        <v>40</v>
      </c>
      <c r="G609" t="s">
        <v>81</v>
      </c>
      <c r="H609" t="s">
        <v>87</v>
      </c>
      <c r="I609">
        <v>4</v>
      </c>
      <c r="J609">
        <v>10071.129999999999</v>
      </c>
      <c r="K609">
        <v>0</v>
      </c>
      <c r="L609">
        <v>40284.519999999997</v>
      </c>
      <c r="M609" t="s">
        <v>23</v>
      </c>
      <c r="N609" t="s">
        <v>24</v>
      </c>
      <c r="O609" t="s">
        <v>65</v>
      </c>
      <c r="P609" t="s">
        <v>102</v>
      </c>
    </row>
    <row r="610" spans="1:16" x14ac:dyDescent="0.3">
      <c r="A610" t="s">
        <v>932</v>
      </c>
      <c r="B610" s="1">
        <v>45868</v>
      </c>
      <c r="C610" t="s">
        <v>236</v>
      </c>
      <c r="D610" t="s">
        <v>89</v>
      </c>
      <c r="E610" t="s">
        <v>90</v>
      </c>
      <c r="F610" t="s">
        <v>20</v>
      </c>
      <c r="G610" t="s">
        <v>32</v>
      </c>
      <c r="H610" t="s">
        <v>68</v>
      </c>
      <c r="I610">
        <v>4</v>
      </c>
      <c r="J610">
        <v>710.45</v>
      </c>
      <c r="K610">
        <v>0</v>
      </c>
      <c r="L610">
        <v>2841.8</v>
      </c>
      <c r="M610" t="s">
        <v>48</v>
      </c>
      <c r="N610" t="s">
        <v>71</v>
      </c>
      <c r="O610" t="s">
        <v>25</v>
      </c>
      <c r="P610" t="s">
        <v>26</v>
      </c>
    </row>
    <row r="611" spans="1:16" x14ac:dyDescent="0.3">
      <c r="A611" t="s">
        <v>933</v>
      </c>
      <c r="B611" s="1">
        <v>45388</v>
      </c>
      <c r="C611" t="s">
        <v>441</v>
      </c>
      <c r="D611" t="s">
        <v>170</v>
      </c>
      <c r="E611" t="s">
        <v>171</v>
      </c>
      <c r="F611" t="s">
        <v>31</v>
      </c>
      <c r="G611" t="s">
        <v>56</v>
      </c>
      <c r="H611" t="s">
        <v>101</v>
      </c>
      <c r="I611">
        <v>2</v>
      </c>
      <c r="J611">
        <v>61149.17</v>
      </c>
      <c r="K611">
        <v>0.05</v>
      </c>
      <c r="L611">
        <v>116183.42</v>
      </c>
      <c r="M611" t="s">
        <v>48</v>
      </c>
      <c r="N611" t="s">
        <v>58</v>
      </c>
      <c r="O611" t="s">
        <v>25</v>
      </c>
      <c r="P611" t="s">
        <v>42</v>
      </c>
    </row>
    <row r="612" spans="1:16" x14ac:dyDescent="0.3">
      <c r="A612" t="s">
        <v>934</v>
      </c>
      <c r="B612" s="1">
        <v>45598</v>
      </c>
      <c r="C612" t="s">
        <v>935</v>
      </c>
      <c r="D612" t="s">
        <v>96</v>
      </c>
      <c r="E612" t="s">
        <v>97</v>
      </c>
      <c r="F612" t="s">
        <v>31</v>
      </c>
      <c r="G612" t="s">
        <v>56</v>
      </c>
      <c r="H612" t="s">
        <v>64</v>
      </c>
      <c r="I612">
        <v>3</v>
      </c>
      <c r="J612">
        <v>1186.96</v>
      </c>
      <c r="K612">
        <v>0.1</v>
      </c>
      <c r="L612">
        <v>3204.79</v>
      </c>
      <c r="M612" t="s">
        <v>23</v>
      </c>
      <c r="N612" t="s">
        <v>49</v>
      </c>
      <c r="O612" t="s">
        <v>25</v>
      </c>
      <c r="P612" t="s">
        <v>116</v>
      </c>
    </row>
    <row r="613" spans="1:16" x14ac:dyDescent="0.3">
      <c r="A613" t="s">
        <v>936</v>
      </c>
      <c r="B613" s="1">
        <v>45424</v>
      </c>
      <c r="C613" t="s">
        <v>385</v>
      </c>
      <c r="D613" t="s">
        <v>89</v>
      </c>
      <c r="E613" t="s">
        <v>90</v>
      </c>
      <c r="F613" t="s">
        <v>20</v>
      </c>
      <c r="G613" t="s">
        <v>21</v>
      </c>
      <c r="H613" t="s">
        <v>22</v>
      </c>
      <c r="I613">
        <v>4</v>
      </c>
      <c r="J613">
        <v>652.54999999999995</v>
      </c>
      <c r="K613">
        <v>0.03</v>
      </c>
      <c r="L613">
        <v>2531.89</v>
      </c>
      <c r="M613" t="s">
        <v>48</v>
      </c>
      <c r="N613" t="s">
        <v>71</v>
      </c>
      <c r="O613" t="s">
        <v>65</v>
      </c>
      <c r="P613" t="s">
        <v>50</v>
      </c>
    </row>
    <row r="614" spans="1:16" x14ac:dyDescent="0.3">
      <c r="A614" t="s">
        <v>937</v>
      </c>
      <c r="B614" s="1">
        <v>45918</v>
      </c>
      <c r="C614" t="s">
        <v>544</v>
      </c>
      <c r="D614" t="s">
        <v>53</v>
      </c>
      <c r="E614" t="s">
        <v>54</v>
      </c>
      <c r="F614" t="s">
        <v>55</v>
      </c>
      <c r="G614" t="s">
        <v>32</v>
      </c>
      <c r="H614" t="s">
        <v>68</v>
      </c>
      <c r="I614">
        <v>4</v>
      </c>
      <c r="J614">
        <v>217.92</v>
      </c>
      <c r="K614">
        <v>0.05</v>
      </c>
      <c r="L614">
        <v>828.1</v>
      </c>
      <c r="M614" t="s">
        <v>76</v>
      </c>
      <c r="N614" t="s">
        <v>58</v>
      </c>
      <c r="O614" t="s">
        <v>65</v>
      </c>
      <c r="P614" t="s">
        <v>72</v>
      </c>
    </row>
    <row r="615" spans="1:16" x14ac:dyDescent="0.3">
      <c r="A615" t="s">
        <v>938</v>
      </c>
      <c r="B615" s="1">
        <v>45631</v>
      </c>
      <c r="C615" t="s">
        <v>776</v>
      </c>
      <c r="D615" t="s">
        <v>79</v>
      </c>
      <c r="E615" t="s">
        <v>80</v>
      </c>
      <c r="F615" t="s">
        <v>31</v>
      </c>
      <c r="G615" t="s">
        <v>81</v>
      </c>
      <c r="H615" t="s">
        <v>135</v>
      </c>
      <c r="I615">
        <v>3</v>
      </c>
      <c r="J615">
        <v>12433.51</v>
      </c>
      <c r="K615">
        <v>0.03</v>
      </c>
      <c r="L615">
        <v>36181.51</v>
      </c>
      <c r="M615" t="s">
        <v>76</v>
      </c>
      <c r="N615" t="s">
        <v>34</v>
      </c>
      <c r="O615" t="s">
        <v>25</v>
      </c>
      <c r="P615" t="s">
        <v>102</v>
      </c>
    </row>
    <row r="616" spans="1:16" x14ac:dyDescent="0.3">
      <c r="A616" t="s">
        <v>939</v>
      </c>
      <c r="B616" s="1">
        <v>45786</v>
      </c>
      <c r="C616" t="s">
        <v>397</v>
      </c>
      <c r="D616" t="s">
        <v>121</v>
      </c>
      <c r="E616" t="s">
        <v>122</v>
      </c>
      <c r="F616" t="s">
        <v>55</v>
      </c>
      <c r="G616" t="s">
        <v>21</v>
      </c>
      <c r="H616" t="s">
        <v>22</v>
      </c>
      <c r="I616">
        <v>1</v>
      </c>
      <c r="J616">
        <v>431.12</v>
      </c>
      <c r="K616">
        <v>0.15</v>
      </c>
      <c r="L616">
        <v>366.45</v>
      </c>
      <c r="M616" t="s">
        <v>23</v>
      </c>
      <c r="N616" t="s">
        <v>49</v>
      </c>
      <c r="O616" t="s">
        <v>65</v>
      </c>
      <c r="P616" t="s">
        <v>111</v>
      </c>
    </row>
    <row r="617" spans="1:16" x14ac:dyDescent="0.3">
      <c r="A617" t="s">
        <v>940</v>
      </c>
      <c r="B617" s="1">
        <v>45705</v>
      </c>
      <c r="C617" t="s">
        <v>125</v>
      </c>
      <c r="D617" t="s">
        <v>29</v>
      </c>
      <c r="E617" t="s">
        <v>30</v>
      </c>
      <c r="F617" t="s">
        <v>31</v>
      </c>
      <c r="G617" t="s">
        <v>56</v>
      </c>
      <c r="H617" t="s">
        <v>123</v>
      </c>
      <c r="I617">
        <v>1</v>
      </c>
      <c r="J617">
        <v>3310.64</v>
      </c>
      <c r="K617">
        <v>0.03</v>
      </c>
      <c r="L617">
        <v>3211.32</v>
      </c>
      <c r="M617" t="s">
        <v>48</v>
      </c>
      <c r="N617" t="s">
        <v>34</v>
      </c>
      <c r="O617" t="s">
        <v>65</v>
      </c>
      <c r="P617" t="s">
        <v>50</v>
      </c>
    </row>
    <row r="618" spans="1:16" x14ac:dyDescent="0.3">
      <c r="A618" t="s">
        <v>941</v>
      </c>
      <c r="B618" s="1">
        <v>45566</v>
      </c>
      <c r="C618" t="s">
        <v>104</v>
      </c>
      <c r="D618" t="s">
        <v>85</v>
      </c>
      <c r="E618" t="s">
        <v>86</v>
      </c>
      <c r="F618" t="s">
        <v>20</v>
      </c>
      <c r="G618" t="s">
        <v>21</v>
      </c>
      <c r="H618" t="s">
        <v>93</v>
      </c>
      <c r="I618">
        <v>1</v>
      </c>
      <c r="J618">
        <v>1699.91</v>
      </c>
      <c r="K618">
        <v>0</v>
      </c>
      <c r="L618">
        <v>1699.91</v>
      </c>
      <c r="M618" t="s">
        <v>23</v>
      </c>
      <c r="N618" t="s">
        <v>58</v>
      </c>
      <c r="O618" t="s">
        <v>65</v>
      </c>
      <c r="P618" t="s">
        <v>42</v>
      </c>
    </row>
    <row r="619" spans="1:16" x14ac:dyDescent="0.3">
      <c r="A619" t="s">
        <v>942</v>
      </c>
      <c r="B619" s="1">
        <v>45532</v>
      </c>
      <c r="C619" t="s">
        <v>159</v>
      </c>
      <c r="D619" t="s">
        <v>89</v>
      </c>
      <c r="E619" t="s">
        <v>90</v>
      </c>
      <c r="F619" t="s">
        <v>20</v>
      </c>
      <c r="G619" t="s">
        <v>81</v>
      </c>
      <c r="H619" t="s">
        <v>82</v>
      </c>
      <c r="I619">
        <v>1</v>
      </c>
      <c r="J619">
        <v>648.82000000000005</v>
      </c>
      <c r="K619">
        <v>0.2</v>
      </c>
      <c r="L619">
        <v>519.05999999999995</v>
      </c>
      <c r="M619" t="s">
        <v>23</v>
      </c>
      <c r="N619" t="s">
        <v>24</v>
      </c>
      <c r="O619" t="s">
        <v>65</v>
      </c>
      <c r="P619" t="s">
        <v>42</v>
      </c>
    </row>
    <row r="620" spans="1:16" x14ac:dyDescent="0.3">
      <c r="A620" t="s">
        <v>943</v>
      </c>
      <c r="B620" s="1">
        <v>46032</v>
      </c>
      <c r="C620" t="s">
        <v>190</v>
      </c>
      <c r="D620" t="s">
        <v>121</v>
      </c>
      <c r="E620" t="s">
        <v>122</v>
      </c>
      <c r="F620" t="s">
        <v>55</v>
      </c>
      <c r="G620" t="s">
        <v>32</v>
      </c>
      <c r="H620" t="s">
        <v>47</v>
      </c>
      <c r="I620">
        <v>1</v>
      </c>
      <c r="J620">
        <v>429.96</v>
      </c>
      <c r="K620">
        <v>0.05</v>
      </c>
      <c r="L620">
        <v>408.46</v>
      </c>
      <c r="M620" t="s">
        <v>23</v>
      </c>
      <c r="N620" t="s">
        <v>24</v>
      </c>
      <c r="O620" t="s">
        <v>65</v>
      </c>
      <c r="P620" t="s">
        <v>59</v>
      </c>
    </row>
    <row r="621" spans="1:16" x14ac:dyDescent="0.3">
      <c r="A621" t="s">
        <v>944</v>
      </c>
      <c r="B621" s="1">
        <v>46114</v>
      </c>
      <c r="C621" t="s">
        <v>373</v>
      </c>
      <c r="D621" t="s">
        <v>29</v>
      </c>
      <c r="E621" t="s">
        <v>30</v>
      </c>
      <c r="F621" t="s">
        <v>31</v>
      </c>
      <c r="G621" t="s">
        <v>32</v>
      </c>
      <c r="H621" t="s">
        <v>75</v>
      </c>
      <c r="I621">
        <v>2</v>
      </c>
      <c r="J621">
        <v>3277.8</v>
      </c>
      <c r="K621">
        <v>0.2</v>
      </c>
      <c r="L621">
        <v>5244.48</v>
      </c>
      <c r="M621" t="s">
        <v>76</v>
      </c>
      <c r="N621" t="s">
        <v>24</v>
      </c>
      <c r="O621" t="s">
        <v>65</v>
      </c>
      <c r="P621" t="s">
        <v>102</v>
      </c>
    </row>
    <row r="622" spans="1:16" x14ac:dyDescent="0.3">
      <c r="A622" t="s">
        <v>945</v>
      </c>
      <c r="B622" s="1">
        <v>45647</v>
      </c>
      <c r="C622" t="s">
        <v>946</v>
      </c>
      <c r="D622" t="s">
        <v>53</v>
      </c>
      <c r="E622" t="s">
        <v>54</v>
      </c>
      <c r="F622" t="s">
        <v>55</v>
      </c>
      <c r="G622" t="s">
        <v>81</v>
      </c>
      <c r="H622" t="s">
        <v>135</v>
      </c>
      <c r="I622">
        <v>2</v>
      </c>
      <c r="J622">
        <v>221.62</v>
      </c>
      <c r="K622">
        <v>0.15</v>
      </c>
      <c r="L622">
        <v>376.75</v>
      </c>
      <c r="M622" t="s">
        <v>23</v>
      </c>
      <c r="N622" t="s">
        <v>71</v>
      </c>
      <c r="O622" t="s">
        <v>65</v>
      </c>
      <c r="P622" t="s">
        <v>26</v>
      </c>
    </row>
    <row r="623" spans="1:16" x14ac:dyDescent="0.3">
      <c r="A623" t="s">
        <v>947</v>
      </c>
      <c r="B623" s="1">
        <v>45577</v>
      </c>
      <c r="C623" t="s">
        <v>352</v>
      </c>
      <c r="D623" t="s">
        <v>38</v>
      </c>
      <c r="E623" t="s">
        <v>39</v>
      </c>
      <c r="F623" t="s">
        <v>40</v>
      </c>
      <c r="G623" t="s">
        <v>32</v>
      </c>
      <c r="H623" t="s">
        <v>33</v>
      </c>
      <c r="I623">
        <v>3</v>
      </c>
      <c r="J623">
        <v>1682.32</v>
      </c>
      <c r="K623">
        <v>0.05</v>
      </c>
      <c r="L623">
        <v>4794.6099999999997</v>
      </c>
      <c r="M623" t="s">
        <v>76</v>
      </c>
      <c r="N623" t="s">
        <v>49</v>
      </c>
      <c r="O623" t="s">
        <v>35</v>
      </c>
      <c r="P623" t="s">
        <v>50</v>
      </c>
    </row>
    <row r="624" spans="1:16" x14ac:dyDescent="0.3">
      <c r="A624" t="s">
        <v>948</v>
      </c>
      <c r="B624" s="1">
        <v>45905</v>
      </c>
      <c r="C624" t="s">
        <v>949</v>
      </c>
      <c r="D624" t="s">
        <v>62</v>
      </c>
      <c r="E624" t="s">
        <v>63</v>
      </c>
      <c r="F624" t="s">
        <v>31</v>
      </c>
      <c r="G624" t="s">
        <v>32</v>
      </c>
      <c r="H624" t="s">
        <v>33</v>
      </c>
      <c r="I624">
        <v>3</v>
      </c>
      <c r="J624">
        <v>2684.19</v>
      </c>
      <c r="K624">
        <v>0.08</v>
      </c>
      <c r="L624">
        <v>7408.36</v>
      </c>
      <c r="M624" t="s">
        <v>23</v>
      </c>
      <c r="N624" t="s">
        <v>58</v>
      </c>
      <c r="O624" t="s">
        <v>65</v>
      </c>
      <c r="P624" t="s">
        <v>72</v>
      </c>
    </row>
    <row r="625" spans="1:16" x14ac:dyDescent="0.3">
      <c r="A625" t="s">
        <v>950</v>
      </c>
      <c r="B625" s="1">
        <v>45946</v>
      </c>
      <c r="C625" t="s">
        <v>297</v>
      </c>
      <c r="D625" t="s">
        <v>121</v>
      </c>
      <c r="E625" t="s">
        <v>122</v>
      </c>
      <c r="F625" t="s">
        <v>55</v>
      </c>
      <c r="G625" t="s">
        <v>32</v>
      </c>
      <c r="H625" t="s">
        <v>33</v>
      </c>
      <c r="I625">
        <v>1</v>
      </c>
      <c r="J625">
        <v>453.4</v>
      </c>
      <c r="K625">
        <v>0.1</v>
      </c>
      <c r="L625">
        <v>408.06</v>
      </c>
      <c r="M625" t="s">
        <v>76</v>
      </c>
      <c r="N625" t="s">
        <v>34</v>
      </c>
      <c r="O625" t="s">
        <v>65</v>
      </c>
      <c r="P625" t="s">
        <v>111</v>
      </c>
    </row>
    <row r="626" spans="1:16" x14ac:dyDescent="0.3">
      <c r="A626" t="s">
        <v>951</v>
      </c>
      <c r="B626" s="1">
        <v>45460</v>
      </c>
      <c r="C626" t="s">
        <v>166</v>
      </c>
      <c r="D626" t="s">
        <v>131</v>
      </c>
      <c r="E626" t="s">
        <v>132</v>
      </c>
      <c r="F626" t="s">
        <v>40</v>
      </c>
      <c r="G626" t="s">
        <v>56</v>
      </c>
      <c r="H626" t="s">
        <v>123</v>
      </c>
      <c r="I626">
        <v>5</v>
      </c>
      <c r="J626">
        <v>9956.1200000000008</v>
      </c>
      <c r="K626">
        <v>0</v>
      </c>
      <c r="L626">
        <v>49780.6</v>
      </c>
      <c r="M626" t="s">
        <v>48</v>
      </c>
      <c r="N626" t="s">
        <v>49</v>
      </c>
      <c r="O626" t="s">
        <v>35</v>
      </c>
      <c r="P626" t="s">
        <v>111</v>
      </c>
    </row>
    <row r="627" spans="1:16" x14ac:dyDescent="0.3">
      <c r="A627" t="s">
        <v>952</v>
      </c>
      <c r="B627" s="1">
        <v>45439</v>
      </c>
      <c r="C627" t="s">
        <v>375</v>
      </c>
      <c r="D627" t="s">
        <v>121</v>
      </c>
      <c r="E627" t="s">
        <v>122</v>
      </c>
      <c r="F627" t="s">
        <v>55</v>
      </c>
      <c r="G627" t="s">
        <v>21</v>
      </c>
      <c r="H627" t="s">
        <v>93</v>
      </c>
      <c r="I627">
        <v>2</v>
      </c>
      <c r="J627">
        <v>470.82</v>
      </c>
      <c r="L627">
        <v>941.64</v>
      </c>
      <c r="M627" t="s">
        <v>48</v>
      </c>
      <c r="N627" t="s">
        <v>49</v>
      </c>
      <c r="O627" t="s">
        <v>35</v>
      </c>
      <c r="P627" t="s">
        <v>102</v>
      </c>
    </row>
    <row r="628" spans="1:16" x14ac:dyDescent="0.3">
      <c r="A628" t="s">
        <v>953</v>
      </c>
      <c r="B628" s="1">
        <v>46096</v>
      </c>
      <c r="C628" t="s">
        <v>404</v>
      </c>
      <c r="D628" t="s">
        <v>45</v>
      </c>
      <c r="E628" t="s">
        <v>46</v>
      </c>
      <c r="F628" t="s">
        <v>31</v>
      </c>
      <c r="G628" t="s">
        <v>32</v>
      </c>
      <c r="H628" t="s">
        <v>47</v>
      </c>
      <c r="I628">
        <v>2</v>
      </c>
      <c r="J628">
        <v>1776.86</v>
      </c>
      <c r="K628">
        <v>0.05</v>
      </c>
      <c r="L628">
        <v>3376.03</v>
      </c>
      <c r="M628" t="s">
        <v>23</v>
      </c>
      <c r="N628" t="s">
        <v>71</v>
      </c>
      <c r="O628" t="s">
        <v>65</v>
      </c>
      <c r="P628" t="s">
        <v>111</v>
      </c>
    </row>
    <row r="629" spans="1:16" x14ac:dyDescent="0.3">
      <c r="A629" t="s">
        <v>954</v>
      </c>
      <c r="B629" s="1">
        <v>45662</v>
      </c>
      <c r="C629" t="s">
        <v>411</v>
      </c>
      <c r="D629" t="s">
        <v>121</v>
      </c>
      <c r="E629" t="s">
        <v>122</v>
      </c>
      <c r="F629" t="s">
        <v>55</v>
      </c>
      <c r="G629" t="s">
        <v>21</v>
      </c>
      <c r="H629" t="s">
        <v>93</v>
      </c>
      <c r="I629">
        <v>3</v>
      </c>
      <c r="J629">
        <v>425.25</v>
      </c>
      <c r="K629">
        <v>0.1</v>
      </c>
      <c r="L629">
        <v>1148.17</v>
      </c>
      <c r="M629" t="s">
        <v>23</v>
      </c>
      <c r="N629" t="s">
        <v>58</v>
      </c>
      <c r="O629" t="s">
        <v>65</v>
      </c>
      <c r="P629" t="s">
        <v>42</v>
      </c>
    </row>
    <row r="630" spans="1:16" x14ac:dyDescent="0.3">
      <c r="A630" t="s">
        <v>955</v>
      </c>
      <c r="B630" s="1">
        <v>45559</v>
      </c>
      <c r="C630" t="s">
        <v>810</v>
      </c>
      <c r="D630" t="s">
        <v>29</v>
      </c>
      <c r="E630" t="s">
        <v>30</v>
      </c>
      <c r="F630" t="s">
        <v>31</v>
      </c>
      <c r="G630" t="s">
        <v>81</v>
      </c>
      <c r="H630" t="s">
        <v>87</v>
      </c>
      <c r="I630">
        <v>2</v>
      </c>
      <c r="J630">
        <v>3416.69</v>
      </c>
      <c r="K630">
        <v>0.08</v>
      </c>
      <c r="L630">
        <v>6286.71</v>
      </c>
      <c r="M630" t="s">
        <v>76</v>
      </c>
      <c r="N630" t="s">
        <v>71</v>
      </c>
      <c r="O630" t="s">
        <v>65</v>
      </c>
      <c r="P630" t="s">
        <v>50</v>
      </c>
    </row>
    <row r="631" spans="1:16" x14ac:dyDescent="0.3">
      <c r="A631" t="s">
        <v>956</v>
      </c>
      <c r="B631" s="1">
        <v>45358</v>
      </c>
      <c r="C631" t="s">
        <v>957</v>
      </c>
      <c r="D631" t="s">
        <v>29</v>
      </c>
      <c r="E631" t="s">
        <v>30</v>
      </c>
      <c r="F631" t="s">
        <v>31</v>
      </c>
      <c r="G631" t="s">
        <v>81</v>
      </c>
      <c r="H631" t="s">
        <v>135</v>
      </c>
      <c r="I631">
        <v>3</v>
      </c>
      <c r="J631">
        <v>3335.58</v>
      </c>
      <c r="K631">
        <v>0</v>
      </c>
      <c r="L631">
        <v>10006.74</v>
      </c>
      <c r="M631" t="s">
        <v>76</v>
      </c>
      <c r="N631" t="s">
        <v>71</v>
      </c>
      <c r="O631" t="s">
        <v>65</v>
      </c>
      <c r="P631" t="s">
        <v>50</v>
      </c>
    </row>
    <row r="632" spans="1:16" x14ac:dyDescent="0.3">
      <c r="A632" t="s">
        <v>958</v>
      </c>
      <c r="B632" s="1">
        <v>45474</v>
      </c>
      <c r="C632" t="s">
        <v>306</v>
      </c>
      <c r="D632" t="s">
        <v>131</v>
      </c>
      <c r="E632" t="s">
        <v>132</v>
      </c>
      <c r="F632" t="s">
        <v>40</v>
      </c>
      <c r="G632" t="s">
        <v>81</v>
      </c>
      <c r="H632" t="s">
        <v>82</v>
      </c>
      <c r="I632">
        <v>3</v>
      </c>
      <c r="J632">
        <v>9783.8700000000008</v>
      </c>
      <c r="K632">
        <v>0.03</v>
      </c>
      <c r="L632">
        <v>28471.06</v>
      </c>
      <c r="M632" t="s">
        <v>48</v>
      </c>
      <c r="N632" t="s">
        <v>24</v>
      </c>
      <c r="O632" t="s">
        <v>65</v>
      </c>
      <c r="P632" t="s">
        <v>116</v>
      </c>
    </row>
    <row r="633" spans="1:16" x14ac:dyDescent="0.3">
      <c r="A633" t="s">
        <v>959</v>
      </c>
      <c r="B633" s="1">
        <v>45892</v>
      </c>
      <c r="C633" t="s">
        <v>379</v>
      </c>
      <c r="D633" t="s">
        <v>121</v>
      </c>
      <c r="E633" t="s">
        <v>122</v>
      </c>
      <c r="F633" t="s">
        <v>55</v>
      </c>
      <c r="G633" t="s">
        <v>21</v>
      </c>
      <c r="H633" t="s">
        <v>22</v>
      </c>
      <c r="I633">
        <v>3</v>
      </c>
      <c r="J633">
        <v>479.33</v>
      </c>
      <c r="K633">
        <v>0.05</v>
      </c>
      <c r="L633">
        <v>1366.09</v>
      </c>
      <c r="M633" t="s">
        <v>48</v>
      </c>
      <c r="N633" t="s">
        <v>49</v>
      </c>
      <c r="O633" t="s">
        <v>65</v>
      </c>
      <c r="P633" t="s">
        <v>26</v>
      </c>
    </row>
    <row r="634" spans="1:16" x14ac:dyDescent="0.3">
      <c r="A634" t="s">
        <v>960</v>
      </c>
      <c r="B634" s="1">
        <v>45829</v>
      </c>
      <c r="C634" t="s">
        <v>672</v>
      </c>
      <c r="D634" t="s">
        <v>62</v>
      </c>
      <c r="E634" t="s">
        <v>63</v>
      </c>
      <c r="F634" t="s">
        <v>31</v>
      </c>
      <c r="G634" t="s">
        <v>56</v>
      </c>
      <c r="H634" t="s">
        <v>57</v>
      </c>
      <c r="I634">
        <v>3</v>
      </c>
      <c r="J634">
        <v>2946.83</v>
      </c>
      <c r="K634">
        <v>0.05</v>
      </c>
      <c r="L634">
        <v>8398.4699999999993</v>
      </c>
      <c r="M634" t="s">
        <v>48</v>
      </c>
      <c r="N634" t="s">
        <v>49</v>
      </c>
      <c r="O634" t="s">
        <v>65</v>
      </c>
      <c r="P634" t="s">
        <v>42</v>
      </c>
    </row>
    <row r="635" spans="1:16" x14ac:dyDescent="0.3">
      <c r="A635" t="s">
        <v>961</v>
      </c>
      <c r="B635" s="1">
        <v>45992</v>
      </c>
      <c r="C635" t="s">
        <v>212</v>
      </c>
      <c r="D635" t="s">
        <v>131</v>
      </c>
      <c r="E635" t="s">
        <v>132</v>
      </c>
      <c r="F635" t="s">
        <v>40</v>
      </c>
      <c r="G635" t="s">
        <v>56</v>
      </c>
      <c r="H635" t="s">
        <v>123</v>
      </c>
      <c r="I635">
        <v>5</v>
      </c>
      <c r="J635">
        <v>10055.08</v>
      </c>
      <c r="K635">
        <v>0.1</v>
      </c>
      <c r="L635">
        <v>45247.86</v>
      </c>
      <c r="M635" t="s">
        <v>76</v>
      </c>
      <c r="N635" t="s">
        <v>24</v>
      </c>
      <c r="O635" t="s">
        <v>35</v>
      </c>
      <c r="P635" t="s">
        <v>102</v>
      </c>
    </row>
    <row r="636" spans="1:16" x14ac:dyDescent="0.3">
      <c r="A636" t="s">
        <v>962</v>
      </c>
      <c r="B636" s="1">
        <v>45792</v>
      </c>
      <c r="C636" t="s">
        <v>963</v>
      </c>
      <c r="D636" t="s">
        <v>18</v>
      </c>
      <c r="E636" t="s">
        <v>19</v>
      </c>
      <c r="F636" t="s">
        <v>20</v>
      </c>
      <c r="G636" t="s">
        <v>21</v>
      </c>
      <c r="H636" t="s">
        <v>126</v>
      </c>
      <c r="I636">
        <v>5</v>
      </c>
      <c r="J636">
        <v>917.52</v>
      </c>
      <c r="K636">
        <v>0.05</v>
      </c>
      <c r="L636">
        <v>4358.22</v>
      </c>
      <c r="M636" t="s">
        <v>23</v>
      </c>
      <c r="N636" t="s">
        <v>71</v>
      </c>
      <c r="O636" t="s">
        <v>65</v>
      </c>
      <c r="P636" t="s">
        <v>111</v>
      </c>
    </row>
    <row r="637" spans="1:16" x14ac:dyDescent="0.3">
      <c r="A637" t="s">
        <v>964</v>
      </c>
      <c r="B637" s="1">
        <v>45729</v>
      </c>
      <c r="C637" t="s">
        <v>483</v>
      </c>
      <c r="D637" t="s">
        <v>85</v>
      </c>
      <c r="E637" t="s">
        <v>86</v>
      </c>
      <c r="F637" t="s">
        <v>20</v>
      </c>
      <c r="G637" t="s">
        <v>32</v>
      </c>
      <c r="H637" t="s">
        <v>75</v>
      </c>
      <c r="I637">
        <v>3</v>
      </c>
      <c r="J637">
        <v>1866.57</v>
      </c>
      <c r="K637">
        <v>0.2</v>
      </c>
      <c r="L637">
        <v>4479.7700000000004</v>
      </c>
      <c r="M637" t="s">
        <v>23</v>
      </c>
      <c r="N637" t="s">
        <v>24</v>
      </c>
      <c r="O637" t="s">
        <v>65</v>
      </c>
      <c r="P637" t="s">
        <v>116</v>
      </c>
    </row>
    <row r="638" spans="1:16" x14ac:dyDescent="0.3">
      <c r="A638" t="s">
        <v>965</v>
      </c>
      <c r="B638" s="1">
        <v>45422</v>
      </c>
      <c r="C638" t="s">
        <v>28</v>
      </c>
      <c r="D638" t="s">
        <v>53</v>
      </c>
      <c r="E638" t="s">
        <v>54</v>
      </c>
      <c r="F638" t="s">
        <v>55</v>
      </c>
      <c r="G638" t="s">
        <v>56</v>
      </c>
      <c r="H638" t="s">
        <v>57</v>
      </c>
      <c r="I638">
        <v>1</v>
      </c>
      <c r="J638">
        <v>232.53</v>
      </c>
      <c r="K638">
        <v>0</v>
      </c>
      <c r="L638">
        <v>232.53</v>
      </c>
      <c r="M638" t="s">
        <v>48</v>
      </c>
      <c r="N638" t="s">
        <v>71</v>
      </c>
      <c r="O638" t="s">
        <v>35</v>
      </c>
      <c r="P638" t="s">
        <v>26</v>
      </c>
    </row>
    <row r="639" spans="1:16" x14ac:dyDescent="0.3">
      <c r="A639" t="s">
        <v>966</v>
      </c>
      <c r="B639" s="1">
        <v>45648</v>
      </c>
      <c r="C639" t="s">
        <v>137</v>
      </c>
      <c r="D639" t="s">
        <v>170</v>
      </c>
      <c r="E639" t="s">
        <v>171</v>
      </c>
      <c r="F639" t="s">
        <v>31</v>
      </c>
      <c r="G639" t="s">
        <v>21</v>
      </c>
      <c r="H639" t="s">
        <v>93</v>
      </c>
      <c r="I639">
        <v>4</v>
      </c>
      <c r="J639">
        <v>63783.18</v>
      </c>
      <c r="K639">
        <v>0</v>
      </c>
      <c r="L639">
        <v>255132.72</v>
      </c>
      <c r="M639" t="s">
        <v>76</v>
      </c>
      <c r="N639" t="s">
        <v>58</v>
      </c>
      <c r="O639" t="s">
        <v>65</v>
      </c>
      <c r="P639" t="s">
        <v>72</v>
      </c>
    </row>
    <row r="640" spans="1:16" x14ac:dyDescent="0.3">
      <c r="A640" t="s">
        <v>967</v>
      </c>
      <c r="B640" s="1">
        <v>45382</v>
      </c>
      <c r="C640" t="s">
        <v>259</v>
      </c>
      <c r="D640" t="s">
        <v>29</v>
      </c>
      <c r="E640" t="s">
        <v>30</v>
      </c>
      <c r="F640" t="s">
        <v>31</v>
      </c>
      <c r="G640" t="s">
        <v>32</v>
      </c>
      <c r="H640" t="s">
        <v>33</v>
      </c>
      <c r="I640">
        <v>3</v>
      </c>
      <c r="J640">
        <v>3071.99</v>
      </c>
      <c r="K640">
        <v>0</v>
      </c>
      <c r="L640">
        <v>9215.9699999999993</v>
      </c>
      <c r="M640" t="s">
        <v>76</v>
      </c>
      <c r="N640" t="s">
        <v>58</v>
      </c>
      <c r="O640" t="s">
        <v>65</v>
      </c>
    </row>
    <row r="641" spans="1:16" x14ac:dyDescent="0.3">
      <c r="A641" t="s">
        <v>968</v>
      </c>
      <c r="B641" s="1">
        <v>45724</v>
      </c>
      <c r="C641" t="s">
        <v>460</v>
      </c>
      <c r="D641" t="s">
        <v>29</v>
      </c>
      <c r="E641" t="s">
        <v>30</v>
      </c>
      <c r="F641" t="s">
        <v>31</v>
      </c>
      <c r="G641" t="s">
        <v>21</v>
      </c>
      <c r="H641" t="s">
        <v>22</v>
      </c>
      <c r="I641">
        <v>1</v>
      </c>
      <c r="J641">
        <v>3408.74</v>
      </c>
      <c r="K641">
        <v>0</v>
      </c>
      <c r="L641">
        <v>3408.74</v>
      </c>
      <c r="M641" t="s">
        <v>48</v>
      </c>
      <c r="N641" t="s">
        <v>24</v>
      </c>
      <c r="O641" t="s">
        <v>65</v>
      </c>
      <c r="P641" t="s">
        <v>50</v>
      </c>
    </row>
    <row r="642" spans="1:16" x14ac:dyDescent="0.3">
      <c r="A642" t="s">
        <v>969</v>
      </c>
      <c r="B642" s="1">
        <v>45898</v>
      </c>
      <c r="C642" t="s">
        <v>17</v>
      </c>
      <c r="D642" t="s">
        <v>53</v>
      </c>
      <c r="E642" t="s">
        <v>54</v>
      </c>
      <c r="F642" t="s">
        <v>55</v>
      </c>
      <c r="G642" t="s">
        <v>21</v>
      </c>
      <c r="H642" t="s">
        <v>22</v>
      </c>
      <c r="I642">
        <v>2</v>
      </c>
      <c r="J642">
        <v>216.35</v>
      </c>
      <c r="K642">
        <v>0.08</v>
      </c>
      <c r="L642">
        <v>398.08</v>
      </c>
      <c r="M642" t="s">
        <v>76</v>
      </c>
      <c r="N642" t="s">
        <v>71</v>
      </c>
      <c r="O642" t="s">
        <v>65</v>
      </c>
      <c r="P642" t="s">
        <v>26</v>
      </c>
    </row>
    <row r="643" spans="1:16" x14ac:dyDescent="0.3">
      <c r="A643" t="s">
        <v>970</v>
      </c>
      <c r="B643" s="1">
        <v>45309</v>
      </c>
      <c r="C643" t="s">
        <v>343</v>
      </c>
      <c r="D643" t="s">
        <v>89</v>
      </c>
      <c r="E643" t="s">
        <v>90</v>
      </c>
      <c r="F643" t="s">
        <v>20</v>
      </c>
      <c r="G643" t="s">
        <v>56</v>
      </c>
      <c r="H643" t="s">
        <v>57</v>
      </c>
      <c r="I643">
        <v>2</v>
      </c>
      <c r="J643">
        <v>695.47</v>
      </c>
      <c r="K643">
        <v>0.08</v>
      </c>
      <c r="L643">
        <v>1279.6600000000001</v>
      </c>
      <c r="M643" t="s">
        <v>23</v>
      </c>
      <c r="N643" t="s">
        <v>49</v>
      </c>
      <c r="O643" t="s">
        <v>65</v>
      </c>
      <c r="P643" t="s">
        <v>102</v>
      </c>
    </row>
    <row r="644" spans="1:16" x14ac:dyDescent="0.3">
      <c r="A644" t="s">
        <v>971</v>
      </c>
      <c r="B644" s="1">
        <v>45523</v>
      </c>
      <c r="C644" t="s">
        <v>548</v>
      </c>
      <c r="D644" t="s">
        <v>131</v>
      </c>
      <c r="E644" t="s">
        <v>132</v>
      </c>
      <c r="F644" t="s">
        <v>40</v>
      </c>
      <c r="G644" t="s">
        <v>21</v>
      </c>
      <c r="H644" t="s">
        <v>126</v>
      </c>
      <c r="I644">
        <v>4</v>
      </c>
      <c r="J644">
        <v>9669.8799999999992</v>
      </c>
      <c r="K644">
        <v>0</v>
      </c>
      <c r="L644">
        <v>38679.519999999997</v>
      </c>
      <c r="M644" t="s">
        <v>48</v>
      </c>
      <c r="N644" t="s">
        <v>34</v>
      </c>
      <c r="O644" t="s">
        <v>65</v>
      </c>
      <c r="P644" t="s">
        <v>26</v>
      </c>
    </row>
    <row r="645" spans="1:16" x14ac:dyDescent="0.3">
      <c r="A645" t="s">
        <v>972</v>
      </c>
      <c r="B645" s="1">
        <v>46111</v>
      </c>
      <c r="C645" t="s">
        <v>313</v>
      </c>
      <c r="D645" t="s">
        <v>45</v>
      </c>
      <c r="E645" t="s">
        <v>46</v>
      </c>
      <c r="F645" t="s">
        <v>31</v>
      </c>
      <c r="G645" t="s">
        <v>21</v>
      </c>
      <c r="H645" t="s">
        <v>93</v>
      </c>
      <c r="I645">
        <v>4</v>
      </c>
      <c r="J645">
        <v>1857.43</v>
      </c>
      <c r="K645">
        <v>0</v>
      </c>
      <c r="L645">
        <v>7429.72</v>
      </c>
      <c r="M645" t="s">
        <v>76</v>
      </c>
      <c r="N645" t="s">
        <v>34</v>
      </c>
      <c r="O645" t="s">
        <v>25</v>
      </c>
      <c r="P645" t="s">
        <v>111</v>
      </c>
    </row>
    <row r="646" spans="1:16" x14ac:dyDescent="0.3">
      <c r="A646" t="s">
        <v>973</v>
      </c>
      <c r="B646" s="1">
        <v>45886</v>
      </c>
      <c r="C646" t="s">
        <v>715</v>
      </c>
      <c r="D646" t="s">
        <v>96</v>
      </c>
      <c r="E646" t="s">
        <v>97</v>
      </c>
      <c r="F646" t="s">
        <v>31</v>
      </c>
      <c r="G646" t="s">
        <v>32</v>
      </c>
      <c r="H646" t="s">
        <v>68</v>
      </c>
      <c r="I646">
        <v>1</v>
      </c>
      <c r="J646">
        <v>1198.7</v>
      </c>
      <c r="K646">
        <v>0.03</v>
      </c>
      <c r="L646">
        <v>1162.74</v>
      </c>
      <c r="M646" t="s">
        <v>23</v>
      </c>
      <c r="N646" t="s">
        <v>24</v>
      </c>
      <c r="O646" t="s">
        <v>35</v>
      </c>
      <c r="P646" t="s">
        <v>102</v>
      </c>
    </row>
    <row r="647" spans="1:16" x14ac:dyDescent="0.3">
      <c r="A647" t="s">
        <v>974</v>
      </c>
      <c r="B647" s="1">
        <v>45795</v>
      </c>
      <c r="C647" t="s">
        <v>599</v>
      </c>
      <c r="D647" t="s">
        <v>176</v>
      </c>
      <c r="E647" t="s">
        <v>177</v>
      </c>
      <c r="F647" t="s">
        <v>31</v>
      </c>
      <c r="G647" t="s">
        <v>756</v>
      </c>
      <c r="H647" t="s">
        <v>68</v>
      </c>
      <c r="I647">
        <v>5</v>
      </c>
      <c r="J647">
        <v>2206.7399999999998</v>
      </c>
      <c r="K647">
        <v>0.03</v>
      </c>
      <c r="L647">
        <v>10702.69</v>
      </c>
      <c r="M647" t="s">
        <v>23</v>
      </c>
      <c r="N647" t="s">
        <v>34</v>
      </c>
      <c r="O647" t="s">
        <v>35</v>
      </c>
      <c r="P647" t="s">
        <v>50</v>
      </c>
    </row>
    <row r="648" spans="1:16" x14ac:dyDescent="0.3">
      <c r="A648" t="s">
        <v>975</v>
      </c>
      <c r="B648" s="1">
        <v>46108</v>
      </c>
      <c r="C648" t="s">
        <v>556</v>
      </c>
      <c r="D648" t="s">
        <v>96</v>
      </c>
      <c r="E648" t="s">
        <v>97</v>
      </c>
      <c r="F648" t="s">
        <v>31</v>
      </c>
      <c r="G648" t="s">
        <v>21</v>
      </c>
      <c r="H648" t="s">
        <v>22</v>
      </c>
      <c r="I648">
        <v>2</v>
      </c>
      <c r="J648">
        <v>1124.32</v>
      </c>
      <c r="K648">
        <v>0</v>
      </c>
      <c r="L648">
        <v>2248.64</v>
      </c>
      <c r="M648" t="s">
        <v>76</v>
      </c>
      <c r="N648" t="s">
        <v>71</v>
      </c>
      <c r="O648" t="s">
        <v>35</v>
      </c>
      <c r="P648" t="s">
        <v>102</v>
      </c>
    </row>
    <row r="649" spans="1:16" x14ac:dyDescent="0.3">
      <c r="A649" t="s">
        <v>976</v>
      </c>
      <c r="B649" s="1">
        <v>45976</v>
      </c>
      <c r="C649" t="s">
        <v>251</v>
      </c>
      <c r="D649" t="s">
        <v>79</v>
      </c>
      <c r="E649" t="s">
        <v>80</v>
      </c>
      <c r="F649" t="s">
        <v>31</v>
      </c>
      <c r="G649" t="s">
        <v>81</v>
      </c>
      <c r="H649" t="s">
        <v>98</v>
      </c>
      <c r="I649">
        <v>4</v>
      </c>
      <c r="J649">
        <v>12397.61</v>
      </c>
      <c r="K649">
        <v>0</v>
      </c>
      <c r="L649">
        <v>49590.44</v>
      </c>
      <c r="M649" t="s">
        <v>48</v>
      </c>
      <c r="N649" t="s">
        <v>49</v>
      </c>
      <c r="O649" t="s">
        <v>65</v>
      </c>
      <c r="P649" t="s">
        <v>42</v>
      </c>
    </row>
    <row r="650" spans="1:16" x14ac:dyDescent="0.3">
      <c r="A650" t="s">
        <v>977</v>
      </c>
      <c r="B650" s="1">
        <v>45352</v>
      </c>
      <c r="C650" t="s">
        <v>149</v>
      </c>
      <c r="D650" t="s">
        <v>121</v>
      </c>
      <c r="E650" t="s">
        <v>122</v>
      </c>
      <c r="F650" t="s">
        <v>55</v>
      </c>
      <c r="G650" t="s">
        <v>56</v>
      </c>
      <c r="H650" t="s">
        <v>64</v>
      </c>
      <c r="I650">
        <v>1</v>
      </c>
      <c r="J650">
        <v>427.36</v>
      </c>
      <c r="K650">
        <v>0.08</v>
      </c>
      <c r="L650">
        <v>393.17</v>
      </c>
      <c r="M650" t="s">
        <v>48</v>
      </c>
      <c r="N650" t="s">
        <v>58</v>
      </c>
      <c r="O650" t="s">
        <v>65</v>
      </c>
      <c r="P650" t="s">
        <v>50</v>
      </c>
    </row>
    <row r="651" spans="1:16" x14ac:dyDescent="0.3">
      <c r="A651" t="s">
        <v>978</v>
      </c>
      <c r="B651" s="1">
        <v>46182</v>
      </c>
      <c r="C651" t="s">
        <v>153</v>
      </c>
      <c r="D651" t="s">
        <v>79</v>
      </c>
      <c r="E651" t="s">
        <v>80</v>
      </c>
      <c r="F651" t="s">
        <v>31</v>
      </c>
      <c r="G651" t="s">
        <v>21</v>
      </c>
      <c r="H651" t="s">
        <v>93</v>
      </c>
      <c r="I651">
        <v>3</v>
      </c>
      <c r="J651">
        <v>11528.19</v>
      </c>
      <c r="K651">
        <v>0.03</v>
      </c>
      <c r="L651">
        <v>33547.03</v>
      </c>
      <c r="M651" t="s">
        <v>76</v>
      </c>
      <c r="N651" t="s">
        <v>71</v>
      </c>
      <c r="O651" t="s">
        <v>35</v>
      </c>
      <c r="P651" t="s">
        <v>50</v>
      </c>
    </row>
    <row r="652" spans="1:16" x14ac:dyDescent="0.3">
      <c r="A652" t="s">
        <v>979</v>
      </c>
      <c r="B652" s="1">
        <v>45808</v>
      </c>
      <c r="C652" t="s">
        <v>651</v>
      </c>
      <c r="D652" t="s">
        <v>62</v>
      </c>
      <c r="E652" t="s">
        <v>63</v>
      </c>
      <c r="F652" t="s">
        <v>31</v>
      </c>
      <c r="G652" t="s">
        <v>21</v>
      </c>
      <c r="H652" t="s">
        <v>93</v>
      </c>
      <c r="I652">
        <v>4</v>
      </c>
      <c r="J652">
        <v>2825.38</v>
      </c>
      <c r="K652">
        <v>0.2</v>
      </c>
      <c r="L652">
        <v>9041.2199999999993</v>
      </c>
      <c r="M652" t="s">
        <v>23</v>
      </c>
      <c r="N652" t="s">
        <v>49</v>
      </c>
      <c r="O652" t="s">
        <v>25</v>
      </c>
      <c r="P652" t="s">
        <v>26</v>
      </c>
    </row>
    <row r="653" spans="1:16" x14ac:dyDescent="0.3">
      <c r="A653" t="s">
        <v>980</v>
      </c>
      <c r="B653" s="1">
        <v>45321</v>
      </c>
      <c r="C653" t="s">
        <v>570</v>
      </c>
      <c r="D653" t="s">
        <v>53</v>
      </c>
      <c r="E653" t="s">
        <v>54</v>
      </c>
      <c r="F653" t="s">
        <v>55</v>
      </c>
      <c r="G653" t="s">
        <v>21</v>
      </c>
      <c r="H653" t="s">
        <v>22</v>
      </c>
      <c r="I653">
        <v>2</v>
      </c>
      <c r="J653">
        <v>204.76</v>
      </c>
      <c r="K653">
        <v>0.15</v>
      </c>
      <c r="L653">
        <v>348.09</v>
      </c>
      <c r="M653" t="s">
        <v>76</v>
      </c>
      <c r="N653" t="s">
        <v>58</v>
      </c>
      <c r="O653" t="s">
        <v>35</v>
      </c>
      <c r="P653" t="s">
        <v>111</v>
      </c>
    </row>
    <row r="654" spans="1:16" x14ac:dyDescent="0.3">
      <c r="A654" t="s">
        <v>981</v>
      </c>
      <c r="B654" s="1">
        <v>45712</v>
      </c>
      <c r="C654" t="s">
        <v>483</v>
      </c>
      <c r="D654" t="s">
        <v>85</v>
      </c>
      <c r="E654" t="s">
        <v>86</v>
      </c>
      <c r="F654" t="s">
        <v>20</v>
      </c>
      <c r="G654" t="s">
        <v>21</v>
      </c>
      <c r="H654" t="s">
        <v>22</v>
      </c>
      <c r="I654">
        <v>4</v>
      </c>
      <c r="J654">
        <v>1894.5</v>
      </c>
      <c r="K654">
        <v>0.1</v>
      </c>
      <c r="L654">
        <v>6820.2</v>
      </c>
      <c r="M654" t="s">
        <v>76</v>
      </c>
      <c r="N654" t="s">
        <v>24</v>
      </c>
      <c r="O654" t="s">
        <v>65</v>
      </c>
      <c r="P654" t="s">
        <v>116</v>
      </c>
    </row>
    <row r="655" spans="1:16" x14ac:dyDescent="0.3">
      <c r="A655" t="s">
        <v>982</v>
      </c>
      <c r="B655" s="1">
        <v>45946</v>
      </c>
      <c r="C655" t="s">
        <v>871</v>
      </c>
      <c r="D655" t="s">
        <v>121</v>
      </c>
      <c r="E655" t="s">
        <v>122</v>
      </c>
      <c r="F655" t="s">
        <v>55</v>
      </c>
      <c r="G655" t="s">
        <v>56</v>
      </c>
      <c r="H655" t="s">
        <v>64</v>
      </c>
      <c r="I655">
        <v>3</v>
      </c>
      <c r="J655">
        <v>415.5</v>
      </c>
      <c r="K655">
        <v>0.15</v>
      </c>
      <c r="L655">
        <v>1059.52</v>
      </c>
      <c r="M655" t="s">
        <v>76</v>
      </c>
      <c r="N655" t="s">
        <v>34</v>
      </c>
      <c r="O655" t="s">
        <v>65</v>
      </c>
      <c r="P655" t="s">
        <v>42</v>
      </c>
    </row>
    <row r="656" spans="1:16" x14ac:dyDescent="0.3">
      <c r="A656" t="s">
        <v>983</v>
      </c>
      <c r="B656" s="1">
        <v>45547</v>
      </c>
      <c r="C656" t="s">
        <v>516</v>
      </c>
      <c r="D656" t="s">
        <v>45</v>
      </c>
      <c r="E656" t="s">
        <v>46</v>
      </c>
      <c r="F656" t="s">
        <v>31</v>
      </c>
      <c r="G656" t="s">
        <v>81</v>
      </c>
      <c r="H656" t="s">
        <v>82</v>
      </c>
      <c r="I656">
        <v>1</v>
      </c>
      <c r="J656">
        <v>1899.7</v>
      </c>
      <c r="K656">
        <v>0.08</v>
      </c>
      <c r="L656">
        <v>1747.72</v>
      </c>
      <c r="M656" t="s">
        <v>23</v>
      </c>
      <c r="N656" t="s">
        <v>34</v>
      </c>
      <c r="O656" t="s">
        <v>65</v>
      </c>
      <c r="P656" t="s">
        <v>116</v>
      </c>
    </row>
    <row r="657" spans="1:16" x14ac:dyDescent="0.3">
      <c r="A657" t="s">
        <v>984</v>
      </c>
      <c r="B657" s="1">
        <v>45716</v>
      </c>
      <c r="C657" t="s">
        <v>130</v>
      </c>
      <c r="D657" t="s">
        <v>53</v>
      </c>
      <c r="E657" t="s">
        <v>54</v>
      </c>
      <c r="F657" t="s">
        <v>55</v>
      </c>
      <c r="G657" t="s">
        <v>32</v>
      </c>
      <c r="H657" t="s">
        <v>47</v>
      </c>
      <c r="I657">
        <v>5</v>
      </c>
      <c r="J657">
        <v>236.16</v>
      </c>
      <c r="K657">
        <v>0.03</v>
      </c>
      <c r="L657">
        <v>1145.3800000000001</v>
      </c>
      <c r="M657" t="s">
        <v>76</v>
      </c>
      <c r="N657" t="s">
        <v>58</v>
      </c>
      <c r="O657" t="s">
        <v>65</v>
      </c>
      <c r="P657" t="s">
        <v>111</v>
      </c>
    </row>
    <row r="658" spans="1:16" x14ac:dyDescent="0.3">
      <c r="A658" t="s">
        <v>985</v>
      </c>
      <c r="B658" s="1">
        <v>46139</v>
      </c>
      <c r="C658" t="s">
        <v>419</v>
      </c>
      <c r="D658" t="s">
        <v>29</v>
      </c>
      <c r="E658" t="s">
        <v>30</v>
      </c>
      <c r="F658" t="s">
        <v>31</v>
      </c>
      <c r="G658" t="s">
        <v>21</v>
      </c>
      <c r="H658" t="s">
        <v>126</v>
      </c>
      <c r="I658">
        <v>3</v>
      </c>
      <c r="J658">
        <v>3361.54</v>
      </c>
      <c r="K658">
        <v>0.05</v>
      </c>
      <c r="L658">
        <v>9580.39</v>
      </c>
      <c r="M658" t="s">
        <v>48</v>
      </c>
      <c r="N658" t="s">
        <v>71</v>
      </c>
      <c r="O658" t="s">
        <v>35</v>
      </c>
      <c r="P658" t="s">
        <v>116</v>
      </c>
    </row>
    <row r="659" spans="1:16" x14ac:dyDescent="0.3">
      <c r="A659" t="s">
        <v>986</v>
      </c>
      <c r="B659" s="1">
        <v>46202</v>
      </c>
      <c r="C659" t="s">
        <v>550</v>
      </c>
      <c r="D659" t="s">
        <v>53</v>
      </c>
      <c r="E659" t="s">
        <v>54</v>
      </c>
      <c r="F659" t="s">
        <v>55</v>
      </c>
      <c r="G659" t="s">
        <v>56</v>
      </c>
      <c r="H659" t="s">
        <v>64</v>
      </c>
      <c r="I659">
        <v>1</v>
      </c>
      <c r="J659">
        <v>232.76</v>
      </c>
      <c r="K659">
        <v>0.15</v>
      </c>
      <c r="L659">
        <v>197.85</v>
      </c>
      <c r="M659" t="s">
        <v>48</v>
      </c>
      <c r="N659" t="s">
        <v>71</v>
      </c>
      <c r="O659" t="s">
        <v>413</v>
      </c>
      <c r="P659" t="s">
        <v>59</v>
      </c>
    </row>
    <row r="660" spans="1:16" x14ac:dyDescent="0.3">
      <c r="A660" t="s">
        <v>987</v>
      </c>
      <c r="B660" s="1">
        <v>46148</v>
      </c>
      <c r="C660" t="s">
        <v>988</v>
      </c>
      <c r="D660" t="s">
        <v>38</v>
      </c>
      <c r="E660" t="s">
        <v>39</v>
      </c>
      <c r="F660" t="s">
        <v>40</v>
      </c>
      <c r="G660" t="s">
        <v>32</v>
      </c>
      <c r="H660" t="s">
        <v>47</v>
      </c>
      <c r="I660">
        <v>2</v>
      </c>
      <c r="J660">
        <v>1473.88</v>
      </c>
      <c r="K660">
        <v>0.1</v>
      </c>
      <c r="L660">
        <v>2652.98</v>
      </c>
      <c r="M660" t="s">
        <v>76</v>
      </c>
      <c r="N660" t="s">
        <v>71</v>
      </c>
      <c r="O660" t="s">
        <v>65</v>
      </c>
      <c r="P660" t="s">
        <v>111</v>
      </c>
    </row>
    <row r="661" spans="1:16" x14ac:dyDescent="0.3">
      <c r="A661" t="s">
        <v>989</v>
      </c>
      <c r="B661" s="1">
        <v>45410</v>
      </c>
      <c r="D661" t="s">
        <v>170</v>
      </c>
      <c r="E661" t="s">
        <v>171</v>
      </c>
      <c r="F661" t="s">
        <v>31</v>
      </c>
      <c r="G661" t="s">
        <v>32</v>
      </c>
      <c r="H661" t="s">
        <v>68</v>
      </c>
      <c r="I661">
        <v>5</v>
      </c>
      <c r="J661">
        <v>69261.850000000006</v>
      </c>
      <c r="K661">
        <v>0.03</v>
      </c>
      <c r="L661">
        <v>335919.97</v>
      </c>
      <c r="M661" t="s">
        <v>76</v>
      </c>
      <c r="O661" t="s">
        <v>25</v>
      </c>
      <c r="P661" t="s">
        <v>116</v>
      </c>
    </row>
    <row r="662" spans="1:16" x14ac:dyDescent="0.3">
      <c r="A662" t="s">
        <v>990</v>
      </c>
      <c r="B662" s="1">
        <v>45471</v>
      </c>
      <c r="C662" t="s">
        <v>583</v>
      </c>
      <c r="D662" t="s">
        <v>96</v>
      </c>
      <c r="E662" t="s">
        <v>97</v>
      </c>
      <c r="F662" t="s">
        <v>31</v>
      </c>
      <c r="G662" t="s">
        <v>56</v>
      </c>
      <c r="H662" t="s">
        <v>101</v>
      </c>
      <c r="I662">
        <v>1</v>
      </c>
      <c r="J662">
        <v>1217.26</v>
      </c>
      <c r="K662">
        <v>0.03</v>
      </c>
      <c r="L662">
        <v>1180.74</v>
      </c>
      <c r="M662" t="s">
        <v>48</v>
      </c>
      <c r="N662" t="s">
        <v>24</v>
      </c>
      <c r="O662" t="s">
        <v>65</v>
      </c>
      <c r="P662" t="s">
        <v>50</v>
      </c>
    </row>
    <row r="663" spans="1:16" x14ac:dyDescent="0.3">
      <c r="A663" t="s">
        <v>991</v>
      </c>
      <c r="B663" s="1">
        <v>45697</v>
      </c>
      <c r="C663" t="s">
        <v>685</v>
      </c>
      <c r="D663" t="s">
        <v>45</v>
      </c>
      <c r="E663" t="s">
        <v>46</v>
      </c>
      <c r="F663" t="s">
        <v>31</v>
      </c>
      <c r="G663" t="s">
        <v>21</v>
      </c>
      <c r="H663" t="s">
        <v>93</v>
      </c>
      <c r="I663">
        <v>5</v>
      </c>
      <c r="J663">
        <v>1854.16</v>
      </c>
      <c r="K663">
        <v>0.08</v>
      </c>
      <c r="L663">
        <v>8529.14</v>
      </c>
      <c r="M663" t="s">
        <v>23</v>
      </c>
      <c r="N663" t="s">
        <v>49</v>
      </c>
      <c r="O663" t="s">
        <v>65</v>
      </c>
      <c r="P663" t="s">
        <v>102</v>
      </c>
    </row>
    <row r="664" spans="1:16" x14ac:dyDescent="0.3">
      <c r="A664" t="s">
        <v>992</v>
      </c>
      <c r="B664" s="1">
        <v>45581</v>
      </c>
      <c r="C664" t="s">
        <v>587</v>
      </c>
      <c r="D664" t="s">
        <v>105</v>
      </c>
      <c r="E664" t="s">
        <v>106</v>
      </c>
      <c r="F664" t="s">
        <v>40</v>
      </c>
      <c r="G664" t="s">
        <v>21</v>
      </c>
      <c r="H664" t="s">
        <v>22</v>
      </c>
      <c r="I664">
        <v>1</v>
      </c>
      <c r="J664">
        <v>7261.65</v>
      </c>
      <c r="K664">
        <v>0.03</v>
      </c>
      <c r="L664">
        <v>7043.8</v>
      </c>
      <c r="M664" t="s">
        <v>76</v>
      </c>
      <c r="N664" t="s">
        <v>49</v>
      </c>
      <c r="O664" t="s">
        <v>25</v>
      </c>
      <c r="P664" t="s">
        <v>72</v>
      </c>
    </row>
    <row r="665" spans="1:16" x14ac:dyDescent="0.3">
      <c r="A665" t="s">
        <v>993</v>
      </c>
      <c r="B665" s="1">
        <v>45864</v>
      </c>
      <c r="C665" t="s">
        <v>483</v>
      </c>
      <c r="D665" t="s">
        <v>170</v>
      </c>
      <c r="E665" t="s">
        <v>171</v>
      </c>
      <c r="F665" t="s">
        <v>31</v>
      </c>
      <c r="G665" t="s">
        <v>21</v>
      </c>
      <c r="H665" t="s">
        <v>41</v>
      </c>
      <c r="I665">
        <v>5</v>
      </c>
      <c r="J665">
        <v>62489.33</v>
      </c>
      <c r="K665">
        <v>0.15</v>
      </c>
      <c r="L665">
        <v>265579.65000000002</v>
      </c>
      <c r="M665" t="s">
        <v>23</v>
      </c>
      <c r="N665" t="s">
        <v>71</v>
      </c>
      <c r="O665" t="s">
        <v>65</v>
      </c>
      <c r="P665" t="s">
        <v>116</v>
      </c>
    </row>
    <row r="666" spans="1:16" x14ac:dyDescent="0.3">
      <c r="A666" t="s">
        <v>994</v>
      </c>
      <c r="B666" s="1">
        <v>45696</v>
      </c>
      <c r="C666" t="s">
        <v>253</v>
      </c>
      <c r="D666" t="s">
        <v>89</v>
      </c>
      <c r="E666" t="s">
        <v>90</v>
      </c>
      <c r="F666" t="s">
        <v>20</v>
      </c>
      <c r="G666" t="s">
        <v>32</v>
      </c>
      <c r="I666">
        <v>4</v>
      </c>
      <c r="J666">
        <v>688.46</v>
      </c>
      <c r="K666">
        <v>0</v>
      </c>
      <c r="L666">
        <v>2753.84</v>
      </c>
      <c r="M666" t="s">
        <v>48</v>
      </c>
      <c r="N666" t="s">
        <v>34</v>
      </c>
      <c r="O666" t="s">
        <v>65</v>
      </c>
      <c r="P666" t="s">
        <v>72</v>
      </c>
    </row>
    <row r="667" spans="1:16" x14ac:dyDescent="0.3">
      <c r="A667" t="s">
        <v>995</v>
      </c>
      <c r="B667" s="1">
        <v>45856</v>
      </c>
      <c r="C667" t="s">
        <v>672</v>
      </c>
      <c r="D667" t="s">
        <v>29</v>
      </c>
      <c r="E667" t="s">
        <v>30</v>
      </c>
      <c r="F667" t="s">
        <v>31</v>
      </c>
      <c r="G667" t="s">
        <v>81</v>
      </c>
      <c r="H667" t="s">
        <v>98</v>
      </c>
      <c r="I667">
        <v>5</v>
      </c>
      <c r="J667">
        <v>3226.09</v>
      </c>
      <c r="K667">
        <v>0.03</v>
      </c>
      <c r="L667">
        <v>15646.54</v>
      </c>
      <c r="M667" t="s">
        <v>23</v>
      </c>
      <c r="N667" t="s">
        <v>49</v>
      </c>
      <c r="O667" t="s">
        <v>65</v>
      </c>
      <c r="P667" t="s">
        <v>111</v>
      </c>
    </row>
    <row r="668" spans="1:16" x14ac:dyDescent="0.3">
      <c r="A668" t="s">
        <v>996</v>
      </c>
      <c r="B668" s="1">
        <v>45502</v>
      </c>
      <c r="C668" t="s">
        <v>997</v>
      </c>
      <c r="D668" t="s">
        <v>62</v>
      </c>
      <c r="E668" t="s">
        <v>63</v>
      </c>
      <c r="F668" t="s">
        <v>31</v>
      </c>
      <c r="G668" t="s">
        <v>32</v>
      </c>
      <c r="H668" t="s">
        <v>47</v>
      </c>
      <c r="I668">
        <v>1</v>
      </c>
      <c r="J668">
        <v>2606.29</v>
      </c>
      <c r="K668">
        <v>0.1</v>
      </c>
      <c r="L668">
        <v>2345.66</v>
      </c>
      <c r="M668" t="s">
        <v>76</v>
      </c>
      <c r="N668" t="s">
        <v>71</v>
      </c>
      <c r="O668" t="s">
        <v>25</v>
      </c>
      <c r="P668" t="s">
        <v>26</v>
      </c>
    </row>
    <row r="669" spans="1:16" x14ac:dyDescent="0.3">
      <c r="A669" t="s">
        <v>998</v>
      </c>
      <c r="B669" s="1">
        <v>45356</v>
      </c>
      <c r="C669" t="s">
        <v>118</v>
      </c>
      <c r="D669" t="s">
        <v>79</v>
      </c>
      <c r="E669" t="s">
        <v>80</v>
      </c>
      <c r="F669" t="s">
        <v>31</v>
      </c>
      <c r="G669" t="s">
        <v>81</v>
      </c>
      <c r="H669" t="s">
        <v>135</v>
      </c>
      <c r="I669">
        <v>5</v>
      </c>
      <c r="J669">
        <v>12522.54</v>
      </c>
      <c r="K669">
        <v>0</v>
      </c>
      <c r="L669">
        <v>62612.7</v>
      </c>
      <c r="M669" t="s">
        <v>48</v>
      </c>
      <c r="N669" t="s">
        <v>71</v>
      </c>
      <c r="O669" t="s">
        <v>65</v>
      </c>
      <c r="P669" t="s">
        <v>72</v>
      </c>
    </row>
    <row r="670" spans="1:16" x14ac:dyDescent="0.3">
      <c r="A670" t="s">
        <v>999</v>
      </c>
      <c r="B670" s="1">
        <v>45914</v>
      </c>
      <c r="C670" t="s">
        <v>130</v>
      </c>
      <c r="D670" t="s">
        <v>85</v>
      </c>
      <c r="E670" t="s">
        <v>86</v>
      </c>
      <c r="F670" t="s">
        <v>20</v>
      </c>
      <c r="G670" t="s">
        <v>81</v>
      </c>
      <c r="H670" t="s">
        <v>135</v>
      </c>
      <c r="I670">
        <v>2</v>
      </c>
      <c r="J670">
        <v>1929.49</v>
      </c>
      <c r="K670">
        <v>0.08</v>
      </c>
      <c r="L670">
        <v>3550.26</v>
      </c>
      <c r="M670" t="s">
        <v>48</v>
      </c>
      <c r="O670" t="s">
        <v>25</v>
      </c>
      <c r="P670" t="s">
        <v>26</v>
      </c>
    </row>
    <row r="671" spans="1:16" x14ac:dyDescent="0.3">
      <c r="A671" t="s">
        <v>1000</v>
      </c>
      <c r="B671" s="1">
        <v>45765</v>
      </c>
      <c r="C671" t="s">
        <v>147</v>
      </c>
      <c r="D671" t="s">
        <v>121</v>
      </c>
      <c r="E671" t="s">
        <v>122</v>
      </c>
      <c r="F671" t="s">
        <v>55</v>
      </c>
      <c r="G671" t="s">
        <v>32</v>
      </c>
      <c r="H671" t="s">
        <v>75</v>
      </c>
      <c r="I671">
        <v>3</v>
      </c>
      <c r="J671">
        <v>418.92</v>
      </c>
      <c r="K671">
        <v>0.03</v>
      </c>
      <c r="L671">
        <v>1219.06</v>
      </c>
      <c r="M671" t="s">
        <v>76</v>
      </c>
      <c r="N671" t="s">
        <v>71</v>
      </c>
      <c r="O671" t="s">
        <v>65</v>
      </c>
      <c r="P671" t="s">
        <v>102</v>
      </c>
    </row>
    <row r="672" spans="1:16" x14ac:dyDescent="0.3">
      <c r="A672" t="s">
        <v>1001</v>
      </c>
      <c r="B672" s="1">
        <v>45510</v>
      </c>
      <c r="C672" t="s">
        <v>295</v>
      </c>
      <c r="D672" t="s">
        <v>29</v>
      </c>
      <c r="E672" t="s">
        <v>30</v>
      </c>
      <c r="F672" t="s">
        <v>31</v>
      </c>
      <c r="G672" t="s">
        <v>32</v>
      </c>
      <c r="H672" t="s">
        <v>75</v>
      </c>
      <c r="I672">
        <v>5</v>
      </c>
      <c r="J672">
        <v>3192.91</v>
      </c>
      <c r="K672">
        <v>0.08</v>
      </c>
      <c r="L672">
        <v>14687.39</v>
      </c>
      <c r="M672" t="s">
        <v>48</v>
      </c>
      <c r="N672" t="s">
        <v>49</v>
      </c>
      <c r="O672" t="s">
        <v>65</v>
      </c>
      <c r="P672" t="s">
        <v>111</v>
      </c>
    </row>
    <row r="673" spans="1:16" x14ac:dyDescent="0.3">
      <c r="A673" t="s">
        <v>1002</v>
      </c>
      <c r="B673" s="1">
        <v>45786</v>
      </c>
      <c r="C673" t="s">
        <v>687</v>
      </c>
      <c r="D673" t="s">
        <v>62</v>
      </c>
      <c r="E673" t="s">
        <v>63</v>
      </c>
      <c r="F673" t="s">
        <v>31</v>
      </c>
      <c r="G673" t="s">
        <v>21</v>
      </c>
      <c r="H673" t="s">
        <v>22</v>
      </c>
      <c r="I673">
        <v>5</v>
      </c>
      <c r="J673">
        <v>2909.63</v>
      </c>
      <c r="K673">
        <v>0.2</v>
      </c>
      <c r="L673">
        <v>11638.52</v>
      </c>
      <c r="M673" t="s">
        <v>76</v>
      </c>
      <c r="N673" t="s">
        <v>24</v>
      </c>
      <c r="O673" t="s">
        <v>35</v>
      </c>
      <c r="P673" t="s">
        <v>116</v>
      </c>
    </row>
    <row r="674" spans="1:16" x14ac:dyDescent="0.3">
      <c r="A674" t="s">
        <v>1003</v>
      </c>
      <c r="B674" s="1">
        <v>45692</v>
      </c>
      <c r="C674" t="s">
        <v>287</v>
      </c>
      <c r="D674" t="s">
        <v>45</v>
      </c>
      <c r="E674" t="s">
        <v>46</v>
      </c>
      <c r="F674" t="s">
        <v>31</v>
      </c>
      <c r="G674" t="s">
        <v>21</v>
      </c>
      <c r="H674" t="s">
        <v>93</v>
      </c>
      <c r="I674">
        <v>3</v>
      </c>
      <c r="J674">
        <v>1690.22</v>
      </c>
      <c r="K674">
        <v>0</v>
      </c>
      <c r="L674">
        <v>5070.66</v>
      </c>
      <c r="M674" t="s">
        <v>76</v>
      </c>
      <c r="N674" t="s">
        <v>71</v>
      </c>
      <c r="O674" t="s">
        <v>65</v>
      </c>
      <c r="P674" t="s">
        <v>102</v>
      </c>
    </row>
    <row r="675" spans="1:16" x14ac:dyDescent="0.3">
      <c r="A675" t="s">
        <v>1004</v>
      </c>
      <c r="B675" s="1">
        <v>45830</v>
      </c>
      <c r="C675" t="s">
        <v>323</v>
      </c>
      <c r="D675" t="s">
        <v>79</v>
      </c>
      <c r="E675" t="s">
        <v>80</v>
      </c>
      <c r="F675" t="s">
        <v>31</v>
      </c>
      <c r="G675" t="s">
        <v>81</v>
      </c>
      <c r="H675" t="s">
        <v>135</v>
      </c>
      <c r="I675">
        <v>3</v>
      </c>
      <c r="J675">
        <v>11890.48</v>
      </c>
      <c r="K675">
        <v>0.15</v>
      </c>
      <c r="L675">
        <v>30320.720000000001</v>
      </c>
      <c r="M675" t="s">
        <v>23</v>
      </c>
      <c r="N675" t="s">
        <v>71</v>
      </c>
      <c r="O675" t="s">
        <v>25</v>
      </c>
      <c r="P675" t="s">
        <v>116</v>
      </c>
    </row>
    <row r="676" spans="1:16" x14ac:dyDescent="0.3">
      <c r="A676" t="s">
        <v>1005</v>
      </c>
      <c r="B676" s="1">
        <v>46000</v>
      </c>
      <c r="C676" t="s">
        <v>339</v>
      </c>
      <c r="D676" t="s">
        <v>131</v>
      </c>
      <c r="E676" t="s">
        <v>132</v>
      </c>
      <c r="F676" t="s">
        <v>40</v>
      </c>
      <c r="G676" t="s">
        <v>56</v>
      </c>
      <c r="H676" t="s">
        <v>101</v>
      </c>
      <c r="I676">
        <v>2</v>
      </c>
      <c r="J676">
        <v>10019.870000000001</v>
      </c>
      <c r="K676">
        <v>0.03</v>
      </c>
      <c r="L676">
        <v>19438.55</v>
      </c>
      <c r="M676" t="s">
        <v>48</v>
      </c>
      <c r="N676" t="s">
        <v>24</v>
      </c>
      <c r="O676" t="s">
        <v>65</v>
      </c>
      <c r="P676" t="s">
        <v>116</v>
      </c>
    </row>
    <row r="677" spans="1:16" x14ac:dyDescent="0.3">
      <c r="A677" t="s">
        <v>1006</v>
      </c>
      <c r="B677" s="1">
        <v>45432</v>
      </c>
      <c r="C677" t="s">
        <v>514</v>
      </c>
      <c r="D677" t="s">
        <v>38</v>
      </c>
      <c r="E677" t="s">
        <v>39</v>
      </c>
      <c r="F677" t="s">
        <v>40</v>
      </c>
      <c r="G677" t="s">
        <v>21</v>
      </c>
      <c r="H677" t="s">
        <v>41</v>
      </c>
      <c r="I677">
        <v>1</v>
      </c>
      <c r="J677">
        <v>1523.46</v>
      </c>
      <c r="K677">
        <v>0.1</v>
      </c>
      <c r="L677">
        <v>1371.11</v>
      </c>
      <c r="M677" t="s">
        <v>23</v>
      </c>
      <c r="N677" t="s">
        <v>24</v>
      </c>
      <c r="O677" t="s">
        <v>65</v>
      </c>
      <c r="P677" t="s">
        <v>26</v>
      </c>
    </row>
    <row r="678" spans="1:16" x14ac:dyDescent="0.3">
      <c r="A678" t="s">
        <v>1007</v>
      </c>
      <c r="B678" s="1">
        <v>45336</v>
      </c>
      <c r="C678" t="s">
        <v>1008</v>
      </c>
      <c r="D678" t="s">
        <v>105</v>
      </c>
      <c r="E678" t="s">
        <v>106</v>
      </c>
      <c r="F678" t="s">
        <v>40</v>
      </c>
      <c r="G678" t="s">
        <v>21</v>
      </c>
      <c r="H678" t="s">
        <v>93</v>
      </c>
      <c r="I678">
        <v>3</v>
      </c>
      <c r="J678">
        <v>7495.51</v>
      </c>
      <c r="K678">
        <v>0.1</v>
      </c>
      <c r="L678">
        <v>20237.88</v>
      </c>
      <c r="M678" t="s">
        <v>23</v>
      </c>
      <c r="N678" t="s">
        <v>34</v>
      </c>
      <c r="O678" t="s">
        <v>35</v>
      </c>
      <c r="P678" t="s">
        <v>26</v>
      </c>
    </row>
    <row r="679" spans="1:16" x14ac:dyDescent="0.3">
      <c r="A679" t="s">
        <v>1009</v>
      </c>
      <c r="B679" s="1">
        <v>46019</v>
      </c>
      <c r="C679" t="s">
        <v>196</v>
      </c>
      <c r="D679" t="s">
        <v>18</v>
      </c>
      <c r="E679" t="s">
        <v>19</v>
      </c>
      <c r="F679" t="s">
        <v>20</v>
      </c>
      <c r="G679" t="s">
        <v>21</v>
      </c>
      <c r="H679" t="s">
        <v>93</v>
      </c>
      <c r="I679">
        <v>3</v>
      </c>
      <c r="J679">
        <v>819.15</v>
      </c>
      <c r="K679">
        <v>0</v>
      </c>
      <c r="L679">
        <v>2457.4499999999998</v>
      </c>
      <c r="M679" t="s">
        <v>48</v>
      </c>
      <c r="N679" t="s">
        <v>24</v>
      </c>
      <c r="O679" t="s">
        <v>65</v>
      </c>
      <c r="P679" t="s">
        <v>102</v>
      </c>
    </row>
    <row r="680" spans="1:16" x14ac:dyDescent="0.3">
      <c r="A680" t="s">
        <v>1010</v>
      </c>
      <c r="B680" s="1">
        <v>45725</v>
      </c>
      <c r="C680" t="s">
        <v>468</v>
      </c>
      <c r="D680" t="s">
        <v>105</v>
      </c>
      <c r="E680" t="s">
        <v>106</v>
      </c>
      <c r="F680" t="s">
        <v>40</v>
      </c>
      <c r="G680" t="s">
        <v>56</v>
      </c>
      <c r="H680" t="s">
        <v>101</v>
      </c>
      <c r="I680">
        <v>5</v>
      </c>
      <c r="J680">
        <v>7051.72</v>
      </c>
      <c r="K680">
        <v>0.15</v>
      </c>
      <c r="L680">
        <v>29969.81</v>
      </c>
      <c r="M680" t="s">
        <v>23</v>
      </c>
      <c r="N680" t="s">
        <v>49</v>
      </c>
      <c r="O680" t="s">
        <v>35</v>
      </c>
      <c r="P680" t="s">
        <v>50</v>
      </c>
    </row>
    <row r="681" spans="1:16" x14ac:dyDescent="0.3">
      <c r="A681" t="s">
        <v>1011</v>
      </c>
      <c r="B681" s="1">
        <v>45429</v>
      </c>
      <c r="C681" t="s">
        <v>997</v>
      </c>
      <c r="D681" t="s">
        <v>176</v>
      </c>
      <c r="E681" t="s">
        <v>177</v>
      </c>
      <c r="F681" t="s">
        <v>31</v>
      </c>
      <c r="G681" t="s">
        <v>56</v>
      </c>
      <c r="H681" t="s">
        <v>64</v>
      </c>
      <c r="I681">
        <v>5</v>
      </c>
      <c r="J681">
        <v>2212.2199999999998</v>
      </c>
      <c r="K681">
        <v>0.15</v>
      </c>
      <c r="L681">
        <v>9401.93</v>
      </c>
      <c r="M681" t="s">
        <v>23</v>
      </c>
      <c r="N681" t="s">
        <v>71</v>
      </c>
      <c r="O681" t="s">
        <v>35</v>
      </c>
    </row>
    <row r="682" spans="1:16" x14ac:dyDescent="0.3">
      <c r="A682" t="s">
        <v>1012</v>
      </c>
      <c r="B682" s="1">
        <v>45554</v>
      </c>
      <c r="C682" t="s">
        <v>1013</v>
      </c>
      <c r="D682" t="s">
        <v>131</v>
      </c>
      <c r="E682" t="s">
        <v>132</v>
      </c>
      <c r="F682" t="s">
        <v>40</v>
      </c>
      <c r="G682" t="s">
        <v>21</v>
      </c>
      <c r="H682" t="s">
        <v>93</v>
      </c>
      <c r="I682">
        <v>1</v>
      </c>
      <c r="J682">
        <v>9087.2199999999993</v>
      </c>
      <c r="K682">
        <v>0.08</v>
      </c>
      <c r="L682">
        <v>8360.24</v>
      </c>
      <c r="M682" t="s">
        <v>76</v>
      </c>
      <c r="N682" t="s">
        <v>58</v>
      </c>
      <c r="O682" t="s">
        <v>65</v>
      </c>
      <c r="P682" t="s">
        <v>116</v>
      </c>
    </row>
    <row r="683" spans="1:16" x14ac:dyDescent="0.3">
      <c r="A683" t="s">
        <v>1014</v>
      </c>
      <c r="B683" s="1">
        <v>45462</v>
      </c>
      <c r="C683" t="s">
        <v>212</v>
      </c>
      <c r="D683" t="s">
        <v>85</v>
      </c>
      <c r="E683" t="s">
        <v>86</v>
      </c>
      <c r="F683" t="s">
        <v>20</v>
      </c>
      <c r="G683" t="s">
        <v>81</v>
      </c>
      <c r="H683" t="s">
        <v>87</v>
      </c>
      <c r="I683">
        <v>1</v>
      </c>
      <c r="J683">
        <v>1664.59</v>
      </c>
      <c r="K683">
        <v>0.03</v>
      </c>
      <c r="L683">
        <v>1614.65</v>
      </c>
      <c r="M683" t="s">
        <v>48</v>
      </c>
      <c r="N683" t="s">
        <v>34</v>
      </c>
      <c r="O683" t="s">
        <v>35</v>
      </c>
      <c r="P683" t="s">
        <v>111</v>
      </c>
    </row>
    <row r="684" spans="1:16" x14ac:dyDescent="0.3">
      <c r="A684" t="s">
        <v>1015</v>
      </c>
      <c r="B684" s="1">
        <v>45383</v>
      </c>
      <c r="C684" t="s">
        <v>149</v>
      </c>
      <c r="D684" t="s">
        <v>105</v>
      </c>
      <c r="E684" t="s">
        <v>106</v>
      </c>
      <c r="F684" t="s">
        <v>40</v>
      </c>
      <c r="G684" t="s">
        <v>21</v>
      </c>
      <c r="H684" t="s">
        <v>93</v>
      </c>
      <c r="I684">
        <v>3</v>
      </c>
      <c r="J684">
        <v>7578.71</v>
      </c>
      <c r="K684">
        <v>0</v>
      </c>
      <c r="L684">
        <v>22736.13</v>
      </c>
      <c r="M684" t="s">
        <v>23</v>
      </c>
      <c r="N684" t="s">
        <v>58</v>
      </c>
      <c r="O684" t="s">
        <v>65</v>
      </c>
      <c r="P684" t="s">
        <v>42</v>
      </c>
    </row>
    <row r="685" spans="1:16" x14ac:dyDescent="0.3">
      <c r="A685" t="s">
        <v>1016</v>
      </c>
      <c r="B685" s="1">
        <v>45567</v>
      </c>
      <c r="C685" t="s">
        <v>379</v>
      </c>
      <c r="D685" t="s">
        <v>121</v>
      </c>
      <c r="E685" t="s">
        <v>122</v>
      </c>
      <c r="F685" t="s">
        <v>55</v>
      </c>
      <c r="G685" t="s">
        <v>81</v>
      </c>
      <c r="H685" t="s">
        <v>135</v>
      </c>
      <c r="I685">
        <v>2</v>
      </c>
      <c r="J685">
        <v>477.21</v>
      </c>
      <c r="K685">
        <v>0.05</v>
      </c>
      <c r="L685">
        <v>906.7</v>
      </c>
      <c r="M685" t="s">
        <v>76</v>
      </c>
      <c r="N685" t="s">
        <v>71</v>
      </c>
      <c r="O685" t="s">
        <v>25</v>
      </c>
      <c r="P685" t="s">
        <v>59</v>
      </c>
    </row>
    <row r="686" spans="1:16" x14ac:dyDescent="0.3">
      <c r="A686" t="s">
        <v>1017</v>
      </c>
      <c r="B686" s="1">
        <v>45916</v>
      </c>
      <c r="C686" t="s">
        <v>548</v>
      </c>
      <c r="D686" t="s">
        <v>105</v>
      </c>
      <c r="E686" t="s">
        <v>106</v>
      </c>
      <c r="F686" t="s">
        <v>40</v>
      </c>
      <c r="G686" t="s">
        <v>56</v>
      </c>
      <c r="H686" t="s">
        <v>64</v>
      </c>
      <c r="I686">
        <v>3</v>
      </c>
      <c r="J686">
        <v>6647.34</v>
      </c>
      <c r="K686">
        <v>0.03</v>
      </c>
      <c r="L686">
        <v>19343.759999999998</v>
      </c>
      <c r="M686" t="s">
        <v>48</v>
      </c>
      <c r="N686" t="s">
        <v>24</v>
      </c>
      <c r="O686" t="s">
        <v>25</v>
      </c>
      <c r="P686" t="s">
        <v>116</v>
      </c>
    </row>
    <row r="687" spans="1:16" x14ac:dyDescent="0.3">
      <c r="A687" t="s">
        <v>1018</v>
      </c>
      <c r="B687" s="1">
        <v>45887</v>
      </c>
      <c r="C687" t="s">
        <v>208</v>
      </c>
      <c r="D687" t="s">
        <v>62</v>
      </c>
      <c r="E687" t="s">
        <v>63</v>
      </c>
      <c r="F687" t="s">
        <v>31</v>
      </c>
      <c r="G687" t="s">
        <v>21</v>
      </c>
      <c r="H687" t="s">
        <v>22</v>
      </c>
      <c r="I687">
        <v>2</v>
      </c>
      <c r="J687">
        <v>2725.75</v>
      </c>
      <c r="K687">
        <v>0.08</v>
      </c>
      <c r="L687">
        <v>5015.38</v>
      </c>
      <c r="M687" t="s">
        <v>48</v>
      </c>
      <c r="N687" t="s">
        <v>24</v>
      </c>
      <c r="O687" t="s">
        <v>65</v>
      </c>
      <c r="P687" t="s">
        <v>72</v>
      </c>
    </row>
    <row r="688" spans="1:16" x14ac:dyDescent="0.3">
      <c r="A688" t="s">
        <v>1019</v>
      </c>
      <c r="B688" s="1">
        <v>45934</v>
      </c>
      <c r="C688" t="s">
        <v>554</v>
      </c>
      <c r="D688" t="s">
        <v>38</v>
      </c>
      <c r="E688" t="s">
        <v>39</v>
      </c>
      <c r="F688" t="s">
        <v>40</v>
      </c>
      <c r="G688" t="s">
        <v>21</v>
      </c>
      <c r="H688" t="s">
        <v>22</v>
      </c>
      <c r="I688">
        <v>3</v>
      </c>
      <c r="J688">
        <v>1555.76</v>
      </c>
      <c r="K688">
        <v>0.1</v>
      </c>
      <c r="L688">
        <v>4200.55</v>
      </c>
      <c r="M688" t="s">
        <v>48</v>
      </c>
      <c r="N688" t="s">
        <v>49</v>
      </c>
      <c r="O688" t="s">
        <v>65</v>
      </c>
      <c r="P688" t="s">
        <v>111</v>
      </c>
    </row>
    <row r="689" spans="1:16" x14ac:dyDescent="0.3">
      <c r="A689" t="s">
        <v>1020</v>
      </c>
      <c r="B689" s="1">
        <v>45429</v>
      </c>
      <c r="C689" t="s">
        <v>352</v>
      </c>
      <c r="D689" t="s">
        <v>85</v>
      </c>
      <c r="E689" t="s">
        <v>86</v>
      </c>
      <c r="F689" t="s">
        <v>20</v>
      </c>
      <c r="G689" t="s">
        <v>81</v>
      </c>
      <c r="H689" t="s">
        <v>98</v>
      </c>
      <c r="I689">
        <v>2</v>
      </c>
      <c r="J689">
        <v>1941.67</v>
      </c>
      <c r="K689">
        <v>0.1</v>
      </c>
      <c r="L689">
        <v>3495.01</v>
      </c>
      <c r="M689" t="s">
        <v>23</v>
      </c>
      <c r="N689" t="s">
        <v>34</v>
      </c>
      <c r="O689" t="s">
        <v>25</v>
      </c>
      <c r="P689" t="s">
        <v>42</v>
      </c>
    </row>
    <row r="690" spans="1:16" x14ac:dyDescent="0.3">
      <c r="A690" t="s">
        <v>1021</v>
      </c>
      <c r="B690" s="1">
        <v>45309</v>
      </c>
      <c r="C690" t="s">
        <v>104</v>
      </c>
      <c r="D690" t="s">
        <v>176</v>
      </c>
      <c r="E690" t="s">
        <v>177</v>
      </c>
      <c r="F690" t="s">
        <v>31</v>
      </c>
      <c r="G690" t="s">
        <v>81</v>
      </c>
      <c r="H690" t="s">
        <v>87</v>
      </c>
      <c r="I690">
        <v>1</v>
      </c>
      <c r="J690">
        <v>2254.41</v>
      </c>
      <c r="K690">
        <v>0.2</v>
      </c>
      <c r="L690">
        <v>1803.53</v>
      </c>
      <c r="M690" t="s">
        <v>76</v>
      </c>
      <c r="N690" t="s">
        <v>34</v>
      </c>
      <c r="O690" t="s">
        <v>65</v>
      </c>
      <c r="P690" t="s">
        <v>26</v>
      </c>
    </row>
    <row r="691" spans="1:16" x14ac:dyDescent="0.3">
      <c r="A691" t="s">
        <v>1022</v>
      </c>
      <c r="B691" s="1">
        <v>46047</v>
      </c>
      <c r="D691" t="s">
        <v>121</v>
      </c>
      <c r="E691" t="s">
        <v>122</v>
      </c>
      <c r="F691" t="s">
        <v>55</v>
      </c>
      <c r="G691" t="s">
        <v>32</v>
      </c>
      <c r="H691" t="s">
        <v>47</v>
      </c>
      <c r="I691">
        <v>3</v>
      </c>
      <c r="J691">
        <v>459.79</v>
      </c>
      <c r="K691">
        <v>0.08</v>
      </c>
      <c r="L691">
        <v>1269.02</v>
      </c>
      <c r="M691" t="s">
        <v>48</v>
      </c>
      <c r="N691" t="s">
        <v>58</v>
      </c>
      <c r="O691" t="s">
        <v>65</v>
      </c>
      <c r="P691" t="s">
        <v>111</v>
      </c>
    </row>
    <row r="692" spans="1:16" x14ac:dyDescent="0.3">
      <c r="A692" t="s">
        <v>1023</v>
      </c>
      <c r="B692" s="1">
        <v>45853</v>
      </c>
      <c r="C692" t="s">
        <v>277</v>
      </c>
      <c r="D692" t="s">
        <v>131</v>
      </c>
      <c r="E692" t="s">
        <v>132</v>
      </c>
      <c r="F692" t="s">
        <v>40</v>
      </c>
      <c r="G692" t="s">
        <v>56</v>
      </c>
      <c r="H692" t="s">
        <v>57</v>
      </c>
      <c r="I692">
        <v>4</v>
      </c>
      <c r="J692">
        <v>9178.35</v>
      </c>
      <c r="K692">
        <v>0.03</v>
      </c>
      <c r="L692">
        <v>35612</v>
      </c>
      <c r="M692" t="s">
        <v>76</v>
      </c>
      <c r="N692" t="s">
        <v>34</v>
      </c>
      <c r="O692" t="s">
        <v>65</v>
      </c>
      <c r="P692" t="s">
        <v>111</v>
      </c>
    </row>
    <row r="693" spans="1:16" x14ac:dyDescent="0.3">
      <c r="A693" t="s">
        <v>1024</v>
      </c>
      <c r="B693" s="1">
        <v>46067</v>
      </c>
      <c r="C693" t="s">
        <v>531</v>
      </c>
      <c r="D693" t="s">
        <v>79</v>
      </c>
      <c r="E693" t="s">
        <v>80</v>
      </c>
      <c r="F693" t="s">
        <v>31</v>
      </c>
      <c r="G693" t="s">
        <v>32</v>
      </c>
      <c r="H693" t="s">
        <v>33</v>
      </c>
      <c r="I693">
        <v>4</v>
      </c>
      <c r="J693">
        <v>12042.78</v>
      </c>
      <c r="K693">
        <v>0</v>
      </c>
      <c r="L693">
        <v>48171.12</v>
      </c>
      <c r="M693" t="s">
        <v>48</v>
      </c>
      <c r="N693" t="s">
        <v>24</v>
      </c>
      <c r="O693" t="s">
        <v>65</v>
      </c>
      <c r="P693" t="s">
        <v>59</v>
      </c>
    </row>
    <row r="694" spans="1:16" x14ac:dyDescent="0.3">
      <c r="A694" t="s">
        <v>1025</v>
      </c>
      <c r="B694" s="1">
        <v>45491</v>
      </c>
      <c r="C694" t="s">
        <v>531</v>
      </c>
      <c r="D694" t="s">
        <v>38</v>
      </c>
      <c r="E694" t="s">
        <v>39</v>
      </c>
      <c r="F694" t="s">
        <v>40</v>
      </c>
      <c r="G694" t="s">
        <v>81</v>
      </c>
      <c r="H694" t="s">
        <v>135</v>
      </c>
      <c r="I694">
        <v>4</v>
      </c>
      <c r="J694">
        <v>1588.49</v>
      </c>
      <c r="K694">
        <v>0.08</v>
      </c>
      <c r="L694">
        <v>5845.64</v>
      </c>
      <c r="M694" t="s">
        <v>76</v>
      </c>
      <c r="N694" t="s">
        <v>49</v>
      </c>
      <c r="O694" t="s">
        <v>65</v>
      </c>
      <c r="P694" t="s">
        <v>72</v>
      </c>
    </row>
    <row r="695" spans="1:16" x14ac:dyDescent="0.3">
      <c r="A695" t="s">
        <v>1026</v>
      </c>
      <c r="B695" s="1">
        <v>45411</v>
      </c>
      <c r="C695" t="s">
        <v>963</v>
      </c>
      <c r="D695" t="s">
        <v>121</v>
      </c>
      <c r="E695" t="s">
        <v>122</v>
      </c>
      <c r="F695" t="s">
        <v>55</v>
      </c>
      <c r="G695" t="s">
        <v>56</v>
      </c>
      <c r="H695" t="s">
        <v>57</v>
      </c>
      <c r="I695">
        <v>4</v>
      </c>
      <c r="J695">
        <v>427.52</v>
      </c>
      <c r="K695">
        <v>0.05</v>
      </c>
      <c r="L695">
        <v>1624.58</v>
      </c>
      <c r="M695" t="s">
        <v>23</v>
      </c>
      <c r="N695" t="s">
        <v>58</v>
      </c>
      <c r="O695" t="s">
        <v>35</v>
      </c>
    </row>
    <row r="696" spans="1:16" x14ac:dyDescent="0.3">
      <c r="A696" t="s">
        <v>1027</v>
      </c>
      <c r="B696" s="1">
        <v>46001</v>
      </c>
      <c r="C696" t="s">
        <v>514</v>
      </c>
      <c r="D696" t="s">
        <v>53</v>
      </c>
      <c r="E696" t="s">
        <v>54</v>
      </c>
      <c r="F696" t="s">
        <v>55</v>
      </c>
      <c r="G696" t="s">
        <v>32</v>
      </c>
      <c r="H696" t="s">
        <v>68</v>
      </c>
      <c r="I696">
        <v>5</v>
      </c>
      <c r="J696">
        <v>206.42</v>
      </c>
      <c r="K696">
        <v>0.2</v>
      </c>
      <c r="L696">
        <v>825.68</v>
      </c>
      <c r="M696" t="s">
        <v>23</v>
      </c>
      <c r="N696" t="s">
        <v>49</v>
      </c>
      <c r="O696" t="s">
        <v>65</v>
      </c>
      <c r="P696" t="s">
        <v>111</v>
      </c>
    </row>
    <row r="697" spans="1:16" x14ac:dyDescent="0.3">
      <c r="A697" t="s">
        <v>1028</v>
      </c>
      <c r="B697" s="1">
        <v>45564</v>
      </c>
      <c r="C697" t="s">
        <v>695</v>
      </c>
      <c r="D697" t="s">
        <v>176</v>
      </c>
      <c r="E697" t="s">
        <v>177</v>
      </c>
      <c r="F697" t="s">
        <v>31</v>
      </c>
      <c r="G697" t="s">
        <v>32</v>
      </c>
      <c r="H697" t="s">
        <v>33</v>
      </c>
      <c r="I697">
        <v>5</v>
      </c>
      <c r="J697">
        <v>2053.84</v>
      </c>
      <c r="K697">
        <v>0.03</v>
      </c>
      <c r="L697">
        <v>9961.1200000000008</v>
      </c>
      <c r="M697" t="s">
        <v>48</v>
      </c>
      <c r="N697" t="s">
        <v>49</v>
      </c>
      <c r="O697" t="s">
        <v>25</v>
      </c>
      <c r="P697" t="s">
        <v>111</v>
      </c>
    </row>
    <row r="698" spans="1:16" x14ac:dyDescent="0.3">
      <c r="A698" t="s">
        <v>1029</v>
      </c>
      <c r="B698" s="1">
        <v>45666</v>
      </c>
      <c r="C698" t="s">
        <v>323</v>
      </c>
      <c r="D698" t="s">
        <v>18</v>
      </c>
      <c r="E698" t="s">
        <v>19</v>
      </c>
      <c r="F698" t="s">
        <v>20</v>
      </c>
      <c r="G698" t="s">
        <v>81</v>
      </c>
      <c r="H698" t="s">
        <v>135</v>
      </c>
      <c r="I698">
        <v>3</v>
      </c>
      <c r="J698">
        <v>874.67</v>
      </c>
      <c r="K698">
        <v>0</v>
      </c>
      <c r="L698">
        <v>2624.01</v>
      </c>
      <c r="M698" t="s">
        <v>23</v>
      </c>
      <c r="N698" t="s">
        <v>34</v>
      </c>
      <c r="O698" t="s">
        <v>65</v>
      </c>
      <c r="P698" t="s">
        <v>26</v>
      </c>
    </row>
    <row r="699" spans="1:16" x14ac:dyDescent="0.3">
      <c r="A699" t="s">
        <v>1030</v>
      </c>
      <c r="B699" s="1">
        <v>45994</v>
      </c>
      <c r="C699" t="s">
        <v>28</v>
      </c>
      <c r="D699" t="s">
        <v>176</v>
      </c>
      <c r="E699" t="s">
        <v>177</v>
      </c>
      <c r="F699" t="s">
        <v>31</v>
      </c>
      <c r="G699" t="s">
        <v>56</v>
      </c>
      <c r="H699" t="s">
        <v>101</v>
      </c>
      <c r="I699">
        <v>4</v>
      </c>
      <c r="J699">
        <v>2193.48</v>
      </c>
      <c r="K699">
        <v>0.1</v>
      </c>
      <c r="L699">
        <v>7896.53</v>
      </c>
      <c r="M699" t="s">
        <v>23</v>
      </c>
      <c r="N699" t="s">
        <v>71</v>
      </c>
      <c r="O699" t="s">
        <v>65</v>
      </c>
      <c r="P699" t="s">
        <v>26</v>
      </c>
    </row>
    <row r="700" spans="1:16" x14ac:dyDescent="0.3">
      <c r="A700" t="s">
        <v>1031</v>
      </c>
      <c r="B700" s="1">
        <v>45673</v>
      </c>
      <c r="C700" t="s">
        <v>181</v>
      </c>
      <c r="D700" t="s">
        <v>38</v>
      </c>
      <c r="E700" t="s">
        <v>39</v>
      </c>
      <c r="F700" t="s">
        <v>40</v>
      </c>
      <c r="G700" t="s">
        <v>21</v>
      </c>
      <c r="H700" t="s">
        <v>22</v>
      </c>
      <c r="I700">
        <v>1</v>
      </c>
      <c r="J700">
        <v>1484.46</v>
      </c>
      <c r="K700">
        <v>0</v>
      </c>
      <c r="L700">
        <v>1484.46</v>
      </c>
      <c r="M700" t="s">
        <v>23</v>
      </c>
      <c r="N700" t="s">
        <v>24</v>
      </c>
      <c r="O700" t="s">
        <v>25</v>
      </c>
      <c r="P700" t="s">
        <v>26</v>
      </c>
    </row>
    <row r="701" spans="1:16" x14ac:dyDescent="0.3">
      <c r="A701" t="s">
        <v>1032</v>
      </c>
      <c r="B701" s="1">
        <v>45742</v>
      </c>
      <c r="C701" t="s">
        <v>539</v>
      </c>
      <c r="D701" t="s">
        <v>45</v>
      </c>
      <c r="E701" t="s">
        <v>46</v>
      </c>
      <c r="F701" t="s">
        <v>31</v>
      </c>
      <c r="G701" t="s">
        <v>56</v>
      </c>
      <c r="H701" t="s">
        <v>123</v>
      </c>
      <c r="I701">
        <v>3</v>
      </c>
      <c r="J701">
        <v>1938.24</v>
      </c>
      <c r="K701">
        <v>0.03</v>
      </c>
      <c r="L701">
        <v>5640.28</v>
      </c>
      <c r="M701" t="s">
        <v>23</v>
      </c>
      <c r="N701" t="s">
        <v>49</v>
      </c>
      <c r="O701" t="s">
        <v>65</v>
      </c>
      <c r="P701" t="s">
        <v>42</v>
      </c>
    </row>
    <row r="702" spans="1:16" x14ac:dyDescent="0.3">
      <c r="A702" t="s">
        <v>1033</v>
      </c>
      <c r="B702" s="1">
        <v>45491</v>
      </c>
      <c r="C702" t="s">
        <v>299</v>
      </c>
      <c r="D702" t="s">
        <v>96</v>
      </c>
      <c r="E702" t="s">
        <v>97</v>
      </c>
      <c r="F702" t="s">
        <v>31</v>
      </c>
      <c r="G702" t="s">
        <v>56</v>
      </c>
      <c r="H702" t="s">
        <v>123</v>
      </c>
      <c r="I702">
        <v>4</v>
      </c>
      <c r="J702">
        <v>1233.74</v>
      </c>
      <c r="K702">
        <v>0.03</v>
      </c>
      <c r="L702">
        <v>4786.91</v>
      </c>
      <c r="M702" t="s">
        <v>23</v>
      </c>
      <c r="N702" t="s">
        <v>71</v>
      </c>
      <c r="O702" t="s">
        <v>35</v>
      </c>
      <c r="P702" t="s">
        <v>111</v>
      </c>
    </row>
    <row r="703" spans="1:16" x14ac:dyDescent="0.3">
      <c r="A703" t="s">
        <v>1034</v>
      </c>
      <c r="B703" s="1">
        <v>45994</v>
      </c>
      <c r="C703" t="s">
        <v>404</v>
      </c>
      <c r="D703" t="s">
        <v>53</v>
      </c>
      <c r="E703" t="s">
        <v>54</v>
      </c>
      <c r="F703" t="s">
        <v>55</v>
      </c>
      <c r="G703" t="s">
        <v>21</v>
      </c>
      <c r="H703" t="s">
        <v>41</v>
      </c>
      <c r="I703">
        <v>2</v>
      </c>
      <c r="J703">
        <v>227.17</v>
      </c>
      <c r="K703">
        <v>0</v>
      </c>
      <c r="L703">
        <v>454.34</v>
      </c>
      <c r="M703" t="s">
        <v>48</v>
      </c>
      <c r="N703" t="s">
        <v>58</v>
      </c>
      <c r="O703" t="s">
        <v>65</v>
      </c>
      <c r="P703" t="s">
        <v>42</v>
      </c>
    </row>
    <row r="704" spans="1:16" x14ac:dyDescent="0.3">
      <c r="A704" t="s">
        <v>1035</v>
      </c>
      <c r="B704" s="1">
        <v>46091</v>
      </c>
      <c r="C704" t="s">
        <v>115</v>
      </c>
      <c r="D704" t="s">
        <v>38</v>
      </c>
      <c r="E704" t="s">
        <v>39</v>
      </c>
      <c r="F704" t="s">
        <v>40</v>
      </c>
      <c r="G704" t="s">
        <v>81</v>
      </c>
      <c r="H704" t="s">
        <v>98</v>
      </c>
      <c r="I704">
        <v>1</v>
      </c>
      <c r="J704">
        <v>1665.29</v>
      </c>
      <c r="K704">
        <v>0.08</v>
      </c>
      <c r="L704">
        <v>1532.07</v>
      </c>
      <c r="M704" t="s">
        <v>23</v>
      </c>
      <c r="N704" t="s">
        <v>49</v>
      </c>
      <c r="O704" t="s">
        <v>65</v>
      </c>
      <c r="P704" t="s">
        <v>102</v>
      </c>
    </row>
    <row r="705" spans="1:16" x14ac:dyDescent="0.3">
      <c r="A705" t="s">
        <v>1036</v>
      </c>
      <c r="B705" s="1">
        <v>45817</v>
      </c>
      <c r="C705" t="s">
        <v>74</v>
      </c>
      <c r="D705" t="s">
        <v>53</v>
      </c>
      <c r="E705" t="s">
        <v>54</v>
      </c>
      <c r="F705" t="s">
        <v>55</v>
      </c>
      <c r="G705" t="s">
        <v>56</v>
      </c>
      <c r="H705" t="s">
        <v>123</v>
      </c>
      <c r="I705">
        <v>1</v>
      </c>
      <c r="J705">
        <v>208.13</v>
      </c>
      <c r="K705">
        <v>0.2</v>
      </c>
      <c r="L705">
        <v>166.5</v>
      </c>
      <c r="M705" t="s">
        <v>76</v>
      </c>
      <c r="N705" t="s">
        <v>34</v>
      </c>
      <c r="O705" t="s">
        <v>25</v>
      </c>
      <c r="P705" t="s">
        <v>50</v>
      </c>
    </row>
    <row r="706" spans="1:16" x14ac:dyDescent="0.3">
      <c r="A706" t="s">
        <v>1037</v>
      </c>
      <c r="B706" s="1">
        <v>45572</v>
      </c>
      <c r="C706" t="s">
        <v>297</v>
      </c>
      <c r="D706" t="s">
        <v>38</v>
      </c>
      <c r="E706" t="s">
        <v>39</v>
      </c>
      <c r="F706" t="s">
        <v>40</v>
      </c>
      <c r="G706" t="s">
        <v>32</v>
      </c>
      <c r="H706" t="s">
        <v>75</v>
      </c>
      <c r="I706">
        <v>1</v>
      </c>
      <c r="J706">
        <v>1491.28</v>
      </c>
      <c r="K706">
        <v>0.15</v>
      </c>
      <c r="L706">
        <v>1267.5899999999999</v>
      </c>
      <c r="M706" t="s">
        <v>48</v>
      </c>
      <c r="N706" t="s">
        <v>49</v>
      </c>
      <c r="O706" t="s">
        <v>35</v>
      </c>
      <c r="P706" t="s">
        <v>102</v>
      </c>
    </row>
    <row r="707" spans="1:16" x14ac:dyDescent="0.3">
      <c r="A707" t="s">
        <v>1038</v>
      </c>
      <c r="B707" s="1">
        <v>46067</v>
      </c>
      <c r="C707" t="s">
        <v>715</v>
      </c>
      <c r="D707" t="s">
        <v>18</v>
      </c>
      <c r="E707" t="s">
        <v>19</v>
      </c>
      <c r="F707" t="s">
        <v>20</v>
      </c>
      <c r="G707" t="s">
        <v>32</v>
      </c>
      <c r="H707" t="s">
        <v>75</v>
      </c>
      <c r="I707">
        <v>4</v>
      </c>
      <c r="J707">
        <v>886.59</v>
      </c>
      <c r="K707">
        <v>0.1</v>
      </c>
      <c r="L707">
        <v>3191.72</v>
      </c>
      <c r="M707" t="s">
        <v>76</v>
      </c>
      <c r="N707" t="s">
        <v>34</v>
      </c>
      <c r="O707" t="s">
        <v>65</v>
      </c>
      <c r="P707" t="s">
        <v>26</v>
      </c>
    </row>
    <row r="708" spans="1:16" x14ac:dyDescent="0.3">
      <c r="A708" t="s">
        <v>1039</v>
      </c>
      <c r="B708" s="1">
        <v>45460</v>
      </c>
      <c r="C708" t="s">
        <v>623</v>
      </c>
      <c r="D708" t="s">
        <v>62</v>
      </c>
      <c r="E708" t="s">
        <v>63</v>
      </c>
      <c r="F708" t="s">
        <v>31</v>
      </c>
      <c r="G708" t="s">
        <v>32</v>
      </c>
      <c r="H708" t="s">
        <v>68</v>
      </c>
      <c r="I708">
        <v>2</v>
      </c>
      <c r="J708">
        <v>2902.96</v>
      </c>
      <c r="K708">
        <v>0.2</v>
      </c>
      <c r="L708">
        <v>4644.74</v>
      </c>
      <c r="M708" t="s">
        <v>23</v>
      </c>
      <c r="N708" t="s">
        <v>24</v>
      </c>
      <c r="O708" t="s">
        <v>65</v>
      </c>
      <c r="P708" t="s">
        <v>50</v>
      </c>
    </row>
    <row r="709" spans="1:16" x14ac:dyDescent="0.3">
      <c r="A709" t="s">
        <v>1040</v>
      </c>
      <c r="B709" s="1">
        <v>46183</v>
      </c>
      <c r="C709" t="s">
        <v>204</v>
      </c>
      <c r="D709" t="s">
        <v>62</v>
      </c>
      <c r="E709" t="s">
        <v>63</v>
      </c>
      <c r="F709" t="s">
        <v>31</v>
      </c>
      <c r="G709" t="s">
        <v>56</v>
      </c>
      <c r="H709" t="s">
        <v>123</v>
      </c>
      <c r="J709">
        <v>2724.5</v>
      </c>
      <c r="K709">
        <v>0.03</v>
      </c>
      <c r="L709">
        <v>5285.53</v>
      </c>
      <c r="M709" t="s">
        <v>76</v>
      </c>
      <c r="N709" t="s">
        <v>49</v>
      </c>
      <c r="O709" t="s">
        <v>65</v>
      </c>
      <c r="P709" t="s">
        <v>102</v>
      </c>
    </row>
    <row r="710" spans="1:16" x14ac:dyDescent="0.3">
      <c r="A710" t="s">
        <v>1041</v>
      </c>
      <c r="B710" s="1">
        <v>45878</v>
      </c>
      <c r="C710" t="s">
        <v>373</v>
      </c>
      <c r="D710" t="s">
        <v>89</v>
      </c>
      <c r="E710" t="s">
        <v>90</v>
      </c>
      <c r="F710" t="s">
        <v>20</v>
      </c>
      <c r="G710" t="s">
        <v>56</v>
      </c>
      <c r="H710" t="s">
        <v>57</v>
      </c>
      <c r="I710">
        <v>4</v>
      </c>
      <c r="J710">
        <v>680.04</v>
      </c>
      <c r="K710">
        <v>0.05</v>
      </c>
      <c r="L710">
        <v>2584.15</v>
      </c>
      <c r="M710" t="s">
        <v>48</v>
      </c>
      <c r="N710" t="s">
        <v>34</v>
      </c>
      <c r="O710" t="s">
        <v>65</v>
      </c>
    </row>
    <row r="711" spans="1:16" x14ac:dyDescent="0.3">
      <c r="A711" t="s">
        <v>1042</v>
      </c>
      <c r="B711" s="1">
        <v>45389</v>
      </c>
      <c r="C711" t="s">
        <v>583</v>
      </c>
      <c r="D711" t="s">
        <v>96</v>
      </c>
      <c r="E711" t="s">
        <v>97</v>
      </c>
      <c r="F711" t="s">
        <v>31</v>
      </c>
      <c r="G711" t="s">
        <v>32</v>
      </c>
      <c r="H711" t="s">
        <v>75</v>
      </c>
      <c r="I711">
        <v>1</v>
      </c>
      <c r="J711">
        <v>1162.3</v>
      </c>
      <c r="K711">
        <v>0.2</v>
      </c>
      <c r="L711">
        <v>929.84</v>
      </c>
      <c r="M711" t="s">
        <v>48</v>
      </c>
      <c r="N711" t="s">
        <v>24</v>
      </c>
      <c r="O711" t="s">
        <v>35</v>
      </c>
      <c r="P711" t="s">
        <v>42</v>
      </c>
    </row>
    <row r="712" spans="1:16" x14ac:dyDescent="0.3">
      <c r="A712" t="s">
        <v>1043</v>
      </c>
      <c r="B712" s="1">
        <v>45795</v>
      </c>
      <c r="C712" t="s">
        <v>110</v>
      </c>
      <c r="D712" t="s">
        <v>131</v>
      </c>
      <c r="E712" t="s">
        <v>132</v>
      </c>
      <c r="F712" t="s">
        <v>40</v>
      </c>
      <c r="G712" t="s">
        <v>21</v>
      </c>
      <c r="H712" t="s">
        <v>126</v>
      </c>
      <c r="I712">
        <v>1</v>
      </c>
      <c r="J712">
        <v>9418.83</v>
      </c>
      <c r="K712">
        <v>0.08</v>
      </c>
      <c r="L712">
        <v>8665.32</v>
      </c>
      <c r="M712" t="s">
        <v>76</v>
      </c>
      <c r="N712" t="s">
        <v>58</v>
      </c>
      <c r="O712" t="s">
        <v>65</v>
      </c>
      <c r="P712" t="s">
        <v>26</v>
      </c>
    </row>
    <row r="713" spans="1:16" x14ac:dyDescent="0.3">
      <c r="A713" t="s">
        <v>1044</v>
      </c>
      <c r="B713" s="1">
        <v>46148</v>
      </c>
      <c r="C713" t="s">
        <v>391</v>
      </c>
      <c r="D713" t="s">
        <v>18</v>
      </c>
      <c r="E713" t="s">
        <v>19</v>
      </c>
      <c r="F713" t="s">
        <v>20</v>
      </c>
      <c r="G713" t="s">
        <v>21</v>
      </c>
      <c r="H713" t="s">
        <v>126</v>
      </c>
      <c r="I713">
        <v>5</v>
      </c>
      <c r="J713">
        <v>796.86</v>
      </c>
      <c r="K713">
        <v>0.2</v>
      </c>
      <c r="L713">
        <v>3187.44</v>
      </c>
      <c r="M713" t="s">
        <v>23</v>
      </c>
      <c r="N713" t="s">
        <v>34</v>
      </c>
      <c r="O713" t="s">
        <v>25</v>
      </c>
      <c r="P713" t="s">
        <v>42</v>
      </c>
    </row>
    <row r="714" spans="1:16" x14ac:dyDescent="0.3">
      <c r="A714" t="s">
        <v>1045</v>
      </c>
      <c r="B714" s="1">
        <v>45726</v>
      </c>
      <c r="C714" t="s">
        <v>216</v>
      </c>
      <c r="D714" t="s">
        <v>45</v>
      </c>
      <c r="E714" t="s">
        <v>46</v>
      </c>
      <c r="F714" t="s">
        <v>31</v>
      </c>
      <c r="G714" t="s">
        <v>81</v>
      </c>
      <c r="H714" t="s">
        <v>82</v>
      </c>
      <c r="I714">
        <v>2</v>
      </c>
      <c r="J714">
        <v>1784.79</v>
      </c>
      <c r="K714">
        <v>0.05</v>
      </c>
      <c r="L714">
        <v>3391.1</v>
      </c>
      <c r="M714" t="s">
        <v>23</v>
      </c>
      <c r="N714" t="s">
        <v>24</v>
      </c>
      <c r="O714" t="s">
        <v>65</v>
      </c>
      <c r="P714" t="s">
        <v>26</v>
      </c>
    </row>
    <row r="715" spans="1:16" x14ac:dyDescent="0.3">
      <c r="A715" t="s">
        <v>1046</v>
      </c>
      <c r="B715" s="1">
        <v>45883</v>
      </c>
      <c r="C715" t="s">
        <v>416</v>
      </c>
      <c r="D715" t="s">
        <v>89</v>
      </c>
      <c r="E715" t="s">
        <v>90</v>
      </c>
      <c r="F715" t="s">
        <v>20</v>
      </c>
      <c r="G715" t="s">
        <v>81</v>
      </c>
      <c r="H715" t="s">
        <v>98</v>
      </c>
      <c r="I715">
        <v>5</v>
      </c>
      <c r="J715">
        <v>721.25</v>
      </c>
      <c r="K715">
        <v>0.05</v>
      </c>
      <c r="L715">
        <v>3425.94</v>
      </c>
      <c r="M715" t="s">
        <v>48</v>
      </c>
      <c r="N715" t="s">
        <v>58</v>
      </c>
      <c r="O715" t="s">
        <v>65</v>
      </c>
      <c r="P715" t="s">
        <v>50</v>
      </c>
    </row>
    <row r="716" spans="1:16" x14ac:dyDescent="0.3">
      <c r="A716" t="s">
        <v>1047</v>
      </c>
      <c r="B716" s="1">
        <v>45405</v>
      </c>
      <c r="C716" t="s">
        <v>462</v>
      </c>
      <c r="D716" t="s">
        <v>170</v>
      </c>
      <c r="E716" t="s">
        <v>171</v>
      </c>
      <c r="F716" t="s">
        <v>31</v>
      </c>
      <c r="G716" t="s">
        <v>81</v>
      </c>
      <c r="H716" t="s">
        <v>82</v>
      </c>
      <c r="I716">
        <v>3</v>
      </c>
      <c r="J716">
        <v>62638.57</v>
      </c>
      <c r="K716">
        <v>0.08</v>
      </c>
      <c r="L716">
        <v>172882.45</v>
      </c>
      <c r="M716" t="s">
        <v>48</v>
      </c>
      <c r="N716" t="s">
        <v>49</v>
      </c>
      <c r="O716" t="s">
        <v>25</v>
      </c>
      <c r="P716" t="s">
        <v>50</v>
      </c>
    </row>
    <row r="717" spans="1:16" x14ac:dyDescent="0.3">
      <c r="A717" t="s">
        <v>1048</v>
      </c>
      <c r="B717" s="1">
        <v>45488</v>
      </c>
      <c r="C717" t="s">
        <v>365</v>
      </c>
      <c r="D717" t="s">
        <v>18</v>
      </c>
      <c r="E717" t="s">
        <v>19</v>
      </c>
      <c r="F717" t="s">
        <v>20</v>
      </c>
      <c r="G717" t="s">
        <v>56</v>
      </c>
      <c r="H717" t="s">
        <v>57</v>
      </c>
      <c r="I717">
        <v>5</v>
      </c>
      <c r="J717">
        <v>896.84</v>
      </c>
      <c r="K717">
        <v>0.08</v>
      </c>
      <c r="L717">
        <v>4125.46</v>
      </c>
      <c r="M717" t="s">
        <v>76</v>
      </c>
      <c r="N717" t="s">
        <v>71</v>
      </c>
      <c r="O717" t="s">
        <v>35</v>
      </c>
      <c r="P717" t="s">
        <v>72</v>
      </c>
    </row>
    <row r="718" spans="1:16" x14ac:dyDescent="0.3">
      <c r="A718" t="s">
        <v>1049</v>
      </c>
      <c r="B718" s="1">
        <v>45896</v>
      </c>
      <c r="C718" t="s">
        <v>343</v>
      </c>
      <c r="D718" t="s">
        <v>121</v>
      </c>
      <c r="E718" t="s">
        <v>122</v>
      </c>
      <c r="F718" t="s">
        <v>55</v>
      </c>
      <c r="G718" t="s">
        <v>32</v>
      </c>
      <c r="H718" t="s">
        <v>47</v>
      </c>
      <c r="I718">
        <v>5</v>
      </c>
      <c r="J718">
        <v>421.73</v>
      </c>
      <c r="K718">
        <v>0.05</v>
      </c>
      <c r="L718">
        <v>2003.22</v>
      </c>
      <c r="M718" t="s">
        <v>76</v>
      </c>
      <c r="N718" t="s">
        <v>24</v>
      </c>
      <c r="O718" t="s">
        <v>65</v>
      </c>
      <c r="P718" t="s">
        <v>42</v>
      </c>
    </row>
    <row r="719" spans="1:16" x14ac:dyDescent="0.3">
      <c r="A719" t="s">
        <v>1050</v>
      </c>
      <c r="B719" s="1">
        <v>45917</v>
      </c>
      <c r="C719" t="s">
        <v>845</v>
      </c>
      <c r="D719" t="s">
        <v>38</v>
      </c>
      <c r="E719" t="s">
        <v>39</v>
      </c>
      <c r="F719" t="s">
        <v>40</v>
      </c>
      <c r="G719" t="s">
        <v>32</v>
      </c>
      <c r="H719" t="s">
        <v>75</v>
      </c>
      <c r="I719">
        <v>3</v>
      </c>
      <c r="J719">
        <v>1493.27</v>
      </c>
      <c r="K719">
        <v>0.08</v>
      </c>
      <c r="L719">
        <v>4121.43</v>
      </c>
      <c r="M719" t="s">
        <v>23</v>
      </c>
      <c r="N719" t="s">
        <v>24</v>
      </c>
      <c r="O719" t="s">
        <v>65</v>
      </c>
      <c r="P719" t="s">
        <v>111</v>
      </c>
    </row>
    <row r="720" spans="1:16" x14ac:dyDescent="0.3">
      <c r="A720" t="s">
        <v>1051</v>
      </c>
      <c r="B720" s="1">
        <v>46147</v>
      </c>
      <c r="C720" t="s">
        <v>120</v>
      </c>
      <c r="D720" t="s">
        <v>105</v>
      </c>
      <c r="E720" t="s">
        <v>106</v>
      </c>
      <c r="F720" t="s">
        <v>40</v>
      </c>
      <c r="G720" t="s">
        <v>56</v>
      </c>
      <c r="H720" t="s">
        <v>123</v>
      </c>
      <c r="I720">
        <v>5</v>
      </c>
      <c r="J720">
        <v>6805.46</v>
      </c>
      <c r="K720">
        <v>0.1</v>
      </c>
      <c r="L720">
        <v>30624.57</v>
      </c>
      <c r="M720" t="s">
        <v>23</v>
      </c>
      <c r="N720" t="s">
        <v>34</v>
      </c>
      <c r="O720" t="s">
        <v>65</v>
      </c>
      <c r="P720" t="s">
        <v>111</v>
      </c>
    </row>
    <row r="721" spans="1:16" x14ac:dyDescent="0.3">
      <c r="A721" t="s">
        <v>1052</v>
      </c>
      <c r="B721" s="1">
        <v>45548</v>
      </c>
      <c r="C721" t="s">
        <v>528</v>
      </c>
      <c r="D721" t="s">
        <v>170</v>
      </c>
      <c r="E721" t="s">
        <v>171</v>
      </c>
      <c r="F721" t="s">
        <v>31</v>
      </c>
      <c r="G721" t="s">
        <v>21</v>
      </c>
      <c r="H721" t="s">
        <v>22</v>
      </c>
      <c r="I721">
        <v>4</v>
      </c>
      <c r="J721">
        <v>60958.2</v>
      </c>
      <c r="K721">
        <v>0</v>
      </c>
      <c r="L721">
        <v>243832.8</v>
      </c>
      <c r="M721" t="s">
        <v>48</v>
      </c>
      <c r="N721" t="s">
        <v>71</v>
      </c>
      <c r="O721" t="s">
        <v>35</v>
      </c>
      <c r="P721" t="s">
        <v>111</v>
      </c>
    </row>
    <row r="722" spans="1:16" x14ac:dyDescent="0.3">
      <c r="A722" t="s">
        <v>1053</v>
      </c>
      <c r="B722" s="1">
        <v>45945</v>
      </c>
      <c r="C722" t="s">
        <v>480</v>
      </c>
      <c r="D722" t="s">
        <v>89</v>
      </c>
      <c r="E722" t="s">
        <v>90</v>
      </c>
      <c r="F722" t="s">
        <v>20</v>
      </c>
      <c r="G722" t="s">
        <v>32</v>
      </c>
      <c r="H722" t="s">
        <v>47</v>
      </c>
      <c r="I722">
        <v>1</v>
      </c>
      <c r="J722">
        <v>726.56</v>
      </c>
      <c r="K722">
        <v>0.05</v>
      </c>
      <c r="L722">
        <v>690.23</v>
      </c>
      <c r="M722" t="s">
        <v>48</v>
      </c>
      <c r="N722" t="s">
        <v>58</v>
      </c>
      <c r="O722" t="s">
        <v>65</v>
      </c>
      <c r="P722" t="s">
        <v>72</v>
      </c>
    </row>
    <row r="723" spans="1:16" x14ac:dyDescent="0.3">
      <c r="A723" t="s">
        <v>1054</v>
      </c>
      <c r="B723" s="1">
        <v>45552</v>
      </c>
      <c r="C723" t="s">
        <v>817</v>
      </c>
      <c r="D723" t="s">
        <v>131</v>
      </c>
      <c r="E723" t="s">
        <v>132</v>
      </c>
      <c r="F723" t="s">
        <v>40</v>
      </c>
      <c r="G723" t="s">
        <v>56</v>
      </c>
      <c r="H723" t="s">
        <v>123</v>
      </c>
      <c r="I723">
        <v>3</v>
      </c>
      <c r="J723">
        <v>9847.4599999999991</v>
      </c>
      <c r="K723">
        <v>0.15</v>
      </c>
      <c r="L723">
        <v>25111.02</v>
      </c>
      <c r="M723" t="s">
        <v>48</v>
      </c>
      <c r="N723" t="s">
        <v>58</v>
      </c>
      <c r="O723" t="s">
        <v>65</v>
      </c>
      <c r="P723" t="s">
        <v>26</v>
      </c>
    </row>
    <row r="724" spans="1:16" x14ac:dyDescent="0.3">
      <c r="A724" t="s">
        <v>1055</v>
      </c>
      <c r="B724" s="1">
        <v>46016</v>
      </c>
      <c r="C724" t="s">
        <v>560</v>
      </c>
      <c r="D724" t="s">
        <v>38</v>
      </c>
      <c r="E724" t="s">
        <v>39</v>
      </c>
      <c r="F724" t="s">
        <v>40</v>
      </c>
      <c r="G724" t="s">
        <v>56</v>
      </c>
      <c r="H724" t="s">
        <v>64</v>
      </c>
      <c r="I724">
        <v>2</v>
      </c>
      <c r="J724">
        <v>1574.45</v>
      </c>
      <c r="L724">
        <v>2991.45</v>
      </c>
      <c r="M724" t="s">
        <v>76</v>
      </c>
      <c r="N724" t="s">
        <v>58</v>
      </c>
      <c r="O724" t="s">
        <v>65</v>
      </c>
      <c r="P724" t="s">
        <v>102</v>
      </c>
    </row>
    <row r="725" spans="1:16" x14ac:dyDescent="0.3">
      <c r="A725" t="s">
        <v>1056</v>
      </c>
      <c r="B725" s="1">
        <v>45999</v>
      </c>
      <c r="C725" t="s">
        <v>206</v>
      </c>
      <c r="D725" t="s">
        <v>53</v>
      </c>
      <c r="E725" t="s">
        <v>54</v>
      </c>
      <c r="F725" t="s">
        <v>55</v>
      </c>
      <c r="G725" t="s">
        <v>32</v>
      </c>
      <c r="H725" t="s">
        <v>33</v>
      </c>
      <c r="I725">
        <v>5</v>
      </c>
      <c r="J725">
        <v>214.45</v>
      </c>
      <c r="K725">
        <v>0.08</v>
      </c>
      <c r="L725">
        <v>986.47</v>
      </c>
      <c r="M725" t="s">
        <v>23</v>
      </c>
      <c r="N725" t="s">
        <v>71</v>
      </c>
      <c r="O725" t="s">
        <v>25</v>
      </c>
      <c r="P725" t="s">
        <v>42</v>
      </c>
    </row>
    <row r="726" spans="1:16" x14ac:dyDescent="0.3">
      <c r="A726" t="s">
        <v>1057</v>
      </c>
      <c r="B726" s="1">
        <v>46033</v>
      </c>
      <c r="C726" t="s">
        <v>1058</v>
      </c>
      <c r="D726" t="s">
        <v>96</v>
      </c>
      <c r="E726" t="s">
        <v>97</v>
      </c>
      <c r="F726" t="s">
        <v>31</v>
      </c>
      <c r="G726" t="s">
        <v>21</v>
      </c>
      <c r="H726" t="s">
        <v>93</v>
      </c>
      <c r="I726">
        <v>3</v>
      </c>
      <c r="J726">
        <v>1170.51</v>
      </c>
      <c r="K726">
        <v>0.08</v>
      </c>
      <c r="L726">
        <v>3230.61</v>
      </c>
      <c r="M726" t="s">
        <v>48</v>
      </c>
      <c r="N726" t="s">
        <v>24</v>
      </c>
      <c r="O726" t="s">
        <v>65</v>
      </c>
      <c r="P726" t="s">
        <v>42</v>
      </c>
    </row>
    <row r="727" spans="1:16" x14ac:dyDescent="0.3">
      <c r="A727" t="s">
        <v>1059</v>
      </c>
      <c r="B727" s="1">
        <v>45850</v>
      </c>
      <c r="C727" t="s">
        <v>253</v>
      </c>
      <c r="D727" t="s">
        <v>121</v>
      </c>
      <c r="E727" t="s">
        <v>122</v>
      </c>
      <c r="F727" t="s">
        <v>55</v>
      </c>
      <c r="G727" t="s">
        <v>32</v>
      </c>
      <c r="H727" t="s">
        <v>33</v>
      </c>
      <c r="I727">
        <v>3</v>
      </c>
      <c r="J727">
        <v>427.95</v>
      </c>
      <c r="K727">
        <v>0.08</v>
      </c>
      <c r="L727">
        <v>1181.1400000000001</v>
      </c>
      <c r="M727" t="s">
        <v>76</v>
      </c>
      <c r="N727" t="s">
        <v>24</v>
      </c>
      <c r="O727" t="s">
        <v>65</v>
      </c>
      <c r="P727" t="s">
        <v>116</v>
      </c>
    </row>
    <row r="728" spans="1:16" x14ac:dyDescent="0.3">
      <c r="A728" t="s">
        <v>1060</v>
      </c>
      <c r="B728" s="1">
        <v>45607</v>
      </c>
      <c r="C728" t="s">
        <v>695</v>
      </c>
      <c r="D728" t="s">
        <v>45</v>
      </c>
      <c r="E728" t="s">
        <v>46</v>
      </c>
      <c r="F728" t="s">
        <v>31</v>
      </c>
      <c r="G728" t="s">
        <v>56</v>
      </c>
      <c r="H728" t="s">
        <v>57</v>
      </c>
      <c r="I728">
        <v>3</v>
      </c>
      <c r="J728">
        <v>1732.99</v>
      </c>
      <c r="K728">
        <v>0.03</v>
      </c>
      <c r="L728">
        <v>5043</v>
      </c>
      <c r="M728" t="s">
        <v>76</v>
      </c>
      <c r="N728" t="s">
        <v>49</v>
      </c>
      <c r="O728" t="s">
        <v>65</v>
      </c>
      <c r="P728" t="s">
        <v>111</v>
      </c>
    </row>
    <row r="729" spans="1:16" x14ac:dyDescent="0.3">
      <c r="A729" t="s">
        <v>1061</v>
      </c>
      <c r="B729" s="1">
        <v>45598</v>
      </c>
      <c r="C729" t="s">
        <v>196</v>
      </c>
      <c r="D729" t="s">
        <v>29</v>
      </c>
      <c r="E729" t="s">
        <v>30</v>
      </c>
      <c r="F729" t="s">
        <v>31</v>
      </c>
      <c r="G729" t="s">
        <v>32</v>
      </c>
      <c r="H729" t="s">
        <v>33</v>
      </c>
      <c r="I729">
        <v>2</v>
      </c>
      <c r="J729">
        <v>3253.85</v>
      </c>
      <c r="K729">
        <v>0.03</v>
      </c>
      <c r="L729">
        <v>6312.47</v>
      </c>
      <c r="M729" t="s">
        <v>23</v>
      </c>
      <c r="N729" t="s">
        <v>58</v>
      </c>
      <c r="O729" t="s">
        <v>65</v>
      </c>
      <c r="P729" t="s">
        <v>102</v>
      </c>
    </row>
    <row r="730" spans="1:16" x14ac:dyDescent="0.3">
      <c r="A730" t="s">
        <v>1062</v>
      </c>
      <c r="B730" s="1">
        <v>45405</v>
      </c>
      <c r="C730" t="s">
        <v>1063</v>
      </c>
      <c r="D730" t="s">
        <v>105</v>
      </c>
      <c r="E730" t="s">
        <v>106</v>
      </c>
      <c r="F730" t="s">
        <v>40</v>
      </c>
      <c r="G730" t="s">
        <v>21</v>
      </c>
      <c r="H730" t="s">
        <v>41</v>
      </c>
      <c r="I730">
        <v>2</v>
      </c>
      <c r="J730">
        <v>7483.33</v>
      </c>
      <c r="K730">
        <v>0.2</v>
      </c>
      <c r="L730">
        <v>11973.33</v>
      </c>
      <c r="M730" t="s">
        <v>48</v>
      </c>
      <c r="N730" t="s">
        <v>71</v>
      </c>
      <c r="O730" t="s">
        <v>65</v>
      </c>
      <c r="P730" t="s">
        <v>42</v>
      </c>
    </row>
    <row r="731" spans="1:16" x14ac:dyDescent="0.3">
      <c r="A731" t="s">
        <v>1064</v>
      </c>
      <c r="B731" s="1">
        <v>45411</v>
      </c>
      <c r="C731" t="s">
        <v>309</v>
      </c>
      <c r="D731" t="s">
        <v>131</v>
      </c>
      <c r="E731" t="s">
        <v>132</v>
      </c>
      <c r="F731" t="s">
        <v>40</v>
      </c>
      <c r="G731" t="s">
        <v>21</v>
      </c>
      <c r="H731" t="s">
        <v>41</v>
      </c>
      <c r="I731">
        <v>3</v>
      </c>
      <c r="J731">
        <v>9082.9699999999993</v>
      </c>
      <c r="K731">
        <v>0.03</v>
      </c>
      <c r="L731">
        <v>26431.439999999999</v>
      </c>
      <c r="M731" t="s">
        <v>76</v>
      </c>
      <c r="N731" t="s">
        <v>58</v>
      </c>
      <c r="O731" t="s">
        <v>65</v>
      </c>
      <c r="P731" t="s">
        <v>72</v>
      </c>
    </row>
    <row r="732" spans="1:16" x14ac:dyDescent="0.3">
      <c r="A732" t="s">
        <v>1065</v>
      </c>
      <c r="B732" s="1">
        <v>45497</v>
      </c>
      <c r="C732" t="s">
        <v>542</v>
      </c>
      <c r="D732" t="s">
        <v>170</v>
      </c>
      <c r="E732" t="s">
        <v>171</v>
      </c>
      <c r="F732" t="s">
        <v>31</v>
      </c>
      <c r="G732" t="s">
        <v>21</v>
      </c>
      <c r="H732" t="s">
        <v>41</v>
      </c>
      <c r="I732">
        <v>3</v>
      </c>
      <c r="J732">
        <v>68836.41</v>
      </c>
      <c r="K732">
        <v>0.1</v>
      </c>
      <c r="L732">
        <v>185858.31</v>
      </c>
      <c r="M732" t="s">
        <v>23</v>
      </c>
      <c r="N732" t="s">
        <v>34</v>
      </c>
      <c r="O732" t="s">
        <v>65</v>
      </c>
      <c r="P732" t="s">
        <v>50</v>
      </c>
    </row>
    <row r="733" spans="1:16" x14ac:dyDescent="0.3">
      <c r="A733" t="s">
        <v>1066</v>
      </c>
      <c r="B733" s="1">
        <v>45775</v>
      </c>
      <c r="C733" t="s">
        <v>508</v>
      </c>
      <c r="D733" t="s">
        <v>170</v>
      </c>
      <c r="E733" t="s">
        <v>171</v>
      </c>
      <c r="F733" t="s">
        <v>31</v>
      </c>
      <c r="G733" t="s">
        <v>56</v>
      </c>
      <c r="H733" t="s">
        <v>101</v>
      </c>
      <c r="I733">
        <v>1</v>
      </c>
      <c r="J733">
        <v>69410.899999999994</v>
      </c>
      <c r="K733">
        <v>0.08</v>
      </c>
      <c r="L733">
        <v>63858.03</v>
      </c>
      <c r="M733" t="s">
        <v>76</v>
      </c>
      <c r="N733" t="s">
        <v>24</v>
      </c>
      <c r="O733" t="s">
        <v>65</v>
      </c>
      <c r="P733" t="s">
        <v>102</v>
      </c>
    </row>
    <row r="734" spans="1:16" x14ac:dyDescent="0.3">
      <c r="A734" t="s">
        <v>1067</v>
      </c>
      <c r="B734" s="1">
        <v>45661</v>
      </c>
      <c r="C734" t="s">
        <v>28</v>
      </c>
      <c r="D734" t="s">
        <v>170</v>
      </c>
      <c r="E734" t="s">
        <v>171</v>
      </c>
      <c r="F734" t="s">
        <v>31</v>
      </c>
      <c r="G734" t="s">
        <v>32</v>
      </c>
      <c r="H734" t="s">
        <v>33</v>
      </c>
      <c r="I734">
        <v>5</v>
      </c>
      <c r="J734">
        <v>65039.07</v>
      </c>
      <c r="K734">
        <v>0.05</v>
      </c>
      <c r="L734">
        <v>308935.58</v>
      </c>
      <c r="M734" t="s">
        <v>48</v>
      </c>
      <c r="N734" t="s">
        <v>34</v>
      </c>
      <c r="O734" t="s">
        <v>65</v>
      </c>
      <c r="P734" t="s">
        <v>50</v>
      </c>
    </row>
    <row r="735" spans="1:16" x14ac:dyDescent="0.3">
      <c r="A735" t="s">
        <v>1068</v>
      </c>
      <c r="B735" s="1">
        <v>45691</v>
      </c>
      <c r="C735" t="s">
        <v>1069</v>
      </c>
      <c r="D735" t="s">
        <v>29</v>
      </c>
      <c r="E735" t="s">
        <v>30</v>
      </c>
      <c r="F735" t="s">
        <v>31</v>
      </c>
      <c r="G735" t="s">
        <v>56</v>
      </c>
      <c r="H735" t="s">
        <v>64</v>
      </c>
      <c r="I735">
        <v>3</v>
      </c>
      <c r="J735">
        <v>3235.66</v>
      </c>
      <c r="K735">
        <v>0.1</v>
      </c>
      <c r="L735">
        <v>8736.2800000000007</v>
      </c>
      <c r="M735" t="s">
        <v>76</v>
      </c>
      <c r="N735" t="s">
        <v>49</v>
      </c>
      <c r="O735" t="s">
        <v>65</v>
      </c>
      <c r="P735" t="s">
        <v>26</v>
      </c>
    </row>
    <row r="736" spans="1:16" x14ac:dyDescent="0.3">
      <c r="A736" t="s">
        <v>1070</v>
      </c>
      <c r="B736" s="1">
        <v>45528</v>
      </c>
      <c r="C736" t="s">
        <v>108</v>
      </c>
      <c r="D736" t="s">
        <v>105</v>
      </c>
      <c r="E736" t="s">
        <v>106</v>
      </c>
      <c r="F736" t="s">
        <v>40</v>
      </c>
      <c r="G736" t="s">
        <v>21</v>
      </c>
      <c r="H736" t="s">
        <v>41</v>
      </c>
      <c r="I736">
        <v>1</v>
      </c>
      <c r="J736">
        <v>6630.98</v>
      </c>
      <c r="K736">
        <v>0</v>
      </c>
      <c r="L736">
        <v>6630.98</v>
      </c>
      <c r="M736" t="s">
        <v>23</v>
      </c>
      <c r="N736" t="s">
        <v>24</v>
      </c>
      <c r="O736" t="s">
        <v>65</v>
      </c>
      <c r="P736" t="s">
        <v>59</v>
      </c>
    </row>
    <row r="737" spans="1:16" x14ac:dyDescent="0.3">
      <c r="A737" t="s">
        <v>1071</v>
      </c>
      <c r="B737" s="1">
        <v>45366</v>
      </c>
      <c r="C737" t="s">
        <v>607</v>
      </c>
      <c r="D737" t="s">
        <v>18</v>
      </c>
      <c r="E737" t="s">
        <v>19</v>
      </c>
      <c r="F737" t="s">
        <v>20</v>
      </c>
      <c r="G737" t="s">
        <v>56</v>
      </c>
      <c r="H737" t="s">
        <v>57</v>
      </c>
      <c r="I737">
        <v>4</v>
      </c>
      <c r="J737">
        <v>823.97</v>
      </c>
      <c r="K737">
        <v>0.1</v>
      </c>
      <c r="L737">
        <v>2966.29</v>
      </c>
      <c r="M737" t="s">
        <v>48</v>
      </c>
      <c r="N737" t="s">
        <v>34</v>
      </c>
      <c r="O737" t="s">
        <v>65</v>
      </c>
      <c r="P737" t="s">
        <v>116</v>
      </c>
    </row>
    <row r="738" spans="1:16" x14ac:dyDescent="0.3">
      <c r="A738" t="s">
        <v>1072</v>
      </c>
      <c r="B738" s="1">
        <v>45654</v>
      </c>
      <c r="C738" t="s">
        <v>227</v>
      </c>
      <c r="D738" t="s">
        <v>89</v>
      </c>
      <c r="E738" t="s">
        <v>90</v>
      </c>
      <c r="F738" t="s">
        <v>20</v>
      </c>
      <c r="G738" t="s">
        <v>32</v>
      </c>
      <c r="H738" t="s">
        <v>33</v>
      </c>
      <c r="I738">
        <v>5</v>
      </c>
      <c r="J738">
        <v>727.95</v>
      </c>
      <c r="K738">
        <v>0.03</v>
      </c>
      <c r="L738">
        <v>3530.56</v>
      </c>
      <c r="M738" t="s">
        <v>23</v>
      </c>
      <c r="N738" t="s">
        <v>71</v>
      </c>
      <c r="O738" t="s">
        <v>35</v>
      </c>
      <c r="P738" t="s">
        <v>59</v>
      </c>
    </row>
    <row r="739" spans="1:16" x14ac:dyDescent="0.3">
      <c r="A739" t="s">
        <v>1073</v>
      </c>
      <c r="B739" s="1">
        <v>45739</v>
      </c>
      <c r="C739" t="s">
        <v>28</v>
      </c>
      <c r="D739" t="s">
        <v>38</v>
      </c>
      <c r="E739" t="s">
        <v>39</v>
      </c>
      <c r="F739" t="s">
        <v>40</v>
      </c>
      <c r="G739" t="s">
        <v>81</v>
      </c>
      <c r="H739" t="s">
        <v>87</v>
      </c>
      <c r="I739">
        <v>4</v>
      </c>
      <c r="J739">
        <v>1716.58</v>
      </c>
      <c r="K739">
        <v>0.03</v>
      </c>
      <c r="L739">
        <v>6660.33</v>
      </c>
      <c r="M739" t="s">
        <v>23</v>
      </c>
      <c r="N739" t="s">
        <v>71</v>
      </c>
      <c r="O739" t="s">
        <v>25</v>
      </c>
      <c r="P739" t="s">
        <v>50</v>
      </c>
    </row>
    <row r="740" spans="1:16" x14ac:dyDescent="0.3">
      <c r="A740" t="s">
        <v>1074</v>
      </c>
      <c r="B740" s="1">
        <v>45699</v>
      </c>
      <c r="C740" t="s">
        <v>480</v>
      </c>
      <c r="D740" t="s">
        <v>53</v>
      </c>
      <c r="E740" t="s">
        <v>54</v>
      </c>
      <c r="F740" t="s">
        <v>55</v>
      </c>
      <c r="G740" t="s">
        <v>21</v>
      </c>
      <c r="H740" t="s">
        <v>22</v>
      </c>
      <c r="I740">
        <v>5</v>
      </c>
      <c r="J740">
        <v>217.78</v>
      </c>
      <c r="K740">
        <v>0.08</v>
      </c>
      <c r="L740">
        <v>1001.79</v>
      </c>
      <c r="M740" t="s">
        <v>23</v>
      </c>
      <c r="N740" t="s">
        <v>24</v>
      </c>
      <c r="O740" t="s">
        <v>65</v>
      </c>
      <c r="P740" t="s">
        <v>42</v>
      </c>
    </row>
    <row r="741" spans="1:16" x14ac:dyDescent="0.3">
      <c r="A741" t="s">
        <v>1075</v>
      </c>
      <c r="B741" s="1">
        <v>45713</v>
      </c>
      <c r="C741" t="s">
        <v>130</v>
      </c>
      <c r="D741" t="s">
        <v>53</v>
      </c>
      <c r="E741" t="s">
        <v>54</v>
      </c>
      <c r="F741" t="s">
        <v>55</v>
      </c>
      <c r="G741" t="s">
        <v>32</v>
      </c>
      <c r="H741" t="s">
        <v>75</v>
      </c>
      <c r="I741">
        <v>5</v>
      </c>
      <c r="J741">
        <v>216.78</v>
      </c>
      <c r="K741">
        <v>0.15</v>
      </c>
      <c r="L741">
        <v>921.32</v>
      </c>
      <c r="M741" t="s">
        <v>76</v>
      </c>
      <c r="N741" t="s">
        <v>24</v>
      </c>
      <c r="O741" t="s">
        <v>65</v>
      </c>
      <c r="P741" t="s">
        <v>116</v>
      </c>
    </row>
    <row r="742" spans="1:16" x14ac:dyDescent="0.3">
      <c r="A742" t="s">
        <v>1076</v>
      </c>
      <c r="B742" s="1">
        <v>45455</v>
      </c>
      <c r="C742" t="s">
        <v>1077</v>
      </c>
      <c r="D742" t="s">
        <v>53</v>
      </c>
      <c r="E742" t="s">
        <v>54</v>
      </c>
      <c r="F742" t="s">
        <v>55</v>
      </c>
      <c r="G742" t="s">
        <v>81</v>
      </c>
      <c r="H742" t="s">
        <v>82</v>
      </c>
      <c r="I742">
        <v>4</v>
      </c>
      <c r="J742">
        <v>235.51</v>
      </c>
      <c r="K742">
        <v>0.2</v>
      </c>
      <c r="L742">
        <v>753.63</v>
      </c>
      <c r="M742" t="s">
        <v>76</v>
      </c>
      <c r="N742" t="s">
        <v>71</v>
      </c>
      <c r="O742" t="s">
        <v>65</v>
      </c>
      <c r="P742" t="s">
        <v>50</v>
      </c>
    </row>
    <row r="743" spans="1:16" x14ac:dyDescent="0.3">
      <c r="A743" t="s">
        <v>1078</v>
      </c>
      <c r="B743" s="1">
        <v>45507</v>
      </c>
      <c r="C743" t="s">
        <v>325</v>
      </c>
      <c r="D743" t="s">
        <v>29</v>
      </c>
      <c r="E743" t="s">
        <v>30</v>
      </c>
      <c r="F743" t="s">
        <v>31</v>
      </c>
      <c r="G743" t="s">
        <v>21</v>
      </c>
      <c r="H743" t="s">
        <v>126</v>
      </c>
      <c r="I743">
        <v>5</v>
      </c>
      <c r="J743">
        <v>3226.82</v>
      </c>
      <c r="K743">
        <v>0.08</v>
      </c>
      <c r="L743">
        <v>14843.37</v>
      </c>
      <c r="M743" t="s">
        <v>76</v>
      </c>
      <c r="N743" t="s">
        <v>58</v>
      </c>
      <c r="O743" t="s">
        <v>65</v>
      </c>
      <c r="P743" t="s">
        <v>26</v>
      </c>
    </row>
    <row r="744" spans="1:16" x14ac:dyDescent="0.3">
      <c r="A744" t="s">
        <v>1079</v>
      </c>
      <c r="B744" s="1">
        <v>45634</v>
      </c>
      <c r="C744" t="s">
        <v>225</v>
      </c>
      <c r="D744" t="s">
        <v>29</v>
      </c>
      <c r="E744" t="s">
        <v>30</v>
      </c>
      <c r="F744" t="s">
        <v>31</v>
      </c>
      <c r="G744" t="s">
        <v>32</v>
      </c>
      <c r="H744" t="s">
        <v>47</v>
      </c>
      <c r="I744">
        <v>3</v>
      </c>
      <c r="J744">
        <v>3035.61</v>
      </c>
      <c r="K744">
        <v>0.05</v>
      </c>
      <c r="L744">
        <v>8651.49</v>
      </c>
      <c r="M744" t="s">
        <v>76</v>
      </c>
      <c r="N744" t="s">
        <v>34</v>
      </c>
      <c r="O744" t="s">
        <v>35</v>
      </c>
      <c r="P744" t="s">
        <v>111</v>
      </c>
    </row>
    <row r="745" spans="1:16" x14ac:dyDescent="0.3">
      <c r="A745" t="s">
        <v>1080</v>
      </c>
      <c r="B745" s="1">
        <v>46120</v>
      </c>
      <c r="C745" t="s">
        <v>578</v>
      </c>
      <c r="D745" t="s">
        <v>45</v>
      </c>
      <c r="E745" t="s">
        <v>46</v>
      </c>
      <c r="F745" t="s">
        <v>31</v>
      </c>
      <c r="G745" t="s">
        <v>21</v>
      </c>
      <c r="H745" t="s">
        <v>126</v>
      </c>
      <c r="I745">
        <v>1</v>
      </c>
      <c r="J745">
        <v>1852.5</v>
      </c>
      <c r="K745">
        <v>0.05</v>
      </c>
      <c r="L745">
        <v>1759.88</v>
      </c>
      <c r="M745" t="s">
        <v>23</v>
      </c>
      <c r="N745" t="s">
        <v>58</v>
      </c>
      <c r="O745" t="s">
        <v>35</v>
      </c>
      <c r="P745" t="s">
        <v>111</v>
      </c>
    </row>
    <row r="746" spans="1:16" x14ac:dyDescent="0.3">
      <c r="A746" t="s">
        <v>1081</v>
      </c>
      <c r="B746" s="1">
        <v>46099</v>
      </c>
      <c r="C746" t="s">
        <v>514</v>
      </c>
      <c r="D746" t="s">
        <v>96</v>
      </c>
      <c r="E746" t="s">
        <v>97</v>
      </c>
      <c r="F746" t="s">
        <v>31</v>
      </c>
      <c r="G746" t="s">
        <v>56</v>
      </c>
      <c r="H746" t="s">
        <v>64</v>
      </c>
      <c r="I746">
        <v>1</v>
      </c>
      <c r="J746">
        <v>1133.95</v>
      </c>
      <c r="K746">
        <v>0.15</v>
      </c>
      <c r="L746">
        <v>963.86</v>
      </c>
      <c r="M746" t="s">
        <v>48</v>
      </c>
      <c r="N746" t="s">
        <v>24</v>
      </c>
      <c r="O746" t="s">
        <v>65</v>
      </c>
      <c r="P746" t="s">
        <v>26</v>
      </c>
    </row>
    <row r="747" spans="1:16" x14ac:dyDescent="0.3">
      <c r="A747" t="s">
        <v>1082</v>
      </c>
      <c r="B747" s="1">
        <v>45542</v>
      </c>
      <c r="C747" t="s">
        <v>808</v>
      </c>
      <c r="D747" t="s">
        <v>29</v>
      </c>
      <c r="E747" t="s">
        <v>30</v>
      </c>
      <c r="F747" t="s">
        <v>31</v>
      </c>
      <c r="G747" t="s">
        <v>56</v>
      </c>
      <c r="H747" t="s">
        <v>64</v>
      </c>
      <c r="I747">
        <v>2</v>
      </c>
      <c r="J747">
        <v>3098.35</v>
      </c>
      <c r="K747">
        <v>0.05</v>
      </c>
      <c r="L747">
        <v>5886.86</v>
      </c>
      <c r="M747" t="s">
        <v>23</v>
      </c>
      <c r="N747" t="s">
        <v>49</v>
      </c>
      <c r="O747" t="s">
        <v>65</v>
      </c>
      <c r="P747" t="s">
        <v>50</v>
      </c>
    </row>
    <row r="748" spans="1:16" x14ac:dyDescent="0.3">
      <c r="A748" t="s">
        <v>1083</v>
      </c>
      <c r="B748" s="1">
        <v>45974</v>
      </c>
      <c r="D748" t="s">
        <v>18</v>
      </c>
      <c r="E748" t="s">
        <v>19</v>
      </c>
      <c r="F748" t="s">
        <v>20</v>
      </c>
      <c r="G748" t="s">
        <v>81</v>
      </c>
      <c r="H748" t="s">
        <v>87</v>
      </c>
      <c r="I748">
        <v>2</v>
      </c>
      <c r="J748">
        <v>891.56</v>
      </c>
      <c r="K748">
        <v>0.05</v>
      </c>
      <c r="L748">
        <v>1693.96</v>
      </c>
      <c r="M748" t="s">
        <v>23</v>
      </c>
      <c r="N748" t="s">
        <v>34</v>
      </c>
      <c r="O748" t="s">
        <v>65</v>
      </c>
      <c r="P748" t="s">
        <v>50</v>
      </c>
    </row>
    <row r="749" spans="1:16" x14ac:dyDescent="0.3">
      <c r="A749" t="s">
        <v>1084</v>
      </c>
      <c r="B749" s="1">
        <v>46158</v>
      </c>
      <c r="C749" t="s">
        <v>365</v>
      </c>
      <c r="D749" t="s">
        <v>53</v>
      </c>
      <c r="E749" t="s">
        <v>54</v>
      </c>
      <c r="F749" t="s">
        <v>55</v>
      </c>
      <c r="G749" t="s">
        <v>56</v>
      </c>
      <c r="H749" t="s">
        <v>123</v>
      </c>
      <c r="I749">
        <v>4</v>
      </c>
      <c r="J749">
        <v>203.22</v>
      </c>
      <c r="K749">
        <v>0.1</v>
      </c>
      <c r="L749">
        <v>731.59</v>
      </c>
      <c r="M749" t="s">
        <v>48</v>
      </c>
      <c r="N749" t="s">
        <v>24</v>
      </c>
      <c r="O749" t="s">
        <v>65</v>
      </c>
      <c r="P749" t="s">
        <v>102</v>
      </c>
    </row>
    <row r="750" spans="1:16" x14ac:dyDescent="0.3">
      <c r="A750" t="s">
        <v>1085</v>
      </c>
      <c r="B750" s="1">
        <v>45551</v>
      </c>
      <c r="C750" t="s">
        <v>92</v>
      </c>
      <c r="D750" t="s">
        <v>131</v>
      </c>
      <c r="E750" t="s">
        <v>132</v>
      </c>
      <c r="F750" t="s">
        <v>40</v>
      </c>
      <c r="G750" t="s">
        <v>32</v>
      </c>
      <c r="H750" t="s">
        <v>75</v>
      </c>
      <c r="I750">
        <v>4</v>
      </c>
      <c r="J750">
        <v>8915.2099999999991</v>
      </c>
      <c r="K750">
        <v>0.2</v>
      </c>
      <c r="L750">
        <v>28528.67</v>
      </c>
      <c r="M750" t="s">
        <v>23</v>
      </c>
      <c r="N750" t="s">
        <v>58</v>
      </c>
      <c r="O750" t="s">
        <v>65</v>
      </c>
      <c r="P750" t="s">
        <v>50</v>
      </c>
    </row>
    <row r="751" spans="1:16" x14ac:dyDescent="0.3">
      <c r="A751" t="s">
        <v>1086</v>
      </c>
      <c r="B751" s="1">
        <v>45695</v>
      </c>
      <c r="C751" t="s">
        <v>341</v>
      </c>
      <c r="D751" t="s">
        <v>62</v>
      </c>
      <c r="E751" t="s">
        <v>63</v>
      </c>
      <c r="F751" t="s">
        <v>31</v>
      </c>
      <c r="G751" t="s">
        <v>21</v>
      </c>
      <c r="H751" t="s">
        <v>126</v>
      </c>
      <c r="I751">
        <v>2</v>
      </c>
      <c r="J751">
        <v>2685.55</v>
      </c>
      <c r="K751">
        <v>0.08</v>
      </c>
      <c r="L751">
        <v>4941.41</v>
      </c>
      <c r="M751" t="s">
        <v>23</v>
      </c>
      <c r="N751" t="s">
        <v>24</v>
      </c>
      <c r="O751" t="s">
        <v>35</v>
      </c>
      <c r="P751" t="s">
        <v>116</v>
      </c>
    </row>
    <row r="752" spans="1:16" x14ac:dyDescent="0.3">
      <c r="A752" t="s">
        <v>1087</v>
      </c>
      <c r="B752" s="1">
        <v>45558</v>
      </c>
      <c r="C752" t="s">
        <v>208</v>
      </c>
      <c r="D752" t="s">
        <v>85</v>
      </c>
      <c r="E752" t="s">
        <v>86</v>
      </c>
      <c r="F752" t="s">
        <v>20</v>
      </c>
      <c r="G752" t="s">
        <v>32</v>
      </c>
      <c r="H752" t="s">
        <v>47</v>
      </c>
      <c r="I752">
        <v>2</v>
      </c>
      <c r="J752">
        <v>1767.6</v>
      </c>
      <c r="K752">
        <v>0.1</v>
      </c>
      <c r="L752">
        <v>3181.68</v>
      </c>
      <c r="M752" t="s">
        <v>76</v>
      </c>
      <c r="N752" t="s">
        <v>24</v>
      </c>
      <c r="O752" t="s">
        <v>65</v>
      </c>
      <c r="P752" t="s">
        <v>102</v>
      </c>
    </row>
    <row r="753" spans="1:16" x14ac:dyDescent="0.3">
      <c r="A753" t="s">
        <v>1088</v>
      </c>
      <c r="B753" s="1">
        <v>45836</v>
      </c>
      <c r="C753" t="s">
        <v>441</v>
      </c>
      <c r="D753" t="s">
        <v>18</v>
      </c>
      <c r="E753" t="s">
        <v>19</v>
      </c>
      <c r="F753" t="s">
        <v>20</v>
      </c>
      <c r="G753" t="s">
        <v>21</v>
      </c>
      <c r="H753" t="s">
        <v>41</v>
      </c>
      <c r="I753">
        <v>2</v>
      </c>
      <c r="J753">
        <v>898.94</v>
      </c>
      <c r="K753">
        <v>0.05</v>
      </c>
      <c r="L753">
        <v>1707.99</v>
      </c>
      <c r="M753" t="s">
        <v>48</v>
      </c>
      <c r="N753" t="s">
        <v>71</v>
      </c>
      <c r="O753" t="s">
        <v>65</v>
      </c>
      <c r="P753" t="s">
        <v>26</v>
      </c>
    </row>
    <row r="754" spans="1:16" x14ac:dyDescent="0.3">
      <c r="A754" t="s">
        <v>1089</v>
      </c>
      <c r="B754" s="1">
        <v>46060</v>
      </c>
      <c r="C754" t="s">
        <v>493</v>
      </c>
      <c r="D754" t="s">
        <v>105</v>
      </c>
      <c r="E754" t="s">
        <v>106</v>
      </c>
      <c r="F754" t="s">
        <v>40</v>
      </c>
      <c r="G754" t="s">
        <v>21</v>
      </c>
      <c r="H754" t="s">
        <v>93</v>
      </c>
      <c r="I754">
        <v>5</v>
      </c>
      <c r="J754">
        <v>6947.16</v>
      </c>
      <c r="K754">
        <v>0.05</v>
      </c>
      <c r="L754">
        <v>32999.01</v>
      </c>
      <c r="M754" t="s">
        <v>76</v>
      </c>
      <c r="N754" t="s">
        <v>24</v>
      </c>
      <c r="O754" t="s">
        <v>65</v>
      </c>
      <c r="P754" t="s">
        <v>26</v>
      </c>
    </row>
    <row r="755" spans="1:16" x14ac:dyDescent="0.3">
      <c r="A755" t="s">
        <v>1090</v>
      </c>
      <c r="B755" s="1">
        <v>45923</v>
      </c>
      <c r="C755" t="s">
        <v>306</v>
      </c>
      <c r="D755" t="s">
        <v>79</v>
      </c>
      <c r="E755" t="s">
        <v>80</v>
      </c>
      <c r="F755" t="s">
        <v>31</v>
      </c>
      <c r="G755" t="s">
        <v>56</v>
      </c>
      <c r="H755" t="s">
        <v>57</v>
      </c>
      <c r="I755">
        <v>1</v>
      </c>
      <c r="J755">
        <v>12512.75</v>
      </c>
      <c r="K755">
        <v>0.03</v>
      </c>
      <c r="L755">
        <v>12137.37</v>
      </c>
      <c r="M755" t="s">
        <v>48</v>
      </c>
      <c r="N755" t="s">
        <v>49</v>
      </c>
      <c r="O755" t="s">
        <v>35</v>
      </c>
      <c r="P755" t="s">
        <v>59</v>
      </c>
    </row>
    <row r="756" spans="1:16" x14ac:dyDescent="0.3">
      <c r="A756" t="s">
        <v>1091</v>
      </c>
      <c r="B756" s="1">
        <v>45868</v>
      </c>
      <c r="C756" t="s">
        <v>206</v>
      </c>
      <c r="D756" t="s">
        <v>131</v>
      </c>
      <c r="E756" t="s">
        <v>132</v>
      </c>
      <c r="F756" t="s">
        <v>40</v>
      </c>
      <c r="G756" t="s">
        <v>32</v>
      </c>
      <c r="H756" t="s">
        <v>47</v>
      </c>
      <c r="I756">
        <v>1</v>
      </c>
      <c r="J756">
        <v>9819.4500000000007</v>
      </c>
      <c r="K756">
        <v>0.2</v>
      </c>
      <c r="L756">
        <v>7855.56</v>
      </c>
      <c r="M756" t="s">
        <v>76</v>
      </c>
      <c r="N756" t="s">
        <v>58</v>
      </c>
      <c r="O756" t="s">
        <v>25</v>
      </c>
      <c r="P756" t="s">
        <v>116</v>
      </c>
    </row>
    <row r="757" spans="1:16" x14ac:dyDescent="0.3">
      <c r="A757" t="s">
        <v>1092</v>
      </c>
      <c r="B757" s="1">
        <v>45402</v>
      </c>
      <c r="C757" t="s">
        <v>643</v>
      </c>
      <c r="D757" t="s">
        <v>79</v>
      </c>
      <c r="E757" t="s">
        <v>80</v>
      </c>
      <c r="F757" t="s">
        <v>31</v>
      </c>
      <c r="G757" t="s">
        <v>21</v>
      </c>
      <c r="H757" t="s">
        <v>93</v>
      </c>
      <c r="I757">
        <v>3</v>
      </c>
      <c r="J757">
        <v>11741.15</v>
      </c>
      <c r="K757">
        <v>0.03</v>
      </c>
      <c r="L757">
        <v>34166.75</v>
      </c>
      <c r="M757" t="s">
        <v>23</v>
      </c>
      <c r="N757" t="s">
        <v>58</v>
      </c>
      <c r="O757" t="s">
        <v>25</v>
      </c>
    </row>
    <row r="758" spans="1:16" x14ac:dyDescent="0.3">
      <c r="A758" t="s">
        <v>1093</v>
      </c>
      <c r="B758" s="1">
        <v>46087</v>
      </c>
      <c r="C758" t="s">
        <v>153</v>
      </c>
      <c r="D758" t="s">
        <v>131</v>
      </c>
      <c r="E758" t="s">
        <v>132</v>
      </c>
      <c r="F758" t="s">
        <v>40</v>
      </c>
      <c r="G758" t="s">
        <v>81</v>
      </c>
      <c r="H758" t="s">
        <v>82</v>
      </c>
      <c r="I758">
        <v>5</v>
      </c>
      <c r="J758">
        <v>9755.24</v>
      </c>
      <c r="K758">
        <v>0.05</v>
      </c>
      <c r="L758">
        <v>46337.39</v>
      </c>
      <c r="M758" t="s">
        <v>48</v>
      </c>
      <c r="N758" t="s">
        <v>71</v>
      </c>
      <c r="O758" t="s">
        <v>65</v>
      </c>
      <c r="P758" t="s">
        <v>102</v>
      </c>
    </row>
    <row r="759" spans="1:16" x14ac:dyDescent="0.3">
      <c r="A759" t="s">
        <v>1094</v>
      </c>
      <c r="B759" s="1">
        <v>45647</v>
      </c>
      <c r="C759" t="s">
        <v>115</v>
      </c>
      <c r="D759" t="s">
        <v>176</v>
      </c>
      <c r="E759" t="s">
        <v>177</v>
      </c>
      <c r="F759" t="s">
        <v>31</v>
      </c>
      <c r="G759" t="s">
        <v>81</v>
      </c>
      <c r="H759" t="s">
        <v>87</v>
      </c>
      <c r="I759">
        <v>4</v>
      </c>
      <c r="J759">
        <v>2333.6799999999998</v>
      </c>
      <c r="K759">
        <v>0.03</v>
      </c>
      <c r="L759">
        <v>9054.68</v>
      </c>
      <c r="M759" t="s">
        <v>23</v>
      </c>
      <c r="N759" t="s">
        <v>58</v>
      </c>
      <c r="O759" t="s">
        <v>25</v>
      </c>
      <c r="P759" t="s">
        <v>50</v>
      </c>
    </row>
    <row r="760" spans="1:16" x14ac:dyDescent="0.3">
      <c r="A760" t="s">
        <v>1095</v>
      </c>
      <c r="B760" s="1">
        <v>45890</v>
      </c>
      <c r="C760" t="s">
        <v>1096</v>
      </c>
      <c r="D760" t="s">
        <v>53</v>
      </c>
      <c r="E760" t="s">
        <v>54</v>
      </c>
      <c r="F760" t="s">
        <v>55</v>
      </c>
      <c r="G760" t="s">
        <v>56</v>
      </c>
      <c r="H760" t="s">
        <v>57</v>
      </c>
      <c r="I760">
        <v>4</v>
      </c>
      <c r="J760">
        <v>229.07</v>
      </c>
      <c r="K760">
        <v>0.05</v>
      </c>
      <c r="L760">
        <v>870.47</v>
      </c>
      <c r="M760" t="s">
        <v>76</v>
      </c>
      <c r="O760" t="s">
        <v>35</v>
      </c>
      <c r="P760" t="s">
        <v>42</v>
      </c>
    </row>
    <row r="761" spans="1:16" x14ac:dyDescent="0.3">
      <c r="A761" t="s">
        <v>1097</v>
      </c>
      <c r="B761" s="1">
        <v>45520</v>
      </c>
      <c r="C761" t="s">
        <v>206</v>
      </c>
      <c r="D761" t="s">
        <v>53</v>
      </c>
      <c r="E761" t="s">
        <v>54</v>
      </c>
      <c r="F761" t="s">
        <v>55</v>
      </c>
      <c r="G761" t="s">
        <v>254</v>
      </c>
      <c r="H761" t="s">
        <v>126</v>
      </c>
      <c r="I761">
        <v>4</v>
      </c>
      <c r="J761">
        <v>215.21</v>
      </c>
      <c r="K761">
        <v>0.03</v>
      </c>
      <c r="L761">
        <v>835.01</v>
      </c>
      <c r="M761" t="s">
        <v>48</v>
      </c>
      <c r="N761" t="s">
        <v>49</v>
      </c>
      <c r="O761" t="s">
        <v>65</v>
      </c>
      <c r="P761" t="s">
        <v>50</v>
      </c>
    </row>
    <row r="762" spans="1:16" x14ac:dyDescent="0.3">
      <c r="A762" t="s">
        <v>1098</v>
      </c>
      <c r="B762" s="1">
        <v>45655</v>
      </c>
      <c r="C762" t="s">
        <v>319</v>
      </c>
      <c r="D762" t="s">
        <v>38</v>
      </c>
      <c r="E762" t="s">
        <v>39</v>
      </c>
      <c r="F762" t="s">
        <v>40</v>
      </c>
      <c r="G762" t="s">
        <v>56</v>
      </c>
      <c r="H762" t="s">
        <v>57</v>
      </c>
      <c r="I762">
        <v>1</v>
      </c>
      <c r="J762">
        <v>1723.86</v>
      </c>
      <c r="K762">
        <v>0.03</v>
      </c>
      <c r="L762">
        <v>1672.14</v>
      </c>
      <c r="M762" t="s">
        <v>76</v>
      </c>
      <c r="N762" t="s">
        <v>24</v>
      </c>
      <c r="O762" t="s">
        <v>35</v>
      </c>
      <c r="P762" t="s">
        <v>72</v>
      </c>
    </row>
    <row r="763" spans="1:16" x14ac:dyDescent="0.3">
      <c r="A763" t="s">
        <v>1099</v>
      </c>
      <c r="B763" s="1">
        <v>45834</v>
      </c>
      <c r="C763" t="s">
        <v>535</v>
      </c>
      <c r="D763" t="s">
        <v>53</v>
      </c>
      <c r="E763" t="s">
        <v>54</v>
      </c>
      <c r="F763" t="s">
        <v>55</v>
      </c>
      <c r="G763" t="s">
        <v>756</v>
      </c>
      <c r="H763" t="s">
        <v>68</v>
      </c>
      <c r="I763">
        <v>5</v>
      </c>
      <c r="J763">
        <v>226.73</v>
      </c>
      <c r="K763">
        <v>0.1</v>
      </c>
      <c r="L763">
        <v>1020.28</v>
      </c>
      <c r="M763" t="s">
        <v>23</v>
      </c>
      <c r="N763" t="s">
        <v>49</v>
      </c>
      <c r="O763" t="s">
        <v>65</v>
      </c>
      <c r="P763" t="s">
        <v>50</v>
      </c>
    </row>
    <row r="764" spans="1:16" x14ac:dyDescent="0.3">
      <c r="A764" t="s">
        <v>1100</v>
      </c>
      <c r="B764" s="1">
        <v>46092</v>
      </c>
      <c r="C764" t="s">
        <v>663</v>
      </c>
      <c r="D764" t="s">
        <v>89</v>
      </c>
      <c r="E764" t="s">
        <v>90</v>
      </c>
      <c r="F764" t="s">
        <v>20</v>
      </c>
      <c r="G764" t="s">
        <v>21</v>
      </c>
      <c r="H764" t="s">
        <v>126</v>
      </c>
      <c r="I764">
        <v>2</v>
      </c>
      <c r="J764">
        <v>740.17</v>
      </c>
      <c r="K764">
        <v>0.2</v>
      </c>
      <c r="L764">
        <v>1184.27</v>
      </c>
      <c r="M764" t="s">
        <v>23</v>
      </c>
      <c r="N764" t="s">
        <v>71</v>
      </c>
      <c r="O764" t="s">
        <v>65</v>
      </c>
      <c r="P764" t="s">
        <v>26</v>
      </c>
    </row>
    <row r="765" spans="1:16" x14ac:dyDescent="0.3">
      <c r="A765" t="s">
        <v>1101</v>
      </c>
      <c r="B765" s="1">
        <v>45943</v>
      </c>
      <c r="C765" t="s">
        <v>192</v>
      </c>
      <c r="D765" t="s">
        <v>79</v>
      </c>
      <c r="E765" t="s">
        <v>80</v>
      </c>
      <c r="F765" t="s">
        <v>31</v>
      </c>
      <c r="G765" t="s">
        <v>81</v>
      </c>
      <c r="H765" t="s">
        <v>98</v>
      </c>
      <c r="I765">
        <v>4</v>
      </c>
      <c r="J765">
        <v>12472.72</v>
      </c>
      <c r="K765">
        <v>0.03</v>
      </c>
      <c r="L765">
        <v>48394.15</v>
      </c>
      <c r="M765" t="s">
        <v>23</v>
      </c>
      <c r="N765" t="s">
        <v>58</v>
      </c>
      <c r="O765" t="s">
        <v>65</v>
      </c>
      <c r="P765" t="s">
        <v>72</v>
      </c>
    </row>
    <row r="766" spans="1:16" x14ac:dyDescent="0.3">
      <c r="A766" t="s">
        <v>1102</v>
      </c>
      <c r="B766" s="1">
        <v>45302</v>
      </c>
      <c r="C766" t="s">
        <v>143</v>
      </c>
      <c r="D766" t="s">
        <v>105</v>
      </c>
      <c r="E766" t="s">
        <v>106</v>
      </c>
      <c r="F766" t="s">
        <v>40</v>
      </c>
      <c r="G766" t="s">
        <v>81</v>
      </c>
      <c r="H766" t="s">
        <v>82</v>
      </c>
      <c r="I766">
        <v>2</v>
      </c>
      <c r="J766">
        <v>7339.66</v>
      </c>
      <c r="K766">
        <v>0.1</v>
      </c>
      <c r="L766">
        <v>13211.39</v>
      </c>
      <c r="M766" t="s">
        <v>76</v>
      </c>
      <c r="N766" t="s">
        <v>34</v>
      </c>
      <c r="O766" t="s">
        <v>65</v>
      </c>
      <c r="P766" t="s">
        <v>50</v>
      </c>
    </row>
    <row r="767" spans="1:16" x14ac:dyDescent="0.3">
      <c r="A767" t="s">
        <v>1103</v>
      </c>
      <c r="B767" s="1">
        <v>45581</v>
      </c>
      <c r="C767" t="s">
        <v>179</v>
      </c>
      <c r="D767" t="s">
        <v>29</v>
      </c>
      <c r="E767" t="s">
        <v>30</v>
      </c>
      <c r="F767" t="s">
        <v>31</v>
      </c>
      <c r="G767" t="s">
        <v>32</v>
      </c>
      <c r="H767" t="s">
        <v>33</v>
      </c>
      <c r="I767">
        <v>5</v>
      </c>
      <c r="J767">
        <v>3154.93</v>
      </c>
      <c r="K767">
        <v>0.1</v>
      </c>
      <c r="L767">
        <v>14197.18</v>
      </c>
      <c r="M767" t="s">
        <v>76</v>
      </c>
      <c r="N767" t="s">
        <v>58</v>
      </c>
      <c r="O767" t="s">
        <v>35</v>
      </c>
      <c r="P767" t="s">
        <v>111</v>
      </c>
    </row>
    <row r="768" spans="1:16" x14ac:dyDescent="0.3">
      <c r="A768" t="s">
        <v>1104</v>
      </c>
      <c r="B768" s="1">
        <v>45567</v>
      </c>
      <c r="D768" t="s">
        <v>62</v>
      </c>
      <c r="E768" t="s">
        <v>63</v>
      </c>
      <c r="F768" t="s">
        <v>31</v>
      </c>
      <c r="G768" t="s">
        <v>81</v>
      </c>
      <c r="H768" t="s">
        <v>135</v>
      </c>
      <c r="I768">
        <v>5</v>
      </c>
      <c r="J768">
        <v>2715.21</v>
      </c>
      <c r="K768">
        <v>0.15</v>
      </c>
      <c r="L768">
        <v>11539.64</v>
      </c>
      <c r="M768" t="s">
        <v>23</v>
      </c>
      <c r="N768" t="s">
        <v>58</v>
      </c>
      <c r="O768" t="s">
        <v>65</v>
      </c>
      <c r="P768" t="s">
        <v>50</v>
      </c>
    </row>
    <row r="769" spans="1:16" x14ac:dyDescent="0.3">
      <c r="A769" t="s">
        <v>1105</v>
      </c>
      <c r="B769" s="1">
        <v>45595</v>
      </c>
      <c r="C769" t="s">
        <v>348</v>
      </c>
      <c r="D769" t="s">
        <v>176</v>
      </c>
      <c r="E769" t="s">
        <v>177</v>
      </c>
      <c r="F769" t="s">
        <v>31</v>
      </c>
      <c r="G769" t="s">
        <v>21</v>
      </c>
      <c r="H769" t="s">
        <v>22</v>
      </c>
      <c r="I769">
        <v>3</v>
      </c>
      <c r="J769">
        <v>2347.63</v>
      </c>
      <c r="K769">
        <v>0.03</v>
      </c>
      <c r="L769">
        <v>6831.6</v>
      </c>
      <c r="M769" t="s">
        <v>76</v>
      </c>
      <c r="N769" t="s">
        <v>71</v>
      </c>
      <c r="O769" t="s">
        <v>65</v>
      </c>
      <c r="P769" t="s">
        <v>111</v>
      </c>
    </row>
    <row r="770" spans="1:16" x14ac:dyDescent="0.3">
      <c r="A770" t="s">
        <v>1106</v>
      </c>
      <c r="B770" s="1">
        <v>45535</v>
      </c>
      <c r="C770" t="s">
        <v>319</v>
      </c>
      <c r="D770" t="s">
        <v>29</v>
      </c>
      <c r="E770" t="s">
        <v>30</v>
      </c>
      <c r="F770" t="s">
        <v>31</v>
      </c>
      <c r="G770" t="s">
        <v>56</v>
      </c>
      <c r="H770" t="s">
        <v>57</v>
      </c>
      <c r="I770">
        <v>2</v>
      </c>
      <c r="J770">
        <v>3058.45</v>
      </c>
      <c r="K770">
        <v>0.1</v>
      </c>
      <c r="L770">
        <v>5505.21</v>
      </c>
      <c r="M770" t="s">
        <v>23</v>
      </c>
      <c r="N770" t="s">
        <v>34</v>
      </c>
      <c r="O770" t="s">
        <v>65</v>
      </c>
      <c r="P770" t="s">
        <v>102</v>
      </c>
    </row>
    <row r="771" spans="1:16" x14ac:dyDescent="0.3">
      <c r="A771" t="s">
        <v>1107</v>
      </c>
      <c r="B771" s="1">
        <v>45614</v>
      </c>
      <c r="C771" t="s">
        <v>949</v>
      </c>
      <c r="D771" t="s">
        <v>85</v>
      </c>
      <c r="E771" t="s">
        <v>86</v>
      </c>
      <c r="F771" t="s">
        <v>20</v>
      </c>
      <c r="G771" t="s">
        <v>21</v>
      </c>
      <c r="H771" t="s">
        <v>41</v>
      </c>
      <c r="I771">
        <v>2</v>
      </c>
      <c r="J771">
        <v>1846.92</v>
      </c>
      <c r="K771">
        <v>0.03</v>
      </c>
      <c r="L771">
        <v>3583.02</v>
      </c>
      <c r="M771" t="s">
        <v>76</v>
      </c>
      <c r="N771" t="s">
        <v>71</v>
      </c>
      <c r="O771" t="s">
        <v>25</v>
      </c>
      <c r="P771" t="s">
        <v>72</v>
      </c>
    </row>
    <row r="772" spans="1:16" x14ac:dyDescent="0.3">
      <c r="A772" t="s">
        <v>1108</v>
      </c>
      <c r="B772" s="1">
        <v>45888</v>
      </c>
      <c r="C772" t="s">
        <v>607</v>
      </c>
      <c r="D772" t="s">
        <v>121</v>
      </c>
      <c r="E772" t="s">
        <v>122</v>
      </c>
      <c r="F772" t="s">
        <v>55</v>
      </c>
      <c r="G772" t="s">
        <v>21</v>
      </c>
      <c r="H772" t="s">
        <v>41</v>
      </c>
      <c r="I772">
        <v>4</v>
      </c>
      <c r="J772">
        <v>464.54</v>
      </c>
      <c r="K772">
        <v>0.1</v>
      </c>
      <c r="L772">
        <v>1672.34</v>
      </c>
      <c r="M772" t="s">
        <v>76</v>
      </c>
      <c r="N772" t="s">
        <v>58</v>
      </c>
      <c r="O772" t="s">
        <v>65</v>
      </c>
      <c r="P772" t="s">
        <v>116</v>
      </c>
    </row>
    <row r="773" spans="1:16" x14ac:dyDescent="0.3">
      <c r="A773" t="s">
        <v>1109</v>
      </c>
      <c r="B773" s="1">
        <v>45776</v>
      </c>
      <c r="C773" t="s">
        <v>776</v>
      </c>
      <c r="D773" t="s">
        <v>96</v>
      </c>
      <c r="E773" t="s">
        <v>97</v>
      </c>
      <c r="F773" t="s">
        <v>31</v>
      </c>
      <c r="G773" t="s">
        <v>81</v>
      </c>
      <c r="H773" t="s">
        <v>87</v>
      </c>
      <c r="I773">
        <v>5</v>
      </c>
      <c r="J773">
        <v>1141.82</v>
      </c>
      <c r="K773">
        <v>0.15</v>
      </c>
      <c r="L773">
        <v>4852.7299999999996</v>
      </c>
      <c r="M773" t="s">
        <v>48</v>
      </c>
      <c r="N773" t="s">
        <v>24</v>
      </c>
      <c r="O773" t="s">
        <v>35</v>
      </c>
      <c r="P773" t="s">
        <v>59</v>
      </c>
    </row>
    <row r="774" spans="1:16" x14ac:dyDescent="0.3">
      <c r="A774" t="s">
        <v>1110</v>
      </c>
      <c r="B774" s="1">
        <v>45739</v>
      </c>
      <c r="C774" t="s">
        <v>839</v>
      </c>
      <c r="D774" t="s">
        <v>176</v>
      </c>
      <c r="E774" t="s">
        <v>177</v>
      </c>
      <c r="F774" t="s">
        <v>31</v>
      </c>
      <c r="G774" t="s">
        <v>32</v>
      </c>
      <c r="H774" t="s">
        <v>75</v>
      </c>
      <c r="I774">
        <v>3</v>
      </c>
      <c r="J774">
        <v>2319.66</v>
      </c>
      <c r="K774">
        <v>0.1</v>
      </c>
      <c r="L774">
        <v>6263.08</v>
      </c>
      <c r="M774" t="s">
        <v>48</v>
      </c>
      <c r="N774" t="s">
        <v>24</v>
      </c>
      <c r="O774" t="s">
        <v>65</v>
      </c>
      <c r="P774" t="s">
        <v>42</v>
      </c>
    </row>
    <row r="775" spans="1:16" x14ac:dyDescent="0.3">
      <c r="A775" t="s">
        <v>1111</v>
      </c>
      <c r="B775" s="1">
        <v>45871</v>
      </c>
      <c r="C775" t="s">
        <v>130</v>
      </c>
      <c r="D775" t="s">
        <v>131</v>
      </c>
      <c r="E775" t="s">
        <v>132</v>
      </c>
      <c r="F775" t="s">
        <v>40</v>
      </c>
      <c r="G775" t="s">
        <v>21</v>
      </c>
      <c r="H775" t="s">
        <v>126</v>
      </c>
      <c r="I775">
        <v>4</v>
      </c>
      <c r="J775">
        <v>9229.6</v>
      </c>
      <c r="K775">
        <v>0.08</v>
      </c>
      <c r="L775">
        <v>33964.93</v>
      </c>
      <c r="M775" t="s">
        <v>76</v>
      </c>
      <c r="N775" t="s">
        <v>71</v>
      </c>
      <c r="O775" t="s">
        <v>65</v>
      </c>
      <c r="P775" t="s">
        <v>72</v>
      </c>
    </row>
    <row r="776" spans="1:16" x14ac:dyDescent="0.3">
      <c r="A776" t="s">
        <v>1112</v>
      </c>
      <c r="B776" s="1">
        <v>46067</v>
      </c>
      <c r="C776" t="s">
        <v>169</v>
      </c>
      <c r="D776" t="s">
        <v>38</v>
      </c>
      <c r="E776" t="s">
        <v>39</v>
      </c>
      <c r="F776" t="s">
        <v>40</v>
      </c>
      <c r="G776" t="s">
        <v>81</v>
      </c>
      <c r="H776" t="s">
        <v>98</v>
      </c>
      <c r="I776">
        <v>1</v>
      </c>
      <c r="J776">
        <v>1629.44</v>
      </c>
      <c r="K776">
        <v>0.15</v>
      </c>
      <c r="L776">
        <v>1385.02</v>
      </c>
      <c r="M776" t="s">
        <v>23</v>
      </c>
      <c r="N776" t="s">
        <v>58</v>
      </c>
      <c r="O776" t="s">
        <v>25</v>
      </c>
      <c r="P776" t="s">
        <v>111</v>
      </c>
    </row>
    <row r="777" spans="1:16" x14ac:dyDescent="0.3">
      <c r="A777" t="s">
        <v>1113</v>
      </c>
      <c r="B777" s="1">
        <v>45465</v>
      </c>
      <c r="C777" t="s">
        <v>643</v>
      </c>
      <c r="D777" t="s">
        <v>85</v>
      </c>
      <c r="E777" t="s">
        <v>86</v>
      </c>
      <c r="F777" t="s">
        <v>20</v>
      </c>
      <c r="G777" t="s">
        <v>32</v>
      </c>
      <c r="H777" t="s">
        <v>68</v>
      </c>
      <c r="J777">
        <v>1725.33</v>
      </c>
      <c r="K777">
        <v>0.15</v>
      </c>
      <c r="L777">
        <v>7332.65</v>
      </c>
      <c r="M777" t="s">
        <v>23</v>
      </c>
      <c r="N777" t="s">
        <v>58</v>
      </c>
      <c r="O777" t="s">
        <v>65</v>
      </c>
      <c r="P777" t="s">
        <v>59</v>
      </c>
    </row>
    <row r="778" spans="1:16" x14ac:dyDescent="0.3">
      <c r="A778" t="s">
        <v>1114</v>
      </c>
      <c r="B778" s="1">
        <v>45675</v>
      </c>
      <c r="C778" t="s">
        <v>37</v>
      </c>
      <c r="D778" t="s">
        <v>79</v>
      </c>
      <c r="E778" t="s">
        <v>80</v>
      </c>
      <c r="F778" t="s">
        <v>31</v>
      </c>
      <c r="G778" t="s">
        <v>81</v>
      </c>
      <c r="H778" t="s">
        <v>135</v>
      </c>
      <c r="I778">
        <v>5</v>
      </c>
      <c r="J778">
        <v>13161.27</v>
      </c>
      <c r="K778">
        <v>0.1</v>
      </c>
      <c r="L778">
        <v>59225.72</v>
      </c>
      <c r="M778" t="s">
        <v>23</v>
      </c>
      <c r="N778" t="s">
        <v>49</v>
      </c>
      <c r="O778" t="s">
        <v>25</v>
      </c>
      <c r="P778" t="s">
        <v>111</v>
      </c>
    </row>
    <row r="779" spans="1:16" x14ac:dyDescent="0.3">
      <c r="A779" t="s">
        <v>1115</v>
      </c>
      <c r="B779" s="1">
        <v>45497</v>
      </c>
      <c r="C779" t="s">
        <v>810</v>
      </c>
      <c r="D779" t="s">
        <v>62</v>
      </c>
      <c r="E779" t="s">
        <v>63</v>
      </c>
      <c r="F779" t="s">
        <v>31</v>
      </c>
      <c r="G779" t="s">
        <v>56</v>
      </c>
      <c r="H779" t="s">
        <v>57</v>
      </c>
      <c r="I779">
        <v>3</v>
      </c>
      <c r="J779">
        <v>2629.89</v>
      </c>
      <c r="K779">
        <v>0.08</v>
      </c>
      <c r="L779">
        <v>7258.5</v>
      </c>
      <c r="M779" t="s">
        <v>76</v>
      </c>
      <c r="N779" t="s">
        <v>58</v>
      </c>
      <c r="O779" t="s">
        <v>65</v>
      </c>
      <c r="P779" t="s">
        <v>116</v>
      </c>
    </row>
    <row r="780" spans="1:16" x14ac:dyDescent="0.3">
      <c r="A780" t="s">
        <v>1116</v>
      </c>
      <c r="B780" s="1">
        <v>45933</v>
      </c>
      <c r="C780" t="s">
        <v>1117</v>
      </c>
      <c r="D780" t="s">
        <v>85</v>
      </c>
      <c r="E780" t="s">
        <v>86</v>
      </c>
      <c r="F780" t="s">
        <v>20</v>
      </c>
      <c r="G780" t="s">
        <v>32</v>
      </c>
      <c r="H780" t="s">
        <v>75</v>
      </c>
      <c r="I780">
        <v>4</v>
      </c>
      <c r="J780">
        <v>1704.56</v>
      </c>
      <c r="K780">
        <v>0.08</v>
      </c>
      <c r="L780">
        <v>6272.78</v>
      </c>
      <c r="M780" t="s">
        <v>23</v>
      </c>
      <c r="N780" t="s">
        <v>34</v>
      </c>
      <c r="O780" t="s">
        <v>65</v>
      </c>
      <c r="P780" t="s">
        <v>59</v>
      </c>
    </row>
    <row r="781" spans="1:16" x14ac:dyDescent="0.3">
      <c r="A781" t="s">
        <v>1118</v>
      </c>
      <c r="B781" s="1">
        <v>45424</v>
      </c>
      <c r="C781" t="s">
        <v>462</v>
      </c>
      <c r="D781" t="s">
        <v>79</v>
      </c>
      <c r="E781" t="s">
        <v>80</v>
      </c>
      <c r="F781" t="s">
        <v>31</v>
      </c>
      <c r="G781" t="s">
        <v>32</v>
      </c>
      <c r="I781">
        <v>2</v>
      </c>
      <c r="J781">
        <v>12747.15</v>
      </c>
      <c r="K781">
        <v>0.08</v>
      </c>
      <c r="L781">
        <v>23454.76</v>
      </c>
      <c r="M781" t="s">
        <v>76</v>
      </c>
      <c r="N781" t="s">
        <v>58</v>
      </c>
      <c r="O781" t="s">
        <v>65</v>
      </c>
      <c r="P781" t="s">
        <v>116</v>
      </c>
    </row>
    <row r="782" spans="1:16" x14ac:dyDescent="0.3">
      <c r="A782" t="s">
        <v>1119</v>
      </c>
      <c r="B782" s="1">
        <v>45635</v>
      </c>
      <c r="C782" t="s">
        <v>357</v>
      </c>
      <c r="D782" t="s">
        <v>131</v>
      </c>
      <c r="E782" t="s">
        <v>132</v>
      </c>
      <c r="F782" t="s">
        <v>40</v>
      </c>
      <c r="G782" t="s">
        <v>56</v>
      </c>
      <c r="H782" t="s">
        <v>101</v>
      </c>
      <c r="I782">
        <v>2</v>
      </c>
      <c r="J782">
        <v>9508.7199999999993</v>
      </c>
      <c r="K782">
        <v>0.03</v>
      </c>
      <c r="L782">
        <v>18446.919999999998</v>
      </c>
      <c r="M782" t="s">
        <v>48</v>
      </c>
      <c r="N782" t="s">
        <v>49</v>
      </c>
      <c r="O782" t="s">
        <v>65</v>
      </c>
      <c r="P782" t="s">
        <v>59</v>
      </c>
    </row>
    <row r="783" spans="1:16" x14ac:dyDescent="0.3">
      <c r="A783" t="s">
        <v>1120</v>
      </c>
      <c r="B783" s="1">
        <v>45737</v>
      </c>
      <c r="C783" t="s">
        <v>321</v>
      </c>
      <c r="D783" t="s">
        <v>53</v>
      </c>
      <c r="E783" t="s">
        <v>54</v>
      </c>
      <c r="F783" t="s">
        <v>55</v>
      </c>
      <c r="G783" t="s">
        <v>81</v>
      </c>
      <c r="H783" t="s">
        <v>98</v>
      </c>
      <c r="I783">
        <v>1</v>
      </c>
      <c r="J783">
        <v>227.65</v>
      </c>
      <c r="K783">
        <v>0.05</v>
      </c>
      <c r="L783">
        <v>216.27</v>
      </c>
      <c r="M783" t="s">
        <v>76</v>
      </c>
      <c r="N783" t="s">
        <v>24</v>
      </c>
      <c r="O783" t="s">
        <v>65</v>
      </c>
      <c r="P783" t="s">
        <v>59</v>
      </c>
    </row>
    <row r="784" spans="1:16" x14ac:dyDescent="0.3">
      <c r="A784" t="s">
        <v>1121</v>
      </c>
      <c r="B784" s="1">
        <v>45620</v>
      </c>
      <c r="C784" t="s">
        <v>554</v>
      </c>
      <c r="D784" t="s">
        <v>170</v>
      </c>
      <c r="E784" t="s">
        <v>171</v>
      </c>
      <c r="F784" t="s">
        <v>31</v>
      </c>
      <c r="G784" t="s">
        <v>32</v>
      </c>
      <c r="H784" t="s">
        <v>47</v>
      </c>
      <c r="I784">
        <v>5</v>
      </c>
      <c r="J784">
        <v>67952.84</v>
      </c>
      <c r="K784">
        <v>0</v>
      </c>
      <c r="L784">
        <v>339764.2</v>
      </c>
      <c r="M784" t="s">
        <v>76</v>
      </c>
      <c r="N784" t="s">
        <v>49</v>
      </c>
      <c r="O784" t="s">
        <v>25</v>
      </c>
      <c r="P784" t="s">
        <v>111</v>
      </c>
    </row>
    <row r="785" spans="1:16" x14ac:dyDescent="0.3">
      <c r="A785" t="s">
        <v>1122</v>
      </c>
      <c r="B785" s="1">
        <v>45556</v>
      </c>
      <c r="C785" t="s">
        <v>357</v>
      </c>
      <c r="D785" t="s">
        <v>38</v>
      </c>
      <c r="E785" t="s">
        <v>39</v>
      </c>
      <c r="F785" t="s">
        <v>40</v>
      </c>
      <c r="G785" t="s">
        <v>56</v>
      </c>
      <c r="H785" t="s">
        <v>123</v>
      </c>
      <c r="I785">
        <v>1</v>
      </c>
      <c r="J785">
        <v>1559.98</v>
      </c>
      <c r="K785">
        <v>0.15</v>
      </c>
      <c r="L785">
        <v>1325.98</v>
      </c>
      <c r="M785" t="s">
        <v>23</v>
      </c>
      <c r="N785" t="s">
        <v>34</v>
      </c>
      <c r="O785" t="s">
        <v>65</v>
      </c>
      <c r="P785" t="s">
        <v>116</v>
      </c>
    </row>
    <row r="786" spans="1:16" x14ac:dyDescent="0.3">
      <c r="A786" t="s">
        <v>1123</v>
      </c>
      <c r="B786" s="1">
        <v>45305</v>
      </c>
      <c r="C786" t="s">
        <v>362</v>
      </c>
      <c r="D786" t="s">
        <v>29</v>
      </c>
      <c r="E786" t="s">
        <v>30</v>
      </c>
      <c r="F786" t="s">
        <v>31</v>
      </c>
      <c r="G786" t="s">
        <v>32</v>
      </c>
      <c r="H786" t="s">
        <v>68</v>
      </c>
      <c r="I786">
        <v>4</v>
      </c>
      <c r="J786">
        <v>3385.25</v>
      </c>
      <c r="K786">
        <v>0.1</v>
      </c>
      <c r="L786">
        <v>12186.9</v>
      </c>
      <c r="M786" t="s">
        <v>76</v>
      </c>
      <c r="N786" t="s">
        <v>34</v>
      </c>
      <c r="O786" t="s">
        <v>65</v>
      </c>
      <c r="P786" t="s">
        <v>26</v>
      </c>
    </row>
    <row r="787" spans="1:16" x14ac:dyDescent="0.3">
      <c r="A787" t="s">
        <v>1124</v>
      </c>
      <c r="B787" s="1">
        <v>45312</v>
      </c>
      <c r="C787" t="s">
        <v>17</v>
      </c>
      <c r="D787" t="s">
        <v>62</v>
      </c>
      <c r="E787" t="s">
        <v>63</v>
      </c>
      <c r="F787" t="s">
        <v>31</v>
      </c>
      <c r="G787" t="s">
        <v>21</v>
      </c>
      <c r="H787" t="s">
        <v>22</v>
      </c>
      <c r="I787">
        <v>4</v>
      </c>
      <c r="J787">
        <v>2777.84</v>
      </c>
      <c r="K787">
        <v>0.15</v>
      </c>
      <c r="L787">
        <v>9444.66</v>
      </c>
      <c r="M787" t="s">
        <v>48</v>
      </c>
      <c r="N787" t="s">
        <v>58</v>
      </c>
      <c r="O787" t="s">
        <v>65</v>
      </c>
      <c r="P787" t="s">
        <v>116</v>
      </c>
    </row>
    <row r="788" spans="1:16" x14ac:dyDescent="0.3">
      <c r="A788" t="s">
        <v>1125</v>
      </c>
      <c r="B788" s="1">
        <v>45918</v>
      </c>
      <c r="C788" t="s">
        <v>1013</v>
      </c>
      <c r="D788" t="s">
        <v>38</v>
      </c>
      <c r="E788" t="s">
        <v>39</v>
      </c>
      <c r="F788" t="s">
        <v>40</v>
      </c>
      <c r="G788" t="s">
        <v>56</v>
      </c>
      <c r="H788" t="s">
        <v>123</v>
      </c>
      <c r="I788">
        <v>1</v>
      </c>
      <c r="J788">
        <v>1664.86</v>
      </c>
      <c r="K788">
        <v>0.05</v>
      </c>
      <c r="L788">
        <v>1581.62</v>
      </c>
      <c r="M788" t="s">
        <v>48</v>
      </c>
      <c r="N788" t="s">
        <v>71</v>
      </c>
      <c r="O788" t="s">
        <v>65</v>
      </c>
    </row>
    <row r="789" spans="1:16" x14ac:dyDescent="0.3">
      <c r="A789" t="s">
        <v>1126</v>
      </c>
      <c r="B789" s="1">
        <v>46136</v>
      </c>
      <c r="C789" t="s">
        <v>223</v>
      </c>
      <c r="D789" t="s">
        <v>45</v>
      </c>
      <c r="E789" t="s">
        <v>46</v>
      </c>
      <c r="F789" t="s">
        <v>31</v>
      </c>
      <c r="G789" t="s">
        <v>21</v>
      </c>
      <c r="H789" t="s">
        <v>126</v>
      </c>
      <c r="I789">
        <v>5</v>
      </c>
      <c r="J789">
        <v>1671.49</v>
      </c>
      <c r="K789">
        <v>0.15</v>
      </c>
      <c r="L789">
        <v>7103.83</v>
      </c>
      <c r="M789" t="s">
        <v>48</v>
      </c>
      <c r="N789" t="s">
        <v>49</v>
      </c>
      <c r="O789" t="s">
        <v>65</v>
      </c>
      <c r="P789" t="s">
        <v>42</v>
      </c>
    </row>
    <row r="790" spans="1:16" x14ac:dyDescent="0.3">
      <c r="A790" t="s">
        <v>1127</v>
      </c>
      <c r="B790" s="1">
        <v>45389</v>
      </c>
      <c r="C790" t="s">
        <v>365</v>
      </c>
      <c r="D790" t="s">
        <v>121</v>
      </c>
      <c r="E790" t="s">
        <v>122</v>
      </c>
      <c r="F790" t="s">
        <v>55</v>
      </c>
      <c r="G790" t="s">
        <v>56</v>
      </c>
      <c r="H790" t="s">
        <v>101</v>
      </c>
      <c r="I790">
        <v>3</v>
      </c>
      <c r="J790">
        <v>417.01</v>
      </c>
      <c r="K790">
        <v>0.15</v>
      </c>
      <c r="L790">
        <v>1063.3800000000001</v>
      </c>
      <c r="M790" t="s">
        <v>76</v>
      </c>
      <c r="N790" t="s">
        <v>71</v>
      </c>
      <c r="O790" t="s">
        <v>65</v>
      </c>
      <c r="P790" t="s">
        <v>111</v>
      </c>
    </row>
    <row r="791" spans="1:16" x14ac:dyDescent="0.3">
      <c r="A791" t="s">
        <v>1128</v>
      </c>
      <c r="B791" s="1">
        <v>46128</v>
      </c>
      <c r="C791" t="s">
        <v>115</v>
      </c>
      <c r="D791" t="s">
        <v>53</v>
      </c>
      <c r="E791" t="s">
        <v>54</v>
      </c>
      <c r="F791" t="s">
        <v>55</v>
      </c>
      <c r="G791" t="s">
        <v>32</v>
      </c>
      <c r="H791" t="s">
        <v>68</v>
      </c>
      <c r="I791">
        <v>1</v>
      </c>
      <c r="J791">
        <v>208.57</v>
      </c>
      <c r="K791">
        <v>0.05</v>
      </c>
      <c r="L791">
        <v>198.14</v>
      </c>
      <c r="M791" t="s">
        <v>23</v>
      </c>
      <c r="N791" t="s">
        <v>24</v>
      </c>
      <c r="O791" t="s">
        <v>65</v>
      </c>
      <c r="P791" t="s">
        <v>111</v>
      </c>
    </row>
    <row r="792" spans="1:16" x14ac:dyDescent="0.3">
      <c r="A792" t="s">
        <v>1129</v>
      </c>
      <c r="B792" s="1">
        <v>46179</v>
      </c>
      <c r="C792" t="s">
        <v>462</v>
      </c>
      <c r="D792" t="s">
        <v>53</v>
      </c>
      <c r="E792" t="s">
        <v>54</v>
      </c>
      <c r="F792" t="s">
        <v>55</v>
      </c>
      <c r="G792" t="s">
        <v>21</v>
      </c>
      <c r="H792" t="s">
        <v>93</v>
      </c>
      <c r="I792">
        <v>1</v>
      </c>
      <c r="J792">
        <v>210.4</v>
      </c>
      <c r="K792">
        <v>0.03</v>
      </c>
      <c r="L792">
        <v>204.09</v>
      </c>
      <c r="M792" t="s">
        <v>48</v>
      </c>
      <c r="N792" t="s">
        <v>49</v>
      </c>
      <c r="O792" t="s">
        <v>65</v>
      </c>
      <c r="P792" t="s">
        <v>72</v>
      </c>
    </row>
    <row r="793" spans="1:16" x14ac:dyDescent="0.3">
      <c r="A793" t="s">
        <v>1130</v>
      </c>
      <c r="B793" s="1">
        <v>45805</v>
      </c>
      <c r="D793" t="s">
        <v>85</v>
      </c>
      <c r="E793" t="s">
        <v>86</v>
      </c>
      <c r="F793" t="s">
        <v>20</v>
      </c>
      <c r="G793" t="s">
        <v>56</v>
      </c>
      <c r="H793" t="s">
        <v>57</v>
      </c>
      <c r="I793">
        <v>4</v>
      </c>
      <c r="J793">
        <v>1751.38</v>
      </c>
      <c r="K793">
        <v>0.2</v>
      </c>
      <c r="L793">
        <v>5604.42</v>
      </c>
      <c r="M793" t="s">
        <v>23</v>
      </c>
      <c r="N793" t="s">
        <v>34</v>
      </c>
      <c r="O793" t="s">
        <v>35</v>
      </c>
      <c r="P793" t="s">
        <v>59</v>
      </c>
    </row>
    <row r="794" spans="1:16" x14ac:dyDescent="0.3">
      <c r="A794" t="s">
        <v>1131</v>
      </c>
      <c r="B794" s="1">
        <v>45824</v>
      </c>
      <c r="C794" t="s">
        <v>115</v>
      </c>
      <c r="D794" t="s">
        <v>62</v>
      </c>
      <c r="E794" t="s">
        <v>63</v>
      </c>
      <c r="F794" t="s">
        <v>31</v>
      </c>
      <c r="G794" t="s">
        <v>32</v>
      </c>
      <c r="H794" t="s">
        <v>47</v>
      </c>
      <c r="I794">
        <v>2</v>
      </c>
      <c r="J794">
        <v>2615.41</v>
      </c>
      <c r="K794">
        <v>0</v>
      </c>
      <c r="L794">
        <v>5230.82</v>
      </c>
      <c r="M794" t="s">
        <v>76</v>
      </c>
      <c r="N794" t="s">
        <v>49</v>
      </c>
      <c r="O794" t="s">
        <v>65</v>
      </c>
      <c r="P794" t="s">
        <v>72</v>
      </c>
    </row>
    <row r="795" spans="1:16" x14ac:dyDescent="0.3">
      <c r="A795" t="s">
        <v>1132</v>
      </c>
      <c r="B795" s="1">
        <v>45349</v>
      </c>
      <c r="C795" t="s">
        <v>134</v>
      </c>
      <c r="D795" t="s">
        <v>105</v>
      </c>
      <c r="E795" t="s">
        <v>106</v>
      </c>
      <c r="F795" t="s">
        <v>40</v>
      </c>
      <c r="G795" t="s">
        <v>81</v>
      </c>
      <c r="H795" t="s">
        <v>87</v>
      </c>
      <c r="I795">
        <v>3</v>
      </c>
      <c r="J795">
        <v>7303.14</v>
      </c>
      <c r="K795">
        <v>0.05</v>
      </c>
      <c r="L795">
        <v>20813.95</v>
      </c>
      <c r="M795" t="s">
        <v>23</v>
      </c>
      <c r="N795" t="s">
        <v>58</v>
      </c>
      <c r="O795" t="s">
        <v>25</v>
      </c>
      <c r="P795" t="s">
        <v>102</v>
      </c>
    </row>
    <row r="796" spans="1:16" x14ac:dyDescent="0.3">
      <c r="A796" t="s">
        <v>1133</v>
      </c>
      <c r="B796" s="1">
        <v>45735</v>
      </c>
      <c r="C796" t="s">
        <v>554</v>
      </c>
      <c r="D796" t="s">
        <v>89</v>
      </c>
      <c r="E796" t="s">
        <v>90</v>
      </c>
      <c r="F796" t="s">
        <v>20</v>
      </c>
      <c r="G796" t="s">
        <v>21</v>
      </c>
      <c r="H796" t="s">
        <v>93</v>
      </c>
      <c r="I796">
        <v>1</v>
      </c>
      <c r="J796">
        <v>716.67</v>
      </c>
      <c r="K796">
        <v>0.2</v>
      </c>
      <c r="L796">
        <v>573.34</v>
      </c>
      <c r="M796" t="s">
        <v>48</v>
      </c>
      <c r="N796" t="s">
        <v>24</v>
      </c>
      <c r="O796" t="s">
        <v>65</v>
      </c>
      <c r="P796" t="s">
        <v>42</v>
      </c>
    </row>
    <row r="797" spans="1:16" x14ac:dyDescent="0.3">
      <c r="A797" t="s">
        <v>1134</v>
      </c>
      <c r="B797" s="1">
        <v>45972</v>
      </c>
      <c r="C797" t="s">
        <v>501</v>
      </c>
      <c r="D797" t="s">
        <v>79</v>
      </c>
      <c r="E797" t="s">
        <v>80</v>
      </c>
      <c r="F797" t="s">
        <v>31</v>
      </c>
      <c r="G797" t="s">
        <v>81</v>
      </c>
      <c r="H797" t="s">
        <v>82</v>
      </c>
      <c r="I797">
        <v>5</v>
      </c>
      <c r="J797">
        <v>12932.87</v>
      </c>
      <c r="K797">
        <v>0.05</v>
      </c>
      <c r="L797">
        <v>61431.13</v>
      </c>
      <c r="M797" t="s">
        <v>48</v>
      </c>
      <c r="N797" t="s">
        <v>34</v>
      </c>
      <c r="O797" t="s">
        <v>25</v>
      </c>
      <c r="P797" t="s">
        <v>72</v>
      </c>
    </row>
    <row r="798" spans="1:16" x14ac:dyDescent="0.3">
      <c r="A798" t="s">
        <v>1135</v>
      </c>
      <c r="B798" s="1">
        <v>45969</v>
      </c>
      <c r="C798" t="s">
        <v>504</v>
      </c>
      <c r="D798" t="s">
        <v>45</v>
      </c>
      <c r="E798" t="s">
        <v>46</v>
      </c>
      <c r="F798" t="s">
        <v>31</v>
      </c>
      <c r="G798" t="s">
        <v>32</v>
      </c>
      <c r="H798" t="s">
        <v>68</v>
      </c>
      <c r="I798">
        <v>1</v>
      </c>
      <c r="J798">
        <v>1657.23</v>
      </c>
      <c r="K798">
        <v>0.03</v>
      </c>
      <c r="L798">
        <v>1607.51</v>
      </c>
      <c r="M798" t="s">
        <v>76</v>
      </c>
      <c r="N798" t="s">
        <v>34</v>
      </c>
      <c r="O798" t="s">
        <v>65</v>
      </c>
      <c r="P798" t="s">
        <v>59</v>
      </c>
    </row>
    <row r="799" spans="1:16" x14ac:dyDescent="0.3">
      <c r="A799" t="s">
        <v>1136</v>
      </c>
      <c r="B799" s="1">
        <v>45891</v>
      </c>
      <c r="C799" t="s">
        <v>257</v>
      </c>
      <c r="D799" t="s">
        <v>85</v>
      </c>
      <c r="E799" t="s">
        <v>86</v>
      </c>
      <c r="F799" t="s">
        <v>20</v>
      </c>
      <c r="G799" t="s">
        <v>56</v>
      </c>
      <c r="H799" t="s">
        <v>64</v>
      </c>
      <c r="I799">
        <v>3</v>
      </c>
      <c r="J799">
        <v>1850.08</v>
      </c>
      <c r="K799">
        <v>0</v>
      </c>
      <c r="L799">
        <v>5550.24</v>
      </c>
      <c r="M799" t="s">
        <v>23</v>
      </c>
      <c r="N799" t="s">
        <v>34</v>
      </c>
      <c r="O799" t="s">
        <v>65</v>
      </c>
      <c r="P799" t="s">
        <v>72</v>
      </c>
    </row>
    <row r="800" spans="1:16" x14ac:dyDescent="0.3">
      <c r="A800" t="s">
        <v>1137</v>
      </c>
      <c r="B800" s="1">
        <v>45956</v>
      </c>
      <c r="C800" t="s">
        <v>192</v>
      </c>
      <c r="D800" t="s">
        <v>53</v>
      </c>
      <c r="E800" t="s">
        <v>54</v>
      </c>
      <c r="F800" t="s">
        <v>55</v>
      </c>
      <c r="G800" t="s">
        <v>56</v>
      </c>
      <c r="H800" t="s">
        <v>64</v>
      </c>
      <c r="I800">
        <v>5</v>
      </c>
      <c r="J800">
        <v>223.82</v>
      </c>
      <c r="K800">
        <v>0.05</v>
      </c>
      <c r="L800">
        <v>1063.1400000000001</v>
      </c>
      <c r="M800" t="s">
        <v>48</v>
      </c>
      <c r="N800" t="s">
        <v>49</v>
      </c>
      <c r="O800" t="s">
        <v>65</v>
      </c>
      <c r="P800" t="s">
        <v>50</v>
      </c>
    </row>
    <row r="801" spans="1:16" x14ac:dyDescent="0.3">
      <c r="A801" t="s">
        <v>1138</v>
      </c>
      <c r="B801" s="1">
        <v>45907</v>
      </c>
      <c r="C801" t="s">
        <v>125</v>
      </c>
      <c r="D801" t="s">
        <v>96</v>
      </c>
      <c r="E801" t="s">
        <v>97</v>
      </c>
      <c r="F801" t="s">
        <v>31</v>
      </c>
      <c r="G801" t="s">
        <v>32</v>
      </c>
      <c r="H801" t="s">
        <v>33</v>
      </c>
      <c r="I801">
        <v>1</v>
      </c>
      <c r="J801">
        <v>1189.07</v>
      </c>
      <c r="K801">
        <v>0.2</v>
      </c>
      <c r="L801">
        <v>951.26</v>
      </c>
      <c r="M801" t="s">
        <v>48</v>
      </c>
      <c r="N801" t="s">
        <v>49</v>
      </c>
      <c r="O801" t="s">
        <v>65</v>
      </c>
      <c r="P801" t="s">
        <v>116</v>
      </c>
    </row>
    <row r="802" spans="1:16" x14ac:dyDescent="0.3">
      <c r="A802" t="s">
        <v>1139</v>
      </c>
      <c r="B802" s="1">
        <v>46197</v>
      </c>
      <c r="C802" t="s">
        <v>416</v>
      </c>
      <c r="D802" t="s">
        <v>79</v>
      </c>
      <c r="E802" t="s">
        <v>80</v>
      </c>
      <c r="F802" t="s">
        <v>31</v>
      </c>
      <c r="G802" t="s">
        <v>21</v>
      </c>
      <c r="H802" t="s">
        <v>93</v>
      </c>
      <c r="I802">
        <v>1</v>
      </c>
      <c r="J802">
        <v>12418.35</v>
      </c>
      <c r="K802">
        <v>0.15</v>
      </c>
      <c r="L802">
        <v>10555.6</v>
      </c>
      <c r="M802" t="s">
        <v>23</v>
      </c>
      <c r="N802" t="s">
        <v>49</v>
      </c>
      <c r="O802" t="s">
        <v>65</v>
      </c>
      <c r="P802" t="s">
        <v>102</v>
      </c>
    </row>
    <row r="803" spans="1:16" x14ac:dyDescent="0.3">
      <c r="A803" t="s">
        <v>1140</v>
      </c>
      <c r="B803" s="1">
        <v>45339</v>
      </c>
      <c r="C803" t="s">
        <v>283</v>
      </c>
      <c r="D803" t="s">
        <v>105</v>
      </c>
      <c r="E803" t="s">
        <v>106</v>
      </c>
      <c r="F803" t="s">
        <v>40</v>
      </c>
      <c r="G803" t="s">
        <v>32</v>
      </c>
      <c r="H803" t="s">
        <v>33</v>
      </c>
      <c r="I803">
        <v>1</v>
      </c>
      <c r="J803">
        <v>6708.3</v>
      </c>
      <c r="K803">
        <v>0</v>
      </c>
      <c r="L803">
        <v>6708.3</v>
      </c>
      <c r="M803" t="s">
        <v>48</v>
      </c>
      <c r="N803" t="s">
        <v>58</v>
      </c>
      <c r="O803" t="s">
        <v>65</v>
      </c>
      <c r="P803" t="s">
        <v>102</v>
      </c>
    </row>
    <row r="804" spans="1:16" x14ac:dyDescent="0.3">
      <c r="A804" t="s">
        <v>1141</v>
      </c>
      <c r="B804" s="1">
        <v>45987</v>
      </c>
      <c r="C804" t="s">
        <v>108</v>
      </c>
      <c r="D804" t="s">
        <v>62</v>
      </c>
      <c r="E804" t="s">
        <v>63</v>
      </c>
      <c r="F804" t="s">
        <v>31</v>
      </c>
      <c r="G804" t="s">
        <v>56</v>
      </c>
      <c r="H804" t="s">
        <v>101</v>
      </c>
      <c r="I804">
        <v>3</v>
      </c>
      <c r="J804">
        <v>2744.05</v>
      </c>
      <c r="K804">
        <v>0.1</v>
      </c>
      <c r="L804">
        <v>7408.94</v>
      </c>
      <c r="M804" t="s">
        <v>23</v>
      </c>
      <c r="N804" t="s">
        <v>58</v>
      </c>
      <c r="O804" t="s">
        <v>65</v>
      </c>
      <c r="P804" t="s">
        <v>72</v>
      </c>
    </row>
    <row r="805" spans="1:16" x14ac:dyDescent="0.3">
      <c r="A805" t="s">
        <v>1142</v>
      </c>
      <c r="B805" s="1">
        <v>45403</v>
      </c>
      <c r="C805" t="s">
        <v>845</v>
      </c>
      <c r="D805" t="s">
        <v>53</v>
      </c>
      <c r="E805" t="s">
        <v>54</v>
      </c>
      <c r="F805" t="s">
        <v>55</v>
      </c>
      <c r="G805" t="s">
        <v>81</v>
      </c>
      <c r="H805" t="s">
        <v>98</v>
      </c>
      <c r="I805">
        <v>2</v>
      </c>
      <c r="J805">
        <v>205.88</v>
      </c>
      <c r="K805">
        <v>0.08</v>
      </c>
      <c r="L805">
        <v>378.82</v>
      </c>
      <c r="M805" t="s">
        <v>76</v>
      </c>
      <c r="N805" t="s">
        <v>24</v>
      </c>
      <c r="O805" t="s">
        <v>35</v>
      </c>
      <c r="P805" t="s">
        <v>59</v>
      </c>
    </row>
    <row r="806" spans="1:16" x14ac:dyDescent="0.3">
      <c r="A806" t="s">
        <v>1143</v>
      </c>
      <c r="B806" s="1">
        <v>46145</v>
      </c>
      <c r="C806" t="s">
        <v>247</v>
      </c>
      <c r="D806" t="s">
        <v>45</v>
      </c>
      <c r="E806" t="s">
        <v>46</v>
      </c>
      <c r="F806" t="s">
        <v>31</v>
      </c>
      <c r="G806" t="s">
        <v>81</v>
      </c>
      <c r="H806" t="s">
        <v>135</v>
      </c>
      <c r="I806">
        <v>1</v>
      </c>
      <c r="J806">
        <v>1723.94</v>
      </c>
      <c r="K806">
        <v>0.05</v>
      </c>
      <c r="L806">
        <v>1637.74</v>
      </c>
      <c r="M806" t="s">
        <v>48</v>
      </c>
      <c r="N806" t="s">
        <v>71</v>
      </c>
      <c r="O806" t="s">
        <v>25</v>
      </c>
      <c r="P806" t="s">
        <v>50</v>
      </c>
    </row>
    <row r="807" spans="1:16" x14ac:dyDescent="0.3">
      <c r="A807" t="s">
        <v>1144</v>
      </c>
      <c r="B807" s="1">
        <v>45662</v>
      </c>
      <c r="C807" t="s">
        <v>130</v>
      </c>
      <c r="D807" t="s">
        <v>131</v>
      </c>
      <c r="E807" t="s">
        <v>132</v>
      </c>
      <c r="F807" t="s">
        <v>40</v>
      </c>
      <c r="G807" t="s">
        <v>56</v>
      </c>
      <c r="H807" t="s">
        <v>64</v>
      </c>
      <c r="I807">
        <v>4</v>
      </c>
      <c r="J807">
        <v>9692.92</v>
      </c>
      <c r="K807">
        <v>0.1</v>
      </c>
      <c r="L807">
        <v>34894.51</v>
      </c>
      <c r="M807" t="s">
        <v>76</v>
      </c>
      <c r="N807" t="s">
        <v>71</v>
      </c>
      <c r="O807" t="s">
        <v>35</v>
      </c>
      <c r="P807" t="s">
        <v>59</v>
      </c>
    </row>
    <row r="808" spans="1:16" x14ac:dyDescent="0.3">
      <c r="A808" t="s">
        <v>1145</v>
      </c>
      <c r="B808" s="1">
        <v>45873</v>
      </c>
      <c r="C808" t="s">
        <v>293</v>
      </c>
      <c r="D808" t="s">
        <v>85</v>
      </c>
      <c r="E808" t="s">
        <v>86</v>
      </c>
      <c r="F808" t="s">
        <v>20</v>
      </c>
      <c r="G808" t="s">
        <v>56</v>
      </c>
      <c r="H808" t="s">
        <v>57</v>
      </c>
      <c r="I808">
        <v>1</v>
      </c>
      <c r="J808">
        <v>1744.11</v>
      </c>
      <c r="K808">
        <v>0.2</v>
      </c>
      <c r="L808">
        <v>1395.29</v>
      </c>
      <c r="M808" t="s">
        <v>23</v>
      </c>
      <c r="N808" t="s">
        <v>34</v>
      </c>
      <c r="O808" t="s">
        <v>65</v>
      </c>
      <c r="P808" t="s">
        <v>111</v>
      </c>
    </row>
    <row r="809" spans="1:16" x14ac:dyDescent="0.3">
      <c r="A809" t="s">
        <v>1146</v>
      </c>
      <c r="B809" s="1">
        <v>45887</v>
      </c>
      <c r="C809" t="s">
        <v>373</v>
      </c>
      <c r="D809" t="s">
        <v>170</v>
      </c>
      <c r="E809" t="s">
        <v>171</v>
      </c>
      <c r="F809" t="s">
        <v>31</v>
      </c>
      <c r="G809" t="s">
        <v>21</v>
      </c>
      <c r="H809" t="s">
        <v>41</v>
      </c>
      <c r="I809">
        <v>3</v>
      </c>
      <c r="J809">
        <v>60870.57</v>
      </c>
      <c r="K809">
        <v>0.03</v>
      </c>
      <c r="L809">
        <v>177133.36</v>
      </c>
      <c r="M809" t="s">
        <v>23</v>
      </c>
      <c r="N809" t="s">
        <v>24</v>
      </c>
      <c r="O809" t="s">
        <v>65</v>
      </c>
      <c r="P809" t="s">
        <v>72</v>
      </c>
    </row>
    <row r="810" spans="1:16" x14ac:dyDescent="0.3">
      <c r="A810" t="s">
        <v>1147</v>
      </c>
      <c r="B810" s="1">
        <v>45647</v>
      </c>
      <c r="C810" t="s">
        <v>370</v>
      </c>
      <c r="D810" t="s">
        <v>79</v>
      </c>
      <c r="E810" t="s">
        <v>80</v>
      </c>
      <c r="F810" t="s">
        <v>31</v>
      </c>
      <c r="G810" t="s">
        <v>81</v>
      </c>
      <c r="H810" t="s">
        <v>135</v>
      </c>
      <c r="I810">
        <v>5</v>
      </c>
      <c r="J810">
        <v>13251.63</v>
      </c>
      <c r="K810">
        <v>0.08</v>
      </c>
      <c r="L810">
        <v>60957.5</v>
      </c>
      <c r="M810" t="s">
        <v>76</v>
      </c>
      <c r="N810" t="s">
        <v>58</v>
      </c>
      <c r="O810" t="s">
        <v>65</v>
      </c>
      <c r="P810" t="s">
        <v>111</v>
      </c>
    </row>
    <row r="811" spans="1:16" x14ac:dyDescent="0.3">
      <c r="A811" t="s">
        <v>1148</v>
      </c>
      <c r="B811" s="1">
        <v>45681</v>
      </c>
      <c r="D811" t="s">
        <v>53</v>
      </c>
      <c r="E811" t="s">
        <v>54</v>
      </c>
      <c r="F811" t="s">
        <v>55</v>
      </c>
      <c r="G811" t="s">
        <v>81</v>
      </c>
      <c r="H811" t="s">
        <v>98</v>
      </c>
      <c r="I811">
        <v>5</v>
      </c>
      <c r="J811">
        <v>222.99</v>
      </c>
      <c r="K811">
        <v>0.1</v>
      </c>
      <c r="L811">
        <v>1003.46</v>
      </c>
      <c r="M811" t="s">
        <v>48</v>
      </c>
      <c r="N811" t="s">
        <v>34</v>
      </c>
      <c r="O811" t="s">
        <v>25</v>
      </c>
      <c r="P811" t="s">
        <v>42</v>
      </c>
    </row>
    <row r="812" spans="1:16" x14ac:dyDescent="0.3">
      <c r="A812" t="s">
        <v>1149</v>
      </c>
      <c r="B812" s="1">
        <v>45525</v>
      </c>
      <c r="C812" t="s">
        <v>631</v>
      </c>
      <c r="D812" t="s">
        <v>170</v>
      </c>
      <c r="E812" t="s">
        <v>171</v>
      </c>
      <c r="F812" t="s">
        <v>31</v>
      </c>
      <c r="G812" t="s">
        <v>21</v>
      </c>
      <c r="H812" t="s">
        <v>22</v>
      </c>
      <c r="I812">
        <v>2</v>
      </c>
      <c r="J812">
        <v>69336.350000000006</v>
      </c>
      <c r="K812">
        <v>0.2</v>
      </c>
      <c r="L812">
        <v>110938.16</v>
      </c>
      <c r="M812" t="s">
        <v>76</v>
      </c>
      <c r="N812" t="s">
        <v>24</v>
      </c>
      <c r="O812" t="s">
        <v>25</v>
      </c>
      <c r="P812" t="s">
        <v>26</v>
      </c>
    </row>
    <row r="813" spans="1:16" x14ac:dyDescent="0.3">
      <c r="A813" t="s">
        <v>1150</v>
      </c>
      <c r="B813" s="1">
        <v>46090</v>
      </c>
      <c r="C813" t="s">
        <v>499</v>
      </c>
      <c r="D813" t="s">
        <v>85</v>
      </c>
      <c r="E813" t="s">
        <v>86</v>
      </c>
      <c r="F813" t="s">
        <v>20</v>
      </c>
      <c r="G813" t="s">
        <v>32</v>
      </c>
      <c r="H813" t="s">
        <v>47</v>
      </c>
      <c r="I813">
        <v>5</v>
      </c>
      <c r="J813">
        <v>1765.98</v>
      </c>
      <c r="K813">
        <v>0.2</v>
      </c>
      <c r="L813">
        <v>7063.92</v>
      </c>
      <c r="M813" t="s">
        <v>48</v>
      </c>
      <c r="N813" t="s">
        <v>24</v>
      </c>
      <c r="O813" t="s">
        <v>25</v>
      </c>
      <c r="P813" t="s">
        <v>26</v>
      </c>
    </row>
    <row r="814" spans="1:16" x14ac:dyDescent="0.3">
      <c r="A814" t="s">
        <v>1151</v>
      </c>
      <c r="B814" s="1">
        <v>45969</v>
      </c>
      <c r="C814" t="s">
        <v>151</v>
      </c>
      <c r="D814" t="s">
        <v>45</v>
      </c>
      <c r="E814" t="s">
        <v>46</v>
      </c>
      <c r="F814" t="s">
        <v>31</v>
      </c>
      <c r="G814" t="s">
        <v>21</v>
      </c>
      <c r="H814" t="s">
        <v>41</v>
      </c>
      <c r="I814">
        <v>4</v>
      </c>
      <c r="J814">
        <v>1743.17</v>
      </c>
      <c r="K814">
        <v>0.15</v>
      </c>
      <c r="L814">
        <v>5926.78</v>
      </c>
      <c r="M814" t="s">
        <v>48</v>
      </c>
      <c r="N814" t="s">
        <v>71</v>
      </c>
      <c r="O814" t="s">
        <v>65</v>
      </c>
      <c r="P814" t="s">
        <v>102</v>
      </c>
    </row>
    <row r="815" spans="1:16" x14ac:dyDescent="0.3">
      <c r="A815" t="s">
        <v>1152</v>
      </c>
      <c r="B815" s="1">
        <v>45474</v>
      </c>
      <c r="C815" t="s">
        <v>78</v>
      </c>
      <c r="D815" t="s">
        <v>18</v>
      </c>
      <c r="E815" t="s">
        <v>19</v>
      </c>
      <c r="F815" t="s">
        <v>20</v>
      </c>
      <c r="G815" t="s">
        <v>81</v>
      </c>
      <c r="H815" t="s">
        <v>87</v>
      </c>
      <c r="I815">
        <v>1</v>
      </c>
      <c r="J815">
        <v>857.46</v>
      </c>
      <c r="K815">
        <v>0.15</v>
      </c>
      <c r="L815">
        <v>728.84</v>
      </c>
      <c r="M815" t="s">
        <v>76</v>
      </c>
      <c r="N815" t="s">
        <v>49</v>
      </c>
      <c r="O815" t="s">
        <v>35</v>
      </c>
      <c r="P815" t="s">
        <v>42</v>
      </c>
    </row>
    <row r="816" spans="1:16" x14ac:dyDescent="0.3">
      <c r="A816" t="s">
        <v>1153</v>
      </c>
      <c r="B816" s="1">
        <v>45869</v>
      </c>
      <c r="C816" t="s">
        <v>560</v>
      </c>
      <c r="D816" t="s">
        <v>121</v>
      </c>
      <c r="E816" t="s">
        <v>122</v>
      </c>
      <c r="F816" t="s">
        <v>55</v>
      </c>
      <c r="G816" t="s">
        <v>21</v>
      </c>
      <c r="H816" t="s">
        <v>41</v>
      </c>
      <c r="I816">
        <v>5</v>
      </c>
      <c r="J816">
        <v>468.89</v>
      </c>
      <c r="K816">
        <v>0.05</v>
      </c>
      <c r="L816">
        <v>2227.23</v>
      </c>
      <c r="M816" t="s">
        <v>76</v>
      </c>
      <c r="N816" t="s">
        <v>58</v>
      </c>
      <c r="O816" t="s">
        <v>25</v>
      </c>
      <c r="P816" t="s">
        <v>26</v>
      </c>
    </row>
    <row r="817" spans="1:16" x14ac:dyDescent="0.3">
      <c r="A817" t="s">
        <v>1154</v>
      </c>
      <c r="B817" s="1">
        <v>45512</v>
      </c>
      <c r="C817" t="s">
        <v>583</v>
      </c>
      <c r="D817" t="s">
        <v>131</v>
      </c>
      <c r="E817" t="s">
        <v>132</v>
      </c>
      <c r="F817" t="s">
        <v>40</v>
      </c>
      <c r="G817" t="s">
        <v>56</v>
      </c>
      <c r="H817" t="s">
        <v>101</v>
      </c>
      <c r="I817">
        <v>5</v>
      </c>
      <c r="J817">
        <v>9582.11</v>
      </c>
      <c r="K817">
        <v>0</v>
      </c>
      <c r="L817">
        <v>47910.55</v>
      </c>
      <c r="M817" t="s">
        <v>48</v>
      </c>
      <c r="N817" t="s">
        <v>49</v>
      </c>
      <c r="O817" t="s">
        <v>65</v>
      </c>
      <c r="P817" t="s">
        <v>42</v>
      </c>
    </row>
    <row r="818" spans="1:16" x14ac:dyDescent="0.3">
      <c r="A818" t="s">
        <v>1155</v>
      </c>
      <c r="B818" s="1">
        <v>45441</v>
      </c>
      <c r="C818" t="s">
        <v>1156</v>
      </c>
      <c r="D818" t="s">
        <v>170</v>
      </c>
      <c r="E818" t="s">
        <v>171</v>
      </c>
      <c r="F818" t="s">
        <v>31</v>
      </c>
      <c r="G818" t="s">
        <v>56</v>
      </c>
      <c r="H818" t="s">
        <v>57</v>
      </c>
      <c r="I818">
        <v>4</v>
      </c>
      <c r="J818">
        <v>62863.31</v>
      </c>
      <c r="K818">
        <v>0</v>
      </c>
      <c r="L818">
        <v>251453.24</v>
      </c>
      <c r="M818" t="s">
        <v>23</v>
      </c>
      <c r="N818" t="s">
        <v>34</v>
      </c>
      <c r="O818" t="s">
        <v>65</v>
      </c>
      <c r="P818" t="s">
        <v>59</v>
      </c>
    </row>
    <row r="819" spans="1:16" x14ac:dyDescent="0.3">
      <c r="A819" t="s">
        <v>1157</v>
      </c>
      <c r="B819" s="1">
        <v>45679</v>
      </c>
      <c r="C819" t="s">
        <v>147</v>
      </c>
      <c r="D819" t="s">
        <v>89</v>
      </c>
      <c r="E819" t="s">
        <v>90</v>
      </c>
      <c r="F819" t="s">
        <v>20</v>
      </c>
      <c r="G819" t="s">
        <v>56</v>
      </c>
      <c r="H819" t="s">
        <v>123</v>
      </c>
      <c r="I819">
        <v>5</v>
      </c>
      <c r="J819">
        <v>715.48</v>
      </c>
      <c r="K819">
        <v>0.05</v>
      </c>
      <c r="L819">
        <v>3398.53</v>
      </c>
      <c r="M819" t="s">
        <v>23</v>
      </c>
      <c r="N819" t="s">
        <v>58</v>
      </c>
      <c r="O819" t="s">
        <v>65</v>
      </c>
      <c r="P819" t="s">
        <v>72</v>
      </c>
    </row>
    <row r="820" spans="1:16" x14ac:dyDescent="0.3">
      <c r="A820" t="s">
        <v>1158</v>
      </c>
      <c r="B820" s="1">
        <v>45363</v>
      </c>
      <c r="C820" t="s">
        <v>302</v>
      </c>
      <c r="D820" t="s">
        <v>62</v>
      </c>
      <c r="E820" t="s">
        <v>63</v>
      </c>
      <c r="F820" t="s">
        <v>31</v>
      </c>
      <c r="G820" t="s">
        <v>81</v>
      </c>
      <c r="H820" t="s">
        <v>135</v>
      </c>
      <c r="I820">
        <v>3</v>
      </c>
      <c r="J820">
        <v>2614.7399999999998</v>
      </c>
      <c r="K820">
        <v>0.15</v>
      </c>
      <c r="L820">
        <v>6667.59</v>
      </c>
      <c r="M820" t="s">
        <v>76</v>
      </c>
      <c r="N820" t="s">
        <v>34</v>
      </c>
      <c r="O820" t="s">
        <v>25</v>
      </c>
      <c r="P820" t="s">
        <v>42</v>
      </c>
    </row>
    <row r="821" spans="1:16" x14ac:dyDescent="0.3">
      <c r="A821" t="s">
        <v>1159</v>
      </c>
      <c r="B821" s="1">
        <v>45329</v>
      </c>
      <c r="C821" t="s">
        <v>348</v>
      </c>
      <c r="D821" t="s">
        <v>105</v>
      </c>
      <c r="E821" t="s">
        <v>106</v>
      </c>
      <c r="F821" t="s">
        <v>40</v>
      </c>
      <c r="G821" t="s">
        <v>81</v>
      </c>
      <c r="H821" t="s">
        <v>135</v>
      </c>
      <c r="I821">
        <v>3</v>
      </c>
      <c r="J821">
        <v>7317.82</v>
      </c>
      <c r="K821">
        <v>0.03</v>
      </c>
      <c r="L821">
        <v>21294.86</v>
      </c>
      <c r="M821" t="s">
        <v>48</v>
      </c>
      <c r="N821" t="s">
        <v>24</v>
      </c>
      <c r="O821" t="s">
        <v>65</v>
      </c>
      <c r="P821" t="s">
        <v>42</v>
      </c>
    </row>
    <row r="822" spans="1:16" x14ac:dyDescent="0.3">
      <c r="A822" t="s">
        <v>1160</v>
      </c>
      <c r="B822" s="1">
        <v>45824</v>
      </c>
      <c r="C822" t="s">
        <v>355</v>
      </c>
      <c r="D822" t="s">
        <v>18</v>
      </c>
      <c r="E822" t="s">
        <v>19</v>
      </c>
      <c r="F822" t="s">
        <v>20</v>
      </c>
      <c r="G822" t="s">
        <v>56</v>
      </c>
      <c r="H822" t="s">
        <v>123</v>
      </c>
      <c r="I822">
        <v>4</v>
      </c>
      <c r="J822">
        <v>803.87</v>
      </c>
      <c r="K822">
        <v>0.03</v>
      </c>
      <c r="L822">
        <v>3119.02</v>
      </c>
      <c r="M822" t="s">
        <v>76</v>
      </c>
      <c r="N822" t="s">
        <v>58</v>
      </c>
      <c r="O822" t="s">
        <v>35</v>
      </c>
      <c r="P822" t="s">
        <v>42</v>
      </c>
    </row>
    <row r="823" spans="1:16" x14ac:dyDescent="0.3">
      <c r="A823" t="s">
        <v>1161</v>
      </c>
      <c r="B823" s="1">
        <v>45925</v>
      </c>
      <c r="C823" t="s">
        <v>443</v>
      </c>
      <c r="D823" t="s">
        <v>29</v>
      </c>
      <c r="E823" t="s">
        <v>30</v>
      </c>
      <c r="F823" t="s">
        <v>31</v>
      </c>
      <c r="G823" t="s">
        <v>21</v>
      </c>
      <c r="H823" t="s">
        <v>93</v>
      </c>
      <c r="I823">
        <v>2</v>
      </c>
      <c r="J823">
        <v>3085.89</v>
      </c>
      <c r="K823">
        <v>0.15</v>
      </c>
      <c r="L823">
        <v>5246.01</v>
      </c>
      <c r="M823" t="s">
        <v>48</v>
      </c>
      <c r="N823" t="s">
        <v>71</v>
      </c>
      <c r="O823" t="s">
        <v>65</v>
      </c>
      <c r="P823" t="s">
        <v>111</v>
      </c>
    </row>
    <row r="824" spans="1:16" x14ac:dyDescent="0.3">
      <c r="A824" t="s">
        <v>1162</v>
      </c>
      <c r="B824" s="1">
        <v>45938</v>
      </c>
      <c r="C824" t="s">
        <v>715</v>
      </c>
      <c r="D824" t="s">
        <v>85</v>
      </c>
      <c r="E824" t="s">
        <v>86</v>
      </c>
      <c r="F824" t="s">
        <v>20</v>
      </c>
      <c r="G824" t="s">
        <v>32</v>
      </c>
      <c r="H824" t="s">
        <v>47</v>
      </c>
      <c r="I824">
        <v>2</v>
      </c>
      <c r="J824">
        <v>1864.34</v>
      </c>
      <c r="K824">
        <v>0.05</v>
      </c>
      <c r="L824">
        <v>3542.25</v>
      </c>
      <c r="M824" t="s">
        <v>48</v>
      </c>
      <c r="N824" t="s">
        <v>71</v>
      </c>
      <c r="O824" t="s">
        <v>65</v>
      </c>
      <c r="P824" t="s">
        <v>111</v>
      </c>
    </row>
    <row r="825" spans="1:16" x14ac:dyDescent="0.3">
      <c r="A825" t="s">
        <v>1163</v>
      </c>
      <c r="B825" s="1">
        <v>45477</v>
      </c>
      <c r="C825" t="s">
        <v>385</v>
      </c>
      <c r="D825" t="s">
        <v>53</v>
      </c>
      <c r="E825" t="s">
        <v>54</v>
      </c>
      <c r="F825" t="s">
        <v>55</v>
      </c>
      <c r="G825" t="s">
        <v>32</v>
      </c>
      <c r="H825" t="s">
        <v>75</v>
      </c>
      <c r="I825">
        <v>3</v>
      </c>
      <c r="J825">
        <v>225.55</v>
      </c>
      <c r="K825">
        <v>0.15</v>
      </c>
      <c r="L825">
        <v>575.15</v>
      </c>
      <c r="M825" t="s">
        <v>48</v>
      </c>
      <c r="N825" t="s">
        <v>34</v>
      </c>
      <c r="O825" t="s">
        <v>65</v>
      </c>
      <c r="P825" t="s">
        <v>102</v>
      </c>
    </row>
    <row r="826" spans="1:16" x14ac:dyDescent="0.3">
      <c r="A826" t="s">
        <v>1164</v>
      </c>
      <c r="B826" s="1">
        <v>45864</v>
      </c>
      <c r="C826" t="s">
        <v>488</v>
      </c>
      <c r="D826" t="s">
        <v>85</v>
      </c>
      <c r="E826" t="s">
        <v>86</v>
      </c>
      <c r="F826" t="s">
        <v>20</v>
      </c>
      <c r="G826" t="s">
        <v>56</v>
      </c>
      <c r="H826" t="s">
        <v>123</v>
      </c>
      <c r="I826">
        <v>3</v>
      </c>
      <c r="J826">
        <v>1891.89</v>
      </c>
      <c r="K826">
        <v>0.1</v>
      </c>
      <c r="L826">
        <v>5108.1000000000004</v>
      </c>
      <c r="M826" t="s">
        <v>76</v>
      </c>
      <c r="N826" t="s">
        <v>71</v>
      </c>
      <c r="O826" t="s">
        <v>65</v>
      </c>
      <c r="P826" t="s">
        <v>111</v>
      </c>
    </row>
    <row r="827" spans="1:16" x14ac:dyDescent="0.3">
      <c r="A827" t="s">
        <v>1165</v>
      </c>
      <c r="B827" s="1">
        <v>45421</v>
      </c>
      <c r="C827" t="s">
        <v>663</v>
      </c>
      <c r="D827" t="s">
        <v>18</v>
      </c>
      <c r="E827" t="s">
        <v>19</v>
      </c>
      <c r="F827" t="s">
        <v>20</v>
      </c>
      <c r="G827" t="s">
        <v>32</v>
      </c>
      <c r="H827" t="s">
        <v>33</v>
      </c>
      <c r="I827">
        <v>3</v>
      </c>
      <c r="J827">
        <v>911.45</v>
      </c>
      <c r="K827">
        <v>0.2</v>
      </c>
      <c r="L827">
        <v>2187.48</v>
      </c>
      <c r="M827" t="s">
        <v>76</v>
      </c>
      <c r="N827" t="s">
        <v>49</v>
      </c>
      <c r="O827" t="s">
        <v>65</v>
      </c>
      <c r="P827" t="s">
        <v>111</v>
      </c>
    </row>
    <row r="828" spans="1:16" x14ac:dyDescent="0.3">
      <c r="A828" t="s">
        <v>1166</v>
      </c>
      <c r="B828" s="1">
        <v>45313</v>
      </c>
      <c r="C828" t="s">
        <v>1156</v>
      </c>
      <c r="D828" t="s">
        <v>131</v>
      </c>
      <c r="E828" t="s">
        <v>132</v>
      </c>
      <c r="F828" t="s">
        <v>40</v>
      </c>
      <c r="G828" t="s">
        <v>21</v>
      </c>
      <c r="H828" t="s">
        <v>126</v>
      </c>
      <c r="I828">
        <v>1</v>
      </c>
      <c r="J828">
        <v>8785.93</v>
      </c>
      <c r="K828">
        <v>0.08</v>
      </c>
      <c r="L828">
        <v>8083.06</v>
      </c>
      <c r="M828" t="s">
        <v>76</v>
      </c>
      <c r="N828" t="s">
        <v>71</v>
      </c>
      <c r="O828" t="s">
        <v>65</v>
      </c>
      <c r="P828" t="s">
        <v>116</v>
      </c>
    </row>
    <row r="829" spans="1:16" x14ac:dyDescent="0.3">
      <c r="A829" t="s">
        <v>1167</v>
      </c>
      <c r="B829" s="1">
        <v>45913</v>
      </c>
      <c r="C829" t="s">
        <v>202</v>
      </c>
      <c r="D829" t="s">
        <v>131</v>
      </c>
      <c r="E829" t="s">
        <v>132</v>
      </c>
      <c r="F829" t="s">
        <v>40</v>
      </c>
      <c r="G829" t="s">
        <v>56</v>
      </c>
      <c r="H829" t="s">
        <v>57</v>
      </c>
      <c r="I829">
        <v>4</v>
      </c>
      <c r="J829">
        <v>9068.93</v>
      </c>
      <c r="K829">
        <v>0.15</v>
      </c>
      <c r="L829">
        <v>30834.36</v>
      </c>
      <c r="M829" t="s">
        <v>23</v>
      </c>
      <c r="N829" t="s">
        <v>58</v>
      </c>
      <c r="O829" t="s">
        <v>35</v>
      </c>
      <c r="P829" t="s">
        <v>26</v>
      </c>
    </row>
    <row r="830" spans="1:16" x14ac:dyDescent="0.3">
      <c r="A830" t="s">
        <v>1168</v>
      </c>
      <c r="B830" s="1">
        <v>46114</v>
      </c>
      <c r="C830" t="s">
        <v>663</v>
      </c>
      <c r="D830" t="s">
        <v>18</v>
      </c>
      <c r="E830" t="s">
        <v>19</v>
      </c>
      <c r="F830" t="s">
        <v>20</v>
      </c>
      <c r="G830" t="s">
        <v>32</v>
      </c>
      <c r="H830" t="s">
        <v>75</v>
      </c>
      <c r="I830">
        <v>1</v>
      </c>
      <c r="J830">
        <v>887.96</v>
      </c>
      <c r="K830">
        <v>0.03</v>
      </c>
      <c r="L830">
        <v>861.32</v>
      </c>
      <c r="M830" t="s">
        <v>23</v>
      </c>
      <c r="N830" t="s">
        <v>71</v>
      </c>
      <c r="O830" t="s">
        <v>65</v>
      </c>
      <c r="P830" t="s">
        <v>59</v>
      </c>
    </row>
    <row r="831" spans="1:16" x14ac:dyDescent="0.3">
      <c r="A831" t="s">
        <v>1169</v>
      </c>
      <c r="B831" s="1">
        <v>45707</v>
      </c>
      <c r="C831" t="s">
        <v>406</v>
      </c>
      <c r="D831" t="s">
        <v>131</v>
      </c>
      <c r="E831" t="s">
        <v>132</v>
      </c>
      <c r="F831" t="s">
        <v>40</v>
      </c>
      <c r="G831" t="s">
        <v>32</v>
      </c>
      <c r="H831" t="s">
        <v>47</v>
      </c>
      <c r="I831">
        <v>2</v>
      </c>
      <c r="J831">
        <v>9329.27</v>
      </c>
      <c r="K831">
        <v>0.08</v>
      </c>
      <c r="L831">
        <v>17165.86</v>
      </c>
      <c r="M831" t="s">
        <v>23</v>
      </c>
      <c r="N831" t="s">
        <v>24</v>
      </c>
      <c r="O831" t="s">
        <v>65</v>
      </c>
      <c r="P831" t="s">
        <v>59</v>
      </c>
    </row>
    <row r="832" spans="1:16" x14ac:dyDescent="0.3">
      <c r="A832" t="s">
        <v>1170</v>
      </c>
      <c r="B832" s="1">
        <v>45854</v>
      </c>
      <c r="C832" t="s">
        <v>397</v>
      </c>
      <c r="D832" t="s">
        <v>121</v>
      </c>
      <c r="E832" t="s">
        <v>122</v>
      </c>
      <c r="F832" t="s">
        <v>55</v>
      </c>
      <c r="G832" t="s">
        <v>56</v>
      </c>
      <c r="H832" t="s">
        <v>64</v>
      </c>
      <c r="I832">
        <v>2</v>
      </c>
      <c r="J832">
        <v>463.52</v>
      </c>
      <c r="K832">
        <v>0.05</v>
      </c>
      <c r="L832">
        <v>880.69</v>
      </c>
      <c r="M832" t="s">
        <v>23</v>
      </c>
      <c r="N832" t="s">
        <v>24</v>
      </c>
      <c r="O832" t="s">
        <v>35</v>
      </c>
      <c r="P832" t="s">
        <v>42</v>
      </c>
    </row>
    <row r="833" spans="1:16" x14ac:dyDescent="0.3">
      <c r="A833" t="s">
        <v>1171</v>
      </c>
      <c r="B833" s="1">
        <v>45475</v>
      </c>
      <c r="C833" t="s">
        <v>166</v>
      </c>
      <c r="D833" t="s">
        <v>176</v>
      </c>
      <c r="E833" t="s">
        <v>177</v>
      </c>
      <c r="F833" t="s">
        <v>31</v>
      </c>
      <c r="G833" t="s">
        <v>56</v>
      </c>
      <c r="H833" t="s">
        <v>101</v>
      </c>
      <c r="I833">
        <v>4</v>
      </c>
      <c r="J833">
        <v>2218.5700000000002</v>
      </c>
      <c r="K833">
        <v>0.9</v>
      </c>
      <c r="L833">
        <v>8608.0499999999993</v>
      </c>
      <c r="M833" t="s">
        <v>76</v>
      </c>
      <c r="N833" t="s">
        <v>58</v>
      </c>
      <c r="O833" t="s">
        <v>65</v>
      </c>
      <c r="P833" t="s">
        <v>50</v>
      </c>
    </row>
    <row r="834" spans="1:16" x14ac:dyDescent="0.3">
      <c r="A834" t="s">
        <v>1172</v>
      </c>
      <c r="B834" s="1">
        <v>45981</v>
      </c>
      <c r="C834" t="s">
        <v>125</v>
      </c>
      <c r="D834" t="s">
        <v>79</v>
      </c>
      <c r="E834" t="s">
        <v>80</v>
      </c>
      <c r="F834" t="s">
        <v>31</v>
      </c>
      <c r="G834" t="s">
        <v>21</v>
      </c>
      <c r="H834" t="s">
        <v>126</v>
      </c>
      <c r="I834">
        <v>5</v>
      </c>
      <c r="J834">
        <v>13049.41</v>
      </c>
      <c r="K834">
        <v>0.2</v>
      </c>
      <c r="L834">
        <v>52197.64</v>
      </c>
      <c r="M834" t="s">
        <v>23</v>
      </c>
      <c r="N834" t="s">
        <v>24</v>
      </c>
      <c r="O834" t="s">
        <v>65</v>
      </c>
      <c r="P834" t="s">
        <v>26</v>
      </c>
    </row>
    <row r="835" spans="1:16" x14ac:dyDescent="0.3">
      <c r="A835" t="s">
        <v>1173</v>
      </c>
      <c r="B835" s="1">
        <v>45955</v>
      </c>
      <c r="C835" t="s">
        <v>309</v>
      </c>
      <c r="D835" t="s">
        <v>131</v>
      </c>
      <c r="E835" t="s">
        <v>132</v>
      </c>
      <c r="F835" t="s">
        <v>40</v>
      </c>
      <c r="G835" t="s">
        <v>56</v>
      </c>
      <c r="I835">
        <v>2</v>
      </c>
      <c r="J835">
        <v>10199.11</v>
      </c>
      <c r="K835">
        <v>0</v>
      </c>
      <c r="L835">
        <v>20398.22</v>
      </c>
      <c r="M835" t="s">
        <v>23</v>
      </c>
      <c r="N835" t="s">
        <v>58</v>
      </c>
      <c r="O835" t="s">
        <v>25</v>
      </c>
      <c r="P835" t="s">
        <v>59</v>
      </c>
    </row>
    <row r="836" spans="1:16" x14ac:dyDescent="0.3">
      <c r="A836" t="s">
        <v>1174</v>
      </c>
      <c r="B836" s="1">
        <v>46203</v>
      </c>
      <c r="C836" t="s">
        <v>817</v>
      </c>
      <c r="D836" t="s">
        <v>53</v>
      </c>
      <c r="E836" t="s">
        <v>54</v>
      </c>
      <c r="F836" t="s">
        <v>55</v>
      </c>
      <c r="G836" t="s">
        <v>32</v>
      </c>
      <c r="H836" t="s">
        <v>68</v>
      </c>
      <c r="I836">
        <v>4</v>
      </c>
      <c r="J836">
        <v>235.22</v>
      </c>
      <c r="K836">
        <v>0</v>
      </c>
      <c r="L836">
        <v>940.88</v>
      </c>
      <c r="M836" t="s">
        <v>76</v>
      </c>
      <c r="N836" t="s">
        <v>34</v>
      </c>
      <c r="O836" t="s">
        <v>25</v>
      </c>
      <c r="P836" t="s">
        <v>42</v>
      </c>
    </row>
    <row r="837" spans="1:16" x14ac:dyDescent="0.3">
      <c r="A837" t="s">
        <v>1175</v>
      </c>
      <c r="B837" s="1">
        <v>46037</v>
      </c>
      <c r="C837" t="s">
        <v>336</v>
      </c>
      <c r="D837" t="s">
        <v>176</v>
      </c>
      <c r="E837" t="s">
        <v>177</v>
      </c>
      <c r="F837" t="s">
        <v>31</v>
      </c>
      <c r="G837" t="s">
        <v>32</v>
      </c>
      <c r="H837" t="s">
        <v>33</v>
      </c>
      <c r="I837">
        <v>1</v>
      </c>
      <c r="J837">
        <v>2149.77</v>
      </c>
      <c r="K837">
        <v>0.1</v>
      </c>
      <c r="L837">
        <v>1934.79</v>
      </c>
      <c r="M837" t="s">
        <v>48</v>
      </c>
      <c r="N837" t="s">
        <v>49</v>
      </c>
      <c r="O837" t="s">
        <v>65</v>
      </c>
      <c r="P837" t="s">
        <v>59</v>
      </c>
    </row>
    <row r="838" spans="1:16" x14ac:dyDescent="0.3">
      <c r="A838" t="s">
        <v>1176</v>
      </c>
      <c r="B838" s="1">
        <v>45627</v>
      </c>
      <c r="C838" t="s">
        <v>362</v>
      </c>
      <c r="D838" t="s">
        <v>29</v>
      </c>
      <c r="E838" t="s">
        <v>30</v>
      </c>
      <c r="F838" t="s">
        <v>31</v>
      </c>
      <c r="G838" t="s">
        <v>56</v>
      </c>
      <c r="H838" t="s">
        <v>64</v>
      </c>
      <c r="I838">
        <v>1</v>
      </c>
      <c r="J838">
        <v>3048.54</v>
      </c>
      <c r="K838">
        <v>0.08</v>
      </c>
      <c r="L838">
        <v>2804.66</v>
      </c>
      <c r="M838" t="s">
        <v>48</v>
      </c>
      <c r="N838" t="s">
        <v>49</v>
      </c>
      <c r="O838" t="s">
        <v>65</v>
      </c>
      <c r="P838" t="s">
        <v>72</v>
      </c>
    </row>
    <row r="839" spans="1:16" x14ac:dyDescent="0.3">
      <c r="A839" t="s">
        <v>1177</v>
      </c>
      <c r="B839" s="1">
        <v>45409</v>
      </c>
      <c r="C839" t="s">
        <v>287</v>
      </c>
      <c r="D839" t="s">
        <v>105</v>
      </c>
      <c r="E839" t="s">
        <v>106</v>
      </c>
      <c r="F839" t="s">
        <v>40</v>
      </c>
      <c r="G839" t="s">
        <v>32</v>
      </c>
      <c r="H839" t="s">
        <v>47</v>
      </c>
      <c r="I839">
        <v>1</v>
      </c>
      <c r="J839">
        <v>7475.05</v>
      </c>
      <c r="K839">
        <v>0.15</v>
      </c>
      <c r="L839">
        <v>6353.79</v>
      </c>
      <c r="M839" t="s">
        <v>76</v>
      </c>
      <c r="N839" t="s">
        <v>58</v>
      </c>
      <c r="O839" t="s">
        <v>65</v>
      </c>
      <c r="P839" t="s">
        <v>111</v>
      </c>
    </row>
    <row r="840" spans="1:16" x14ac:dyDescent="0.3">
      <c r="A840" t="s">
        <v>1178</v>
      </c>
      <c r="B840" s="1">
        <v>45659</v>
      </c>
      <c r="C840" t="s">
        <v>44</v>
      </c>
      <c r="D840" t="s">
        <v>105</v>
      </c>
      <c r="E840" t="s">
        <v>106</v>
      </c>
      <c r="F840" t="s">
        <v>40</v>
      </c>
      <c r="G840" t="s">
        <v>21</v>
      </c>
      <c r="H840" t="s">
        <v>22</v>
      </c>
      <c r="I840">
        <v>3</v>
      </c>
      <c r="J840">
        <v>6630.74</v>
      </c>
      <c r="K840">
        <v>0.1</v>
      </c>
      <c r="L840">
        <v>17903</v>
      </c>
      <c r="M840" t="s">
        <v>76</v>
      </c>
      <c r="N840" t="s">
        <v>24</v>
      </c>
      <c r="O840" t="s">
        <v>35</v>
      </c>
      <c r="P840" t="s">
        <v>102</v>
      </c>
    </row>
    <row r="841" spans="1:16" x14ac:dyDescent="0.3">
      <c r="A841" t="s">
        <v>1179</v>
      </c>
      <c r="B841" s="1">
        <v>45451</v>
      </c>
      <c r="C841" t="s">
        <v>531</v>
      </c>
      <c r="D841" t="s">
        <v>89</v>
      </c>
      <c r="E841" t="s">
        <v>90</v>
      </c>
      <c r="F841" t="s">
        <v>20</v>
      </c>
      <c r="G841" t="s">
        <v>32</v>
      </c>
      <c r="H841" t="s">
        <v>75</v>
      </c>
      <c r="I841">
        <v>4</v>
      </c>
      <c r="J841">
        <v>663.96</v>
      </c>
      <c r="K841">
        <v>0.08</v>
      </c>
      <c r="L841">
        <v>2443.37</v>
      </c>
      <c r="M841" t="s">
        <v>76</v>
      </c>
      <c r="N841" t="s">
        <v>71</v>
      </c>
      <c r="O841" t="s">
        <v>65</v>
      </c>
      <c r="P841" t="s">
        <v>72</v>
      </c>
    </row>
    <row r="842" spans="1:16" x14ac:dyDescent="0.3">
      <c r="A842" t="s">
        <v>1180</v>
      </c>
      <c r="B842" s="1">
        <v>45876</v>
      </c>
      <c r="C842" t="s">
        <v>552</v>
      </c>
      <c r="D842" t="s">
        <v>29</v>
      </c>
      <c r="E842" t="s">
        <v>30</v>
      </c>
      <c r="F842" t="s">
        <v>31</v>
      </c>
      <c r="G842" t="s">
        <v>21</v>
      </c>
      <c r="H842" t="s">
        <v>93</v>
      </c>
      <c r="I842">
        <v>1</v>
      </c>
      <c r="J842">
        <v>3322.85</v>
      </c>
      <c r="K842">
        <v>0</v>
      </c>
      <c r="L842">
        <v>3322.85</v>
      </c>
      <c r="M842" t="s">
        <v>23</v>
      </c>
      <c r="N842" t="s">
        <v>58</v>
      </c>
      <c r="O842" t="s">
        <v>35</v>
      </c>
      <c r="P842" t="s">
        <v>50</v>
      </c>
    </row>
    <row r="843" spans="1:16" x14ac:dyDescent="0.3">
      <c r="A843" t="s">
        <v>1181</v>
      </c>
      <c r="B843" s="1">
        <v>46018</v>
      </c>
      <c r="C843" t="s">
        <v>476</v>
      </c>
      <c r="D843" t="s">
        <v>121</v>
      </c>
      <c r="E843" t="s">
        <v>122</v>
      </c>
      <c r="F843" t="s">
        <v>55</v>
      </c>
      <c r="G843" t="s">
        <v>81</v>
      </c>
      <c r="H843" t="s">
        <v>82</v>
      </c>
      <c r="I843">
        <v>5</v>
      </c>
      <c r="J843">
        <v>420.96</v>
      </c>
      <c r="K843">
        <v>0.08</v>
      </c>
      <c r="L843">
        <v>1936.42</v>
      </c>
      <c r="M843" t="s">
        <v>76</v>
      </c>
      <c r="N843" t="s">
        <v>71</v>
      </c>
      <c r="O843" t="s">
        <v>65</v>
      </c>
      <c r="P843" t="s">
        <v>102</v>
      </c>
    </row>
    <row r="844" spans="1:16" x14ac:dyDescent="0.3">
      <c r="A844" t="s">
        <v>1182</v>
      </c>
      <c r="B844" s="1">
        <v>46009</v>
      </c>
      <c r="C844" t="s">
        <v>441</v>
      </c>
      <c r="D844" t="s">
        <v>79</v>
      </c>
      <c r="E844" t="s">
        <v>80</v>
      </c>
      <c r="F844" t="s">
        <v>31</v>
      </c>
      <c r="G844" t="s">
        <v>32</v>
      </c>
      <c r="H844" t="s">
        <v>68</v>
      </c>
      <c r="I844">
        <v>4</v>
      </c>
      <c r="J844">
        <v>11919.19</v>
      </c>
      <c r="K844">
        <v>0</v>
      </c>
      <c r="L844">
        <v>47676.76</v>
      </c>
      <c r="M844" t="s">
        <v>76</v>
      </c>
      <c r="N844" t="s">
        <v>24</v>
      </c>
      <c r="O844" t="s">
        <v>65</v>
      </c>
      <c r="P844" t="s">
        <v>26</v>
      </c>
    </row>
    <row r="845" spans="1:16" x14ac:dyDescent="0.3">
      <c r="A845" t="s">
        <v>1183</v>
      </c>
      <c r="B845" s="1">
        <v>46202</v>
      </c>
      <c r="C845" t="s">
        <v>411</v>
      </c>
      <c r="D845" t="s">
        <v>18</v>
      </c>
      <c r="E845" t="s">
        <v>19</v>
      </c>
      <c r="F845" t="s">
        <v>20</v>
      </c>
      <c r="G845" t="s">
        <v>81</v>
      </c>
      <c r="H845" t="s">
        <v>87</v>
      </c>
      <c r="I845">
        <v>1</v>
      </c>
      <c r="J845">
        <v>829.65</v>
      </c>
      <c r="K845">
        <v>0</v>
      </c>
      <c r="L845">
        <v>829.65</v>
      </c>
      <c r="M845" t="s">
        <v>23</v>
      </c>
      <c r="N845" t="s">
        <v>34</v>
      </c>
      <c r="O845" t="s">
        <v>65</v>
      </c>
      <c r="P845" t="s">
        <v>102</v>
      </c>
    </row>
    <row r="846" spans="1:16" x14ac:dyDescent="0.3">
      <c r="A846" t="s">
        <v>1184</v>
      </c>
      <c r="B846" s="1">
        <v>45998</v>
      </c>
      <c r="C846" t="s">
        <v>554</v>
      </c>
      <c r="D846" t="s">
        <v>62</v>
      </c>
      <c r="E846" t="s">
        <v>63</v>
      </c>
      <c r="F846" t="s">
        <v>31</v>
      </c>
      <c r="G846" t="s">
        <v>32</v>
      </c>
      <c r="H846" t="s">
        <v>75</v>
      </c>
      <c r="I846">
        <v>1</v>
      </c>
      <c r="J846">
        <v>2910.16</v>
      </c>
      <c r="K846">
        <v>0.1</v>
      </c>
      <c r="L846">
        <v>2619.14</v>
      </c>
      <c r="M846" t="s">
        <v>23</v>
      </c>
      <c r="N846" t="s">
        <v>34</v>
      </c>
      <c r="O846" t="s">
        <v>65</v>
      </c>
      <c r="P846" t="s">
        <v>102</v>
      </c>
    </row>
    <row r="847" spans="1:16" x14ac:dyDescent="0.3">
      <c r="A847" t="s">
        <v>1185</v>
      </c>
      <c r="B847" s="1">
        <v>45508</v>
      </c>
      <c r="C847" t="s">
        <v>1186</v>
      </c>
      <c r="D847" t="s">
        <v>38</v>
      </c>
      <c r="E847" t="s">
        <v>39</v>
      </c>
      <c r="F847" t="s">
        <v>40</v>
      </c>
      <c r="G847" t="s">
        <v>56</v>
      </c>
      <c r="H847" t="s">
        <v>57</v>
      </c>
      <c r="I847">
        <v>3</v>
      </c>
      <c r="J847">
        <v>1536.13</v>
      </c>
      <c r="K847">
        <v>0.2</v>
      </c>
      <c r="L847">
        <v>3686.71</v>
      </c>
      <c r="M847" t="s">
        <v>23</v>
      </c>
      <c r="N847" t="s">
        <v>58</v>
      </c>
      <c r="O847" t="s">
        <v>65</v>
      </c>
      <c r="P847" t="s">
        <v>72</v>
      </c>
    </row>
    <row r="848" spans="1:16" x14ac:dyDescent="0.3">
      <c r="A848" t="s">
        <v>1187</v>
      </c>
      <c r="B848" s="1">
        <v>45796</v>
      </c>
      <c r="C848" t="s">
        <v>264</v>
      </c>
      <c r="D848" t="s">
        <v>79</v>
      </c>
      <c r="E848" t="s">
        <v>80</v>
      </c>
      <c r="F848" t="s">
        <v>31</v>
      </c>
      <c r="G848" t="s">
        <v>32</v>
      </c>
      <c r="H848" t="s">
        <v>33</v>
      </c>
      <c r="I848">
        <v>1</v>
      </c>
      <c r="J848">
        <v>11725.43</v>
      </c>
      <c r="K848">
        <v>0.1</v>
      </c>
      <c r="L848">
        <v>10552.89</v>
      </c>
      <c r="M848" t="s">
        <v>76</v>
      </c>
      <c r="N848" t="s">
        <v>58</v>
      </c>
      <c r="O848" t="s">
        <v>25</v>
      </c>
      <c r="P848" t="s">
        <v>116</v>
      </c>
    </row>
    <row r="849" spans="1:16" x14ac:dyDescent="0.3">
      <c r="A849" t="s">
        <v>1188</v>
      </c>
      <c r="B849" s="1">
        <v>45622</v>
      </c>
      <c r="C849" t="s">
        <v>935</v>
      </c>
      <c r="D849" t="s">
        <v>170</v>
      </c>
      <c r="E849" t="s">
        <v>171</v>
      </c>
      <c r="F849" t="s">
        <v>31</v>
      </c>
      <c r="G849" t="s">
        <v>81</v>
      </c>
      <c r="H849" t="s">
        <v>82</v>
      </c>
      <c r="I849">
        <v>3</v>
      </c>
      <c r="J849">
        <v>67974.05</v>
      </c>
      <c r="K849">
        <v>0.05</v>
      </c>
      <c r="L849">
        <v>193726.04</v>
      </c>
      <c r="M849" t="s">
        <v>76</v>
      </c>
      <c r="N849" t="s">
        <v>71</v>
      </c>
      <c r="O849" t="s">
        <v>65</v>
      </c>
      <c r="P849" t="s">
        <v>116</v>
      </c>
    </row>
    <row r="850" spans="1:16" x14ac:dyDescent="0.3">
      <c r="A850" t="s">
        <v>1189</v>
      </c>
      <c r="B850" s="1">
        <v>45371</v>
      </c>
      <c r="C850" t="s">
        <v>350</v>
      </c>
      <c r="D850" t="s">
        <v>53</v>
      </c>
      <c r="E850" t="s">
        <v>54</v>
      </c>
      <c r="F850" t="s">
        <v>55</v>
      </c>
      <c r="G850" t="s">
        <v>21</v>
      </c>
      <c r="H850" t="s">
        <v>126</v>
      </c>
      <c r="I850">
        <v>2</v>
      </c>
      <c r="J850">
        <v>236.94</v>
      </c>
      <c r="K850">
        <v>0.05</v>
      </c>
      <c r="L850">
        <v>450.19</v>
      </c>
      <c r="M850" t="s">
        <v>23</v>
      </c>
      <c r="N850" t="s">
        <v>24</v>
      </c>
      <c r="O850" t="s">
        <v>65</v>
      </c>
      <c r="P850" t="s">
        <v>59</v>
      </c>
    </row>
    <row r="851" spans="1:16" x14ac:dyDescent="0.3">
      <c r="A851" t="s">
        <v>1190</v>
      </c>
      <c r="B851" s="1">
        <v>45424</v>
      </c>
      <c r="C851" t="s">
        <v>508</v>
      </c>
      <c r="D851" t="s">
        <v>176</v>
      </c>
      <c r="E851" t="s">
        <v>177</v>
      </c>
      <c r="F851" t="s">
        <v>31</v>
      </c>
      <c r="G851" t="s">
        <v>21</v>
      </c>
      <c r="H851" t="s">
        <v>93</v>
      </c>
      <c r="I851">
        <v>4</v>
      </c>
      <c r="J851">
        <v>2111.84</v>
      </c>
      <c r="K851">
        <v>0.08</v>
      </c>
      <c r="L851">
        <v>7771.57</v>
      </c>
      <c r="M851" t="s">
        <v>76</v>
      </c>
      <c r="N851" t="s">
        <v>49</v>
      </c>
      <c r="O851" t="s">
        <v>65</v>
      </c>
      <c r="P851" t="s">
        <v>42</v>
      </c>
    </row>
    <row r="852" spans="1:16" x14ac:dyDescent="0.3">
      <c r="A852" t="s">
        <v>1191</v>
      </c>
      <c r="B852" s="1">
        <v>46069</v>
      </c>
      <c r="C852" t="s">
        <v>210</v>
      </c>
      <c r="D852" t="s">
        <v>62</v>
      </c>
      <c r="E852" t="s">
        <v>63</v>
      </c>
      <c r="F852" t="s">
        <v>31</v>
      </c>
      <c r="G852" t="s">
        <v>32</v>
      </c>
      <c r="H852" t="s">
        <v>47</v>
      </c>
      <c r="I852">
        <v>2</v>
      </c>
      <c r="J852">
        <v>3003.65</v>
      </c>
      <c r="K852">
        <v>0</v>
      </c>
      <c r="L852">
        <v>6007.3</v>
      </c>
      <c r="M852" t="s">
        <v>48</v>
      </c>
      <c r="N852" t="s">
        <v>49</v>
      </c>
      <c r="O852" t="s">
        <v>65</v>
      </c>
      <c r="P852" t="s">
        <v>59</v>
      </c>
    </row>
    <row r="853" spans="1:16" x14ac:dyDescent="0.3">
      <c r="A853" t="s">
        <v>1192</v>
      </c>
      <c r="B853" s="1">
        <v>46059</v>
      </c>
      <c r="C853" t="s">
        <v>746</v>
      </c>
      <c r="D853" t="s">
        <v>38</v>
      </c>
      <c r="E853" t="s">
        <v>39</v>
      </c>
      <c r="F853" t="s">
        <v>40</v>
      </c>
      <c r="G853" t="s">
        <v>21</v>
      </c>
      <c r="H853" t="s">
        <v>41</v>
      </c>
      <c r="I853">
        <v>5</v>
      </c>
      <c r="J853">
        <v>1686.94</v>
      </c>
      <c r="K853">
        <v>0.05</v>
      </c>
      <c r="L853">
        <v>8012.97</v>
      </c>
      <c r="M853" t="s">
        <v>76</v>
      </c>
      <c r="N853" t="s">
        <v>58</v>
      </c>
      <c r="O853" t="s">
        <v>65</v>
      </c>
      <c r="P853" t="s">
        <v>116</v>
      </c>
    </row>
    <row r="854" spans="1:16" x14ac:dyDescent="0.3">
      <c r="A854" t="s">
        <v>1193</v>
      </c>
      <c r="B854" s="1">
        <v>45729</v>
      </c>
      <c r="C854" t="s">
        <v>212</v>
      </c>
      <c r="D854" t="s">
        <v>105</v>
      </c>
      <c r="E854" t="s">
        <v>106</v>
      </c>
      <c r="F854" t="s">
        <v>40</v>
      </c>
      <c r="G854" t="s">
        <v>21</v>
      </c>
      <c r="H854" t="s">
        <v>22</v>
      </c>
      <c r="I854">
        <v>1</v>
      </c>
      <c r="J854">
        <v>7257.17</v>
      </c>
      <c r="K854">
        <v>0</v>
      </c>
      <c r="L854">
        <v>7257.17</v>
      </c>
      <c r="M854" t="s">
        <v>76</v>
      </c>
      <c r="N854" t="s">
        <v>24</v>
      </c>
      <c r="O854" t="s">
        <v>65</v>
      </c>
      <c r="P854" t="s">
        <v>72</v>
      </c>
    </row>
    <row r="855" spans="1:16" x14ac:dyDescent="0.3">
      <c r="A855" t="s">
        <v>1194</v>
      </c>
      <c r="B855" s="1">
        <v>45794</v>
      </c>
      <c r="C855" t="s">
        <v>1195</v>
      </c>
      <c r="D855" t="s">
        <v>85</v>
      </c>
      <c r="E855" t="s">
        <v>86</v>
      </c>
      <c r="F855" t="s">
        <v>20</v>
      </c>
      <c r="G855" t="s">
        <v>56</v>
      </c>
      <c r="H855" t="s">
        <v>101</v>
      </c>
      <c r="I855">
        <v>1</v>
      </c>
      <c r="J855">
        <v>1835.04</v>
      </c>
      <c r="K855">
        <v>0.2</v>
      </c>
      <c r="L855">
        <v>1468.03</v>
      </c>
      <c r="M855" t="s">
        <v>23</v>
      </c>
      <c r="N855" t="s">
        <v>24</v>
      </c>
      <c r="O855" t="s">
        <v>25</v>
      </c>
      <c r="P855" t="s">
        <v>42</v>
      </c>
    </row>
    <row r="856" spans="1:16" x14ac:dyDescent="0.3">
      <c r="A856" t="s">
        <v>1196</v>
      </c>
      <c r="B856" s="1">
        <v>46178</v>
      </c>
      <c r="C856" t="s">
        <v>651</v>
      </c>
      <c r="D856" t="s">
        <v>170</v>
      </c>
      <c r="E856" t="s">
        <v>171</v>
      </c>
      <c r="F856" t="s">
        <v>31</v>
      </c>
      <c r="G856" t="s">
        <v>56</v>
      </c>
      <c r="H856" t="s">
        <v>123</v>
      </c>
      <c r="I856">
        <v>2</v>
      </c>
      <c r="J856">
        <v>66685.72</v>
      </c>
      <c r="K856">
        <v>0.1</v>
      </c>
      <c r="L856">
        <v>120034.3</v>
      </c>
      <c r="M856" t="s">
        <v>48</v>
      </c>
      <c r="N856" t="s">
        <v>34</v>
      </c>
      <c r="O856" t="s">
        <v>65</v>
      </c>
      <c r="P856" t="s">
        <v>116</v>
      </c>
    </row>
    <row r="857" spans="1:16" x14ac:dyDescent="0.3">
      <c r="A857" t="s">
        <v>1197</v>
      </c>
      <c r="B857" s="1">
        <v>45595</v>
      </c>
      <c r="C857" t="s">
        <v>949</v>
      </c>
      <c r="D857" t="s">
        <v>105</v>
      </c>
      <c r="E857" t="s">
        <v>106</v>
      </c>
      <c r="F857" t="s">
        <v>40</v>
      </c>
      <c r="G857" t="s">
        <v>21</v>
      </c>
      <c r="H857" t="s">
        <v>93</v>
      </c>
      <c r="I857">
        <v>2</v>
      </c>
      <c r="J857">
        <v>7694.71</v>
      </c>
      <c r="K857">
        <v>0.03</v>
      </c>
      <c r="L857">
        <v>14927.74</v>
      </c>
      <c r="M857" t="s">
        <v>76</v>
      </c>
      <c r="N857" t="s">
        <v>71</v>
      </c>
      <c r="O857" t="s">
        <v>65</v>
      </c>
      <c r="P857" t="s">
        <v>50</v>
      </c>
    </row>
    <row r="858" spans="1:16" x14ac:dyDescent="0.3">
      <c r="A858" t="s">
        <v>1198</v>
      </c>
      <c r="B858" s="1">
        <v>46135</v>
      </c>
      <c r="C858" t="s">
        <v>92</v>
      </c>
      <c r="D858" t="s">
        <v>62</v>
      </c>
      <c r="E858" t="s">
        <v>63</v>
      </c>
      <c r="F858" t="s">
        <v>31</v>
      </c>
      <c r="G858" t="s">
        <v>32</v>
      </c>
      <c r="H858" t="s">
        <v>75</v>
      </c>
      <c r="I858">
        <v>2</v>
      </c>
      <c r="J858">
        <v>2645.96</v>
      </c>
      <c r="K858">
        <v>0.1</v>
      </c>
      <c r="L858">
        <v>4762.7299999999996</v>
      </c>
      <c r="M858" t="s">
        <v>23</v>
      </c>
      <c r="N858" t="s">
        <v>24</v>
      </c>
      <c r="O858" t="s">
        <v>25</v>
      </c>
      <c r="P858" t="s">
        <v>72</v>
      </c>
    </row>
    <row r="859" spans="1:16" x14ac:dyDescent="0.3">
      <c r="A859" t="s">
        <v>1199</v>
      </c>
      <c r="B859" s="1">
        <v>45427</v>
      </c>
      <c r="C859" t="s">
        <v>200</v>
      </c>
      <c r="D859" t="s">
        <v>38</v>
      </c>
      <c r="E859" t="s">
        <v>39</v>
      </c>
      <c r="F859" t="s">
        <v>40</v>
      </c>
      <c r="G859" t="s">
        <v>81</v>
      </c>
      <c r="H859" t="s">
        <v>87</v>
      </c>
      <c r="I859">
        <v>4</v>
      </c>
      <c r="J859">
        <v>1692.86</v>
      </c>
      <c r="K859">
        <v>0.08</v>
      </c>
      <c r="L859">
        <v>6229.72</v>
      </c>
      <c r="M859" t="s">
        <v>23</v>
      </c>
      <c r="N859" t="s">
        <v>71</v>
      </c>
      <c r="O859" t="s">
        <v>65</v>
      </c>
      <c r="P859" t="s">
        <v>102</v>
      </c>
    </row>
    <row r="860" spans="1:16" x14ac:dyDescent="0.3">
      <c r="A860" t="s">
        <v>1200</v>
      </c>
      <c r="B860" s="1">
        <v>45836</v>
      </c>
      <c r="C860" t="s">
        <v>370</v>
      </c>
      <c r="D860" t="s">
        <v>29</v>
      </c>
      <c r="E860" t="s">
        <v>30</v>
      </c>
      <c r="F860" t="s">
        <v>31</v>
      </c>
      <c r="G860" t="s">
        <v>81</v>
      </c>
      <c r="H860" t="s">
        <v>82</v>
      </c>
      <c r="I860">
        <v>5</v>
      </c>
      <c r="J860">
        <v>3301.5</v>
      </c>
      <c r="K860">
        <v>0.15</v>
      </c>
      <c r="L860">
        <v>14031.38</v>
      </c>
      <c r="M860" t="s">
        <v>76</v>
      </c>
      <c r="N860" t="s">
        <v>24</v>
      </c>
      <c r="O860" t="s">
        <v>65</v>
      </c>
      <c r="P860" t="s">
        <v>102</v>
      </c>
    </row>
    <row r="861" spans="1:16" x14ac:dyDescent="0.3">
      <c r="A861" t="s">
        <v>1201</v>
      </c>
      <c r="B861" s="1">
        <v>45945</v>
      </c>
      <c r="C861" t="s">
        <v>715</v>
      </c>
      <c r="D861" t="s">
        <v>18</v>
      </c>
      <c r="E861" t="s">
        <v>19</v>
      </c>
      <c r="F861" t="s">
        <v>20</v>
      </c>
      <c r="G861" t="s">
        <v>21</v>
      </c>
      <c r="H861" t="s">
        <v>93</v>
      </c>
      <c r="I861">
        <v>3</v>
      </c>
      <c r="J861">
        <v>859.34</v>
      </c>
      <c r="K861">
        <v>0.2</v>
      </c>
      <c r="L861">
        <v>2062.42</v>
      </c>
      <c r="M861" t="s">
        <v>76</v>
      </c>
      <c r="N861" t="s">
        <v>24</v>
      </c>
      <c r="O861" t="s">
        <v>25</v>
      </c>
      <c r="P861" t="s">
        <v>116</v>
      </c>
    </row>
    <row r="862" spans="1:16" x14ac:dyDescent="0.3">
      <c r="A862" t="s">
        <v>1202</v>
      </c>
      <c r="B862" s="1">
        <v>45667</v>
      </c>
      <c r="C862" t="s">
        <v>118</v>
      </c>
      <c r="D862" t="s">
        <v>121</v>
      </c>
      <c r="E862" t="s">
        <v>122</v>
      </c>
      <c r="F862" t="s">
        <v>55</v>
      </c>
      <c r="G862" t="s">
        <v>21</v>
      </c>
      <c r="H862" t="s">
        <v>41</v>
      </c>
      <c r="I862">
        <v>4</v>
      </c>
      <c r="J862">
        <v>414.68</v>
      </c>
      <c r="K862">
        <v>0.03</v>
      </c>
      <c r="L862">
        <v>1608.96</v>
      </c>
      <c r="M862" t="s">
        <v>76</v>
      </c>
      <c r="N862" t="s">
        <v>58</v>
      </c>
      <c r="O862" t="s">
        <v>65</v>
      </c>
      <c r="P862" t="s">
        <v>26</v>
      </c>
    </row>
    <row r="863" spans="1:16" x14ac:dyDescent="0.3">
      <c r="A863" t="s">
        <v>1203</v>
      </c>
      <c r="B863" s="1">
        <v>46126</v>
      </c>
      <c r="C863" t="s">
        <v>266</v>
      </c>
      <c r="D863" t="s">
        <v>170</v>
      </c>
      <c r="E863" t="s">
        <v>171</v>
      </c>
      <c r="F863" t="s">
        <v>31</v>
      </c>
      <c r="G863" t="s">
        <v>56</v>
      </c>
      <c r="H863" t="s">
        <v>101</v>
      </c>
      <c r="I863">
        <v>1</v>
      </c>
      <c r="J863">
        <v>64739.97</v>
      </c>
      <c r="K863">
        <v>0.1</v>
      </c>
      <c r="L863">
        <v>58265.97</v>
      </c>
      <c r="M863" t="s">
        <v>76</v>
      </c>
      <c r="N863" t="s">
        <v>71</v>
      </c>
      <c r="O863" t="s">
        <v>65</v>
      </c>
      <c r="P863" t="s">
        <v>102</v>
      </c>
    </row>
    <row r="864" spans="1:16" x14ac:dyDescent="0.3">
      <c r="A864" t="s">
        <v>1204</v>
      </c>
      <c r="B864" s="1">
        <v>45703</v>
      </c>
      <c r="C864" t="s">
        <v>548</v>
      </c>
      <c r="D864" t="s">
        <v>62</v>
      </c>
      <c r="E864" t="s">
        <v>63</v>
      </c>
      <c r="F864" t="s">
        <v>31</v>
      </c>
      <c r="G864" t="s">
        <v>21</v>
      </c>
      <c r="H864" t="s">
        <v>93</v>
      </c>
      <c r="I864">
        <v>3</v>
      </c>
      <c r="J864">
        <v>2601.79</v>
      </c>
      <c r="K864">
        <v>0.08</v>
      </c>
      <c r="L864">
        <v>7180.94</v>
      </c>
      <c r="M864" t="s">
        <v>76</v>
      </c>
      <c r="N864" t="s">
        <v>24</v>
      </c>
      <c r="O864" t="s">
        <v>65</v>
      </c>
      <c r="P864" t="s">
        <v>42</v>
      </c>
    </row>
    <row r="865" spans="1:16" x14ac:dyDescent="0.3">
      <c r="A865" t="s">
        <v>1205</v>
      </c>
      <c r="B865" s="1">
        <v>45938</v>
      </c>
      <c r="C865" t="s">
        <v>1206</v>
      </c>
      <c r="D865" t="s">
        <v>176</v>
      </c>
      <c r="E865" t="s">
        <v>177</v>
      </c>
      <c r="F865" t="s">
        <v>31</v>
      </c>
      <c r="G865" t="s">
        <v>81</v>
      </c>
      <c r="H865" t="s">
        <v>82</v>
      </c>
      <c r="I865">
        <v>3</v>
      </c>
      <c r="J865">
        <v>2124.9899999999998</v>
      </c>
      <c r="K865">
        <v>0.1</v>
      </c>
      <c r="L865">
        <v>5737.47</v>
      </c>
      <c r="M865" t="s">
        <v>76</v>
      </c>
      <c r="N865" t="s">
        <v>49</v>
      </c>
      <c r="O865" t="s">
        <v>25</v>
      </c>
      <c r="P865" t="s">
        <v>50</v>
      </c>
    </row>
    <row r="866" spans="1:16" x14ac:dyDescent="0.3">
      <c r="A866" t="s">
        <v>1207</v>
      </c>
      <c r="B866" s="1">
        <v>45429</v>
      </c>
      <c r="C866" t="s">
        <v>612</v>
      </c>
      <c r="D866" t="s">
        <v>121</v>
      </c>
      <c r="E866" t="s">
        <v>122</v>
      </c>
      <c r="F866" t="s">
        <v>55</v>
      </c>
      <c r="G866" t="s">
        <v>81</v>
      </c>
      <c r="H866" t="s">
        <v>82</v>
      </c>
      <c r="I866">
        <v>5</v>
      </c>
      <c r="J866">
        <v>418.95</v>
      </c>
      <c r="K866">
        <v>0.2</v>
      </c>
      <c r="L866">
        <v>1675.8</v>
      </c>
      <c r="M866" t="s">
        <v>76</v>
      </c>
      <c r="N866" t="s">
        <v>58</v>
      </c>
      <c r="O866" t="s">
        <v>65</v>
      </c>
      <c r="P866" t="s">
        <v>116</v>
      </c>
    </row>
    <row r="867" spans="1:16" x14ac:dyDescent="0.3">
      <c r="A867" t="s">
        <v>1208</v>
      </c>
      <c r="B867" s="1">
        <v>45877</v>
      </c>
      <c r="C867" t="s">
        <v>257</v>
      </c>
      <c r="D867" t="s">
        <v>45</v>
      </c>
      <c r="E867" t="s">
        <v>46</v>
      </c>
      <c r="F867" t="s">
        <v>31</v>
      </c>
      <c r="G867" t="s">
        <v>21</v>
      </c>
      <c r="H867" t="s">
        <v>126</v>
      </c>
      <c r="I867">
        <v>5</v>
      </c>
      <c r="J867">
        <v>1831.02</v>
      </c>
      <c r="K867">
        <v>0</v>
      </c>
      <c r="L867">
        <v>9155.1</v>
      </c>
      <c r="M867" t="s">
        <v>76</v>
      </c>
      <c r="N867" t="s">
        <v>49</v>
      </c>
      <c r="O867" t="s">
        <v>65</v>
      </c>
      <c r="P867" t="s">
        <v>72</v>
      </c>
    </row>
    <row r="868" spans="1:16" x14ac:dyDescent="0.3">
      <c r="A868" t="s">
        <v>1209</v>
      </c>
      <c r="B868" s="1">
        <v>45877</v>
      </c>
      <c r="C868" t="s">
        <v>1008</v>
      </c>
      <c r="D868" t="s">
        <v>131</v>
      </c>
      <c r="E868" t="s">
        <v>132</v>
      </c>
      <c r="F868" t="s">
        <v>40</v>
      </c>
      <c r="G868" t="s">
        <v>81</v>
      </c>
      <c r="H868" t="s">
        <v>98</v>
      </c>
      <c r="I868">
        <v>3</v>
      </c>
      <c r="J868">
        <v>9379.52</v>
      </c>
      <c r="K868">
        <v>0.15</v>
      </c>
      <c r="L868">
        <v>23917.78</v>
      </c>
      <c r="M868" t="s">
        <v>23</v>
      </c>
      <c r="N868" t="s">
        <v>34</v>
      </c>
      <c r="O868" t="s">
        <v>65</v>
      </c>
      <c r="P868" t="s">
        <v>59</v>
      </c>
    </row>
    <row r="869" spans="1:16" x14ac:dyDescent="0.3">
      <c r="A869" t="s">
        <v>1210</v>
      </c>
      <c r="B869" s="1">
        <v>45901</v>
      </c>
      <c r="C869" t="s">
        <v>1211</v>
      </c>
      <c r="D869" t="s">
        <v>53</v>
      </c>
      <c r="E869" t="s">
        <v>54</v>
      </c>
      <c r="F869" t="s">
        <v>55</v>
      </c>
      <c r="G869" t="s">
        <v>56</v>
      </c>
      <c r="H869" t="s">
        <v>101</v>
      </c>
      <c r="I869">
        <v>1</v>
      </c>
      <c r="J869">
        <v>204.09</v>
      </c>
      <c r="K869">
        <v>0.1</v>
      </c>
      <c r="L869">
        <v>183.68</v>
      </c>
      <c r="M869" t="s">
        <v>23</v>
      </c>
      <c r="N869" t="s">
        <v>58</v>
      </c>
      <c r="O869" t="s">
        <v>65</v>
      </c>
      <c r="P869" t="s">
        <v>111</v>
      </c>
    </row>
    <row r="870" spans="1:16" x14ac:dyDescent="0.3">
      <c r="A870" t="s">
        <v>1212</v>
      </c>
      <c r="B870" s="1">
        <v>45866</v>
      </c>
      <c r="C870" t="s">
        <v>306</v>
      </c>
      <c r="D870" t="s">
        <v>18</v>
      </c>
      <c r="E870" t="s">
        <v>19</v>
      </c>
      <c r="F870" t="s">
        <v>20</v>
      </c>
      <c r="G870" t="s">
        <v>81</v>
      </c>
      <c r="H870" t="s">
        <v>135</v>
      </c>
      <c r="I870">
        <v>2</v>
      </c>
      <c r="J870">
        <v>812.95</v>
      </c>
      <c r="K870">
        <v>0.03</v>
      </c>
      <c r="L870">
        <v>1577.12</v>
      </c>
      <c r="M870" t="s">
        <v>76</v>
      </c>
      <c r="N870" t="s">
        <v>34</v>
      </c>
      <c r="O870" t="s">
        <v>65</v>
      </c>
      <c r="P870" t="s">
        <v>102</v>
      </c>
    </row>
    <row r="871" spans="1:16" x14ac:dyDescent="0.3">
      <c r="A871" t="s">
        <v>1213</v>
      </c>
      <c r="B871" s="1">
        <v>45688</v>
      </c>
      <c r="C871" t="s">
        <v>232</v>
      </c>
      <c r="D871" t="s">
        <v>131</v>
      </c>
      <c r="E871" t="s">
        <v>132</v>
      </c>
      <c r="F871" t="s">
        <v>40</v>
      </c>
      <c r="G871" t="s">
        <v>81</v>
      </c>
      <c r="H871" t="s">
        <v>82</v>
      </c>
      <c r="I871">
        <v>5</v>
      </c>
      <c r="J871">
        <v>9416.25</v>
      </c>
      <c r="K871">
        <v>0.2</v>
      </c>
      <c r="L871">
        <v>37665</v>
      </c>
      <c r="M871" t="s">
        <v>23</v>
      </c>
      <c r="N871" t="s">
        <v>58</v>
      </c>
      <c r="O871" t="s">
        <v>65</v>
      </c>
      <c r="P871" t="s">
        <v>42</v>
      </c>
    </row>
    <row r="872" spans="1:16" x14ac:dyDescent="0.3">
      <c r="A872" t="s">
        <v>1214</v>
      </c>
      <c r="B872" s="1">
        <v>46168</v>
      </c>
      <c r="C872" t="s">
        <v>394</v>
      </c>
      <c r="D872" t="s">
        <v>79</v>
      </c>
      <c r="E872" t="s">
        <v>80</v>
      </c>
      <c r="F872" t="s">
        <v>31</v>
      </c>
      <c r="G872" t="s">
        <v>21</v>
      </c>
      <c r="H872" t="s">
        <v>41</v>
      </c>
      <c r="I872">
        <v>5</v>
      </c>
      <c r="J872">
        <v>11766.52</v>
      </c>
      <c r="K872">
        <v>0.15</v>
      </c>
      <c r="L872">
        <v>50007.71</v>
      </c>
      <c r="M872" t="s">
        <v>48</v>
      </c>
      <c r="N872" t="s">
        <v>49</v>
      </c>
      <c r="O872" t="s">
        <v>65</v>
      </c>
      <c r="P872" t="s">
        <v>116</v>
      </c>
    </row>
    <row r="873" spans="1:16" x14ac:dyDescent="0.3">
      <c r="A873" t="s">
        <v>1215</v>
      </c>
      <c r="B873" s="1">
        <v>45306</v>
      </c>
      <c r="C873" t="s">
        <v>558</v>
      </c>
      <c r="D873" t="s">
        <v>131</v>
      </c>
      <c r="E873" t="s">
        <v>132</v>
      </c>
      <c r="F873" t="s">
        <v>40</v>
      </c>
      <c r="G873" t="s">
        <v>21</v>
      </c>
      <c r="H873" t="s">
        <v>126</v>
      </c>
      <c r="I873">
        <v>1</v>
      </c>
      <c r="J873">
        <v>9059.1</v>
      </c>
      <c r="K873">
        <v>0</v>
      </c>
      <c r="L873">
        <v>9059.1</v>
      </c>
      <c r="M873" t="s">
        <v>48</v>
      </c>
      <c r="N873" t="s">
        <v>58</v>
      </c>
      <c r="O873" t="s">
        <v>65</v>
      </c>
      <c r="P873" t="s">
        <v>102</v>
      </c>
    </row>
    <row r="874" spans="1:16" x14ac:dyDescent="0.3">
      <c r="A874" t="s">
        <v>1216</v>
      </c>
      <c r="B874" s="1">
        <v>45613</v>
      </c>
      <c r="C874" t="s">
        <v>1013</v>
      </c>
      <c r="D874" t="s">
        <v>176</v>
      </c>
      <c r="E874" t="s">
        <v>177</v>
      </c>
      <c r="F874" t="s">
        <v>31</v>
      </c>
      <c r="G874" t="s">
        <v>21</v>
      </c>
      <c r="H874" t="s">
        <v>126</v>
      </c>
      <c r="I874">
        <v>5</v>
      </c>
      <c r="J874">
        <v>2329.84</v>
      </c>
      <c r="K874">
        <v>0.2</v>
      </c>
      <c r="L874">
        <v>9319.36</v>
      </c>
      <c r="M874" t="s">
        <v>76</v>
      </c>
      <c r="N874" t="s">
        <v>49</v>
      </c>
      <c r="O874" t="s">
        <v>65</v>
      </c>
      <c r="P874" t="s">
        <v>50</v>
      </c>
    </row>
    <row r="875" spans="1:16" x14ac:dyDescent="0.3">
      <c r="A875" t="s">
        <v>1217</v>
      </c>
      <c r="B875" s="1">
        <v>45762</v>
      </c>
      <c r="C875" t="s">
        <v>1096</v>
      </c>
      <c r="D875" t="s">
        <v>176</v>
      </c>
      <c r="E875" t="s">
        <v>177</v>
      </c>
      <c r="F875" t="s">
        <v>31</v>
      </c>
      <c r="G875" t="s">
        <v>32</v>
      </c>
      <c r="H875" t="s">
        <v>47</v>
      </c>
      <c r="I875">
        <v>3</v>
      </c>
      <c r="J875">
        <v>2227.48</v>
      </c>
      <c r="K875">
        <v>0.03</v>
      </c>
      <c r="L875">
        <v>6481.97</v>
      </c>
      <c r="M875" t="s">
        <v>76</v>
      </c>
      <c r="N875" t="s">
        <v>58</v>
      </c>
      <c r="O875" t="s">
        <v>25</v>
      </c>
      <c r="P875" t="s">
        <v>111</v>
      </c>
    </row>
    <row r="876" spans="1:16" x14ac:dyDescent="0.3">
      <c r="A876" t="s">
        <v>1218</v>
      </c>
      <c r="B876" s="1">
        <v>45769</v>
      </c>
      <c r="C876" t="s">
        <v>118</v>
      </c>
      <c r="D876" t="s">
        <v>105</v>
      </c>
      <c r="E876" t="s">
        <v>106</v>
      </c>
      <c r="F876" t="s">
        <v>40</v>
      </c>
      <c r="G876" t="s">
        <v>32</v>
      </c>
      <c r="H876" t="s">
        <v>47</v>
      </c>
      <c r="I876">
        <v>1</v>
      </c>
      <c r="J876">
        <v>7108.49</v>
      </c>
      <c r="K876">
        <v>0.15</v>
      </c>
      <c r="L876">
        <v>6042.22</v>
      </c>
      <c r="M876" t="s">
        <v>23</v>
      </c>
      <c r="N876" t="s">
        <v>49</v>
      </c>
      <c r="O876" t="s">
        <v>65</v>
      </c>
      <c r="P876" t="s">
        <v>26</v>
      </c>
    </row>
    <row r="877" spans="1:16" x14ac:dyDescent="0.3">
      <c r="A877" t="s">
        <v>1219</v>
      </c>
      <c r="B877" s="1">
        <v>45470</v>
      </c>
      <c r="C877" t="s">
        <v>544</v>
      </c>
      <c r="D877" t="s">
        <v>89</v>
      </c>
      <c r="E877" t="s">
        <v>90</v>
      </c>
      <c r="F877" t="s">
        <v>20</v>
      </c>
      <c r="G877" t="s">
        <v>32</v>
      </c>
      <c r="H877" t="s">
        <v>68</v>
      </c>
      <c r="I877">
        <v>1</v>
      </c>
      <c r="J877">
        <v>705.11</v>
      </c>
      <c r="K877">
        <v>0.2</v>
      </c>
      <c r="L877">
        <v>564.09</v>
      </c>
      <c r="M877" t="s">
        <v>23</v>
      </c>
      <c r="N877" t="s">
        <v>24</v>
      </c>
      <c r="O877" t="s">
        <v>65</v>
      </c>
      <c r="P877" t="s">
        <v>111</v>
      </c>
    </row>
    <row r="878" spans="1:16" x14ac:dyDescent="0.3">
      <c r="A878" t="s">
        <v>1220</v>
      </c>
      <c r="B878" s="1">
        <v>45442</v>
      </c>
      <c r="C878" t="s">
        <v>587</v>
      </c>
      <c r="D878" t="s">
        <v>18</v>
      </c>
      <c r="E878" t="s">
        <v>19</v>
      </c>
      <c r="F878" t="s">
        <v>20</v>
      </c>
      <c r="G878" t="s">
        <v>81</v>
      </c>
      <c r="H878" t="s">
        <v>82</v>
      </c>
      <c r="I878">
        <v>2</v>
      </c>
      <c r="J878">
        <v>904.49</v>
      </c>
      <c r="K878">
        <v>0.03</v>
      </c>
      <c r="L878">
        <v>1754.71</v>
      </c>
      <c r="M878" t="s">
        <v>48</v>
      </c>
      <c r="N878" t="s">
        <v>24</v>
      </c>
      <c r="O878" t="s">
        <v>65</v>
      </c>
      <c r="P878" t="s">
        <v>42</v>
      </c>
    </row>
    <row r="879" spans="1:16" x14ac:dyDescent="0.3">
      <c r="A879" t="s">
        <v>1221</v>
      </c>
      <c r="B879" s="1">
        <v>46043</v>
      </c>
      <c r="C879" t="s">
        <v>92</v>
      </c>
      <c r="D879" t="s">
        <v>170</v>
      </c>
      <c r="E879" t="s">
        <v>171</v>
      </c>
      <c r="F879" t="s">
        <v>31</v>
      </c>
      <c r="G879" t="s">
        <v>81</v>
      </c>
      <c r="H879" t="s">
        <v>82</v>
      </c>
      <c r="I879">
        <v>5</v>
      </c>
      <c r="J879">
        <v>67689.45</v>
      </c>
      <c r="K879">
        <v>0</v>
      </c>
      <c r="L879">
        <v>338447.25</v>
      </c>
      <c r="M879" t="s">
        <v>23</v>
      </c>
      <c r="N879" t="s">
        <v>24</v>
      </c>
      <c r="O879" t="s">
        <v>35</v>
      </c>
      <c r="P879" t="s">
        <v>102</v>
      </c>
    </row>
    <row r="880" spans="1:16" x14ac:dyDescent="0.3">
      <c r="A880" t="s">
        <v>1222</v>
      </c>
      <c r="B880" s="1">
        <v>45699</v>
      </c>
      <c r="C880" t="s">
        <v>542</v>
      </c>
      <c r="D880" t="s">
        <v>38</v>
      </c>
      <c r="E880" t="s">
        <v>39</v>
      </c>
      <c r="F880" t="s">
        <v>40</v>
      </c>
      <c r="G880" t="s">
        <v>32</v>
      </c>
      <c r="H880" t="s">
        <v>47</v>
      </c>
      <c r="I880">
        <v>1</v>
      </c>
      <c r="J880">
        <v>1669.7</v>
      </c>
      <c r="K880">
        <v>0.1</v>
      </c>
      <c r="L880">
        <v>1502.73</v>
      </c>
      <c r="M880" t="s">
        <v>76</v>
      </c>
      <c r="N880" t="s">
        <v>58</v>
      </c>
      <c r="O880" t="s">
        <v>25</v>
      </c>
      <c r="P880" t="s">
        <v>102</v>
      </c>
    </row>
    <row r="881" spans="1:16" x14ac:dyDescent="0.3">
      <c r="A881" t="s">
        <v>1223</v>
      </c>
      <c r="B881" s="1">
        <v>45917</v>
      </c>
      <c r="C881" t="s">
        <v>493</v>
      </c>
      <c r="D881" t="s">
        <v>176</v>
      </c>
      <c r="E881" t="s">
        <v>177</v>
      </c>
      <c r="F881" t="s">
        <v>31</v>
      </c>
      <c r="G881" t="s">
        <v>81</v>
      </c>
      <c r="H881" t="s">
        <v>135</v>
      </c>
      <c r="I881">
        <v>3</v>
      </c>
      <c r="J881">
        <v>2314.84</v>
      </c>
      <c r="K881">
        <v>0.03</v>
      </c>
      <c r="L881">
        <v>6736.18</v>
      </c>
      <c r="M881" t="s">
        <v>23</v>
      </c>
      <c r="N881" t="s">
        <v>71</v>
      </c>
      <c r="O881" t="s">
        <v>25</v>
      </c>
      <c r="P881" t="s">
        <v>72</v>
      </c>
    </row>
    <row r="882" spans="1:16" x14ac:dyDescent="0.3">
      <c r="A882" t="s">
        <v>1224</v>
      </c>
      <c r="B882" s="1">
        <v>45962</v>
      </c>
      <c r="C882" t="s">
        <v>236</v>
      </c>
      <c r="D882" t="s">
        <v>18</v>
      </c>
      <c r="E882" t="s">
        <v>19</v>
      </c>
      <c r="F882" t="s">
        <v>20</v>
      </c>
      <c r="G882" t="s">
        <v>56</v>
      </c>
      <c r="H882" t="s">
        <v>57</v>
      </c>
      <c r="I882">
        <v>1</v>
      </c>
      <c r="J882">
        <v>902.88</v>
      </c>
      <c r="K882">
        <v>0.05</v>
      </c>
      <c r="L882">
        <v>857.74</v>
      </c>
      <c r="M882" t="s">
        <v>48</v>
      </c>
      <c r="N882" t="s">
        <v>49</v>
      </c>
      <c r="O882" t="s">
        <v>25</v>
      </c>
      <c r="P882" t="s">
        <v>111</v>
      </c>
    </row>
    <row r="883" spans="1:16" x14ac:dyDescent="0.3">
      <c r="A883" t="s">
        <v>1225</v>
      </c>
      <c r="B883" s="1">
        <v>45885</v>
      </c>
      <c r="C883" t="s">
        <v>238</v>
      </c>
      <c r="D883" t="s">
        <v>89</v>
      </c>
      <c r="E883" t="s">
        <v>90</v>
      </c>
      <c r="F883" t="s">
        <v>20</v>
      </c>
      <c r="G883" t="s">
        <v>56</v>
      </c>
      <c r="H883" t="s">
        <v>123</v>
      </c>
      <c r="I883">
        <v>3</v>
      </c>
      <c r="J883">
        <v>677.46</v>
      </c>
      <c r="K883">
        <v>0.2</v>
      </c>
      <c r="L883">
        <v>1625.9</v>
      </c>
      <c r="M883" t="s">
        <v>76</v>
      </c>
      <c r="N883" t="s">
        <v>34</v>
      </c>
      <c r="O883" t="s">
        <v>65</v>
      </c>
      <c r="P883" t="s">
        <v>26</v>
      </c>
    </row>
    <row r="884" spans="1:16" x14ac:dyDescent="0.3">
      <c r="A884" t="s">
        <v>1226</v>
      </c>
      <c r="B884" s="1">
        <v>45990</v>
      </c>
      <c r="C884" t="s">
        <v>186</v>
      </c>
      <c r="D884" t="s">
        <v>62</v>
      </c>
      <c r="E884" t="s">
        <v>63</v>
      </c>
      <c r="F884" t="s">
        <v>31</v>
      </c>
      <c r="G884" t="s">
        <v>32</v>
      </c>
      <c r="H884" t="s">
        <v>47</v>
      </c>
      <c r="I884">
        <v>1</v>
      </c>
      <c r="J884">
        <v>2850.51</v>
      </c>
      <c r="K884">
        <v>0.08</v>
      </c>
      <c r="L884">
        <v>2622.47</v>
      </c>
      <c r="M884" t="s">
        <v>48</v>
      </c>
      <c r="N884" t="s">
        <v>71</v>
      </c>
      <c r="O884" t="s">
        <v>25</v>
      </c>
      <c r="P884" t="s">
        <v>50</v>
      </c>
    </row>
    <row r="885" spans="1:16" x14ac:dyDescent="0.3">
      <c r="A885" t="s">
        <v>1227</v>
      </c>
      <c r="B885" s="1">
        <v>45639</v>
      </c>
      <c r="C885" t="s">
        <v>84</v>
      </c>
      <c r="D885" t="s">
        <v>79</v>
      </c>
      <c r="E885" t="s">
        <v>80</v>
      </c>
      <c r="F885" t="s">
        <v>31</v>
      </c>
      <c r="G885" t="s">
        <v>21</v>
      </c>
      <c r="H885" t="s">
        <v>41</v>
      </c>
      <c r="I885">
        <v>1</v>
      </c>
      <c r="J885">
        <v>13075.51</v>
      </c>
      <c r="K885">
        <v>0.1</v>
      </c>
      <c r="L885">
        <v>11767.96</v>
      </c>
      <c r="M885" t="s">
        <v>76</v>
      </c>
      <c r="N885" t="s">
        <v>49</v>
      </c>
      <c r="O885" t="s">
        <v>65</v>
      </c>
      <c r="P885" t="s">
        <v>72</v>
      </c>
    </row>
    <row r="886" spans="1:16" x14ac:dyDescent="0.3">
      <c r="A886" t="s">
        <v>1228</v>
      </c>
      <c r="B886" s="1">
        <v>45294</v>
      </c>
      <c r="C886" t="s">
        <v>683</v>
      </c>
      <c r="D886" t="s">
        <v>45</v>
      </c>
      <c r="E886" t="s">
        <v>46</v>
      </c>
      <c r="F886" t="s">
        <v>31</v>
      </c>
      <c r="G886" t="s">
        <v>32</v>
      </c>
      <c r="H886" t="s">
        <v>68</v>
      </c>
      <c r="I886">
        <v>5</v>
      </c>
      <c r="J886">
        <v>1934.62</v>
      </c>
      <c r="K886">
        <v>0.05</v>
      </c>
      <c r="L886">
        <v>9189.44</v>
      </c>
      <c r="M886" t="s">
        <v>23</v>
      </c>
      <c r="N886" t="s">
        <v>49</v>
      </c>
      <c r="O886" t="s">
        <v>65</v>
      </c>
      <c r="P886" t="s">
        <v>42</v>
      </c>
    </row>
    <row r="887" spans="1:16" x14ac:dyDescent="0.3">
      <c r="A887" t="s">
        <v>1229</v>
      </c>
      <c r="B887" s="1">
        <v>45984</v>
      </c>
      <c r="C887" t="s">
        <v>493</v>
      </c>
      <c r="D887" t="s">
        <v>131</v>
      </c>
      <c r="E887" t="s">
        <v>132</v>
      </c>
      <c r="F887" t="s">
        <v>40</v>
      </c>
      <c r="G887" t="s">
        <v>32</v>
      </c>
      <c r="H887" t="s">
        <v>68</v>
      </c>
      <c r="I887">
        <v>1</v>
      </c>
      <c r="J887">
        <v>9666.42</v>
      </c>
      <c r="K887">
        <v>0</v>
      </c>
      <c r="L887">
        <v>9666.42</v>
      </c>
      <c r="M887" t="s">
        <v>48</v>
      </c>
      <c r="N887" t="s">
        <v>24</v>
      </c>
      <c r="O887" t="s">
        <v>65</v>
      </c>
      <c r="P887" t="s">
        <v>50</v>
      </c>
    </row>
    <row r="888" spans="1:16" x14ac:dyDescent="0.3">
      <c r="A888" t="s">
        <v>1230</v>
      </c>
      <c r="B888" s="1">
        <v>45308</v>
      </c>
      <c r="C888" t="s">
        <v>1063</v>
      </c>
      <c r="D888" t="s">
        <v>170</v>
      </c>
      <c r="E888" t="s">
        <v>171</v>
      </c>
      <c r="F888" t="s">
        <v>31</v>
      </c>
      <c r="G888" t="s">
        <v>21</v>
      </c>
      <c r="H888" t="s">
        <v>93</v>
      </c>
      <c r="I888">
        <v>1</v>
      </c>
      <c r="J888">
        <v>67544.320000000007</v>
      </c>
      <c r="K888">
        <v>0.03</v>
      </c>
      <c r="L888">
        <v>65517.99</v>
      </c>
      <c r="M888" t="s">
        <v>48</v>
      </c>
      <c r="N888" t="s">
        <v>34</v>
      </c>
      <c r="O888" t="s">
        <v>65</v>
      </c>
      <c r="P888" t="s">
        <v>26</v>
      </c>
    </row>
    <row r="889" spans="1:16" x14ac:dyDescent="0.3">
      <c r="A889" t="s">
        <v>1231</v>
      </c>
      <c r="B889" s="1">
        <v>45668</v>
      </c>
      <c r="C889" t="s">
        <v>67</v>
      </c>
      <c r="D889" t="s">
        <v>89</v>
      </c>
      <c r="E889" t="s">
        <v>90</v>
      </c>
      <c r="F889" t="s">
        <v>20</v>
      </c>
      <c r="G889" t="s">
        <v>56</v>
      </c>
      <c r="H889" t="s">
        <v>101</v>
      </c>
      <c r="I889">
        <v>5</v>
      </c>
      <c r="J889">
        <v>683.37</v>
      </c>
      <c r="K889">
        <v>0.1</v>
      </c>
      <c r="L889">
        <v>3075.16</v>
      </c>
      <c r="M889" t="s">
        <v>48</v>
      </c>
      <c r="N889" t="s">
        <v>34</v>
      </c>
      <c r="O889" t="s">
        <v>65</v>
      </c>
      <c r="P889" t="s">
        <v>102</v>
      </c>
    </row>
    <row r="890" spans="1:16" x14ac:dyDescent="0.3">
      <c r="A890" t="s">
        <v>1232</v>
      </c>
      <c r="B890" s="1">
        <v>46059</v>
      </c>
      <c r="C890" t="s">
        <v>493</v>
      </c>
      <c r="D890" t="s">
        <v>79</v>
      </c>
      <c r="E890" t="s">
        <v>80</v>
      </c>
      <c r="F890" t="s">
        <v>31</v>
      </c>
      <c r="G890" t="s">
        <v>756</v>
      </c>
      <c r="H890" t="s">
        <v>75</v>
      </c>
      <c r="I890">
        <v>3</v>
      </c>
      <c r="J890">
        <v>11575.11</v>
      </c>
      <c r="K890">
        <v>0.05</v>
      </c>
      <c r="L890">
        <v>32989.06</v>
      </c>
      <c r="M890" t="s">
        <v>48</v>
      </c>
      <c r="N890" t="s">
        <v>49</v>
      </c>
      <c r="O890" t="s">
        <v>65</v>
      </c>
      <c r="P890" t="s">
        <v>42</v>
      </c>
    </row>
    <row r="891" spans="1:16" x14ac:dyDescent="0.3">
      <c r="A891" t="s">
        <v>1233</v>
      </c>
      <c r="B891" s="1">
        <v>45952</v>
      </c>
      <c r="C891" t="s">
        <v>1211</v>
      </c>
      <c r="D891" t="s">
        <v>62</v>
      </c>
      <c r="E891" t="s">
        <v>63</v>
      </c>
      <c r="F891" t="s">
        <v>31</v>
      </c>
      <c r="G891" t="s">
        <v>81</v>
      </c>
      <c r="H891" t="s">
        <v>87</v>
      </c>
      <c r="I891">
        <v>2</v>
      </c>
      <c r="J891">
        <v>3021.47</v>
      </c>
      <c r="K891">
        <v>0.2</v>
      </c>
      <c r="L891">
        <v>4834.3500000000004</v>
      </c>
      <c r="M891" t="s">
        <v>23</v>
      </c>
      <c r="N891" t="s">
        <v>34</v>
      </c>
      <c r="O891" t="s">
        <v>65</v>
      </c>
      <c r="P891" t="s">
        <v>50</v>
      </c>
    </row>
    <row r="892" spans="1:16" x14ac:dyDescent="0.3">
      <c r="A892" t="s">
        <v>1234</v>
      </c>
      <c r="B892" s="1">
        <v>45374</v>
      </c>
      <c r="C892" t="s">
        <v>520</v>
      </c>
      <c r="D892" t="s">
        <v>18</v>
      </c>
      <c r="E892" t="s">
        <v>19</v>
      </c>
      <c r="F892" t="s">
        <v>20</v>
      </c>
      <c r="G892" t="s">
        <v>32</v>
      </c>
      <c r="H892" t="s">
        <v>47</v>
      </c>
      <c r="I892">
        <v>5</v>
      </c>
      <c r="J892">
        <v>892.4</v>
      </c>
      <c r="K892">
        <v>0.2</v>
      </c>
      <c r="L892">
        <v>3569.6</v>
      </c>
      <c r="M892" t="s">
        <v>76</v>
      </c>
      <c r="N892" t="s">
        <v>49</v>
      </c>
      <c r="O892" t="s">
        <v>35</v>
      </c>
      <c r="P892" t="s">
        <v>72</v>
      </c>
    </row>
    <row r="893" spans="1:16" x14ac:dyDescent="0.3">
      <c r="A893" t="s">
        <v>1235</v>
      </c>
      <c r="B893" s="1">
        <v>45921</v>
      </c>
      <c r="C893" t="s">
        <v>291</v>
      </c>
      <c r="D893" t="s">
        <v>105</v>
      </c>
      <c r="E893" t="s">
        <v>106</v>
      </c>
      <c r="F893" t="s">
        <v>40</v>
      </c>
      <c r="G893" t="s">
        <v>81</v>
      </c>
      <c r="H893" t="s">
        <v>82</v>
      </c>
      <c r="I893">
        <v>1</v>
      </c>
      <c r="J893">
        <v>7513.25</v>
      </c>
      <c r="K893">
        <v>0</v>
      </c>
      <c r="L893">
        <v>7513.25</v>
      </c>
      <c r="M893" t="s">
        <v>76</v>
      </c>
      <c r="N893" t="s">
        <v>24</v>
      </c>
      <c r="O893" t="s">
        <v>65</v>
      </c>
      <c r="P893" t="s">
        <v>102</v>
      </c>
    </row>
    <row r="894" spans="1:16" x14ac:dyDescent="0.3">
      <c r="A894" t="s">
        <v>1236</v>
      </c>
      <c r="B894" s="1">
        <v>45765</v>
      </c>
      <c r="C894" t="s">
        <v>554</v>
      </c>
      <c r="D894" t="s">
        <v>176</v>
      </c>
      <c r="E894" t="s">
        <v>177</v>
      </c>
      <c r="F894" t="s">
        <v>31</v>
      </c>
      <c r="G894" t="s">
        <v>21</v>
      </c>
      <c r="H894" t="s">
        <v>126</v>
      </c>
      <c r="I894">
        <v>2</v>
      </c>
      <c r="J894">
        <v>2237.0500000000002</v>
      </c>
      <c r="K894">
        <v>0.2</v>
      </c>
      <c r="L894">
        <v>3579.28</v>
      </c>
      <c r="M894" t="s">
        <v>48</v>
      </c>
      <c r="N894" t="s">
        <v>49</v>
      </c>
      <c r="O894" t="s">
        <v>65</v>
      </c>
      <c r="P894" t="s">
        <v>116</v>
      </c>
    </row>
    <row r="895" spans="1:16" x14ac:dyDescent="0.3">
      <c r="A895" t="s">
        <v>1237</v>
      </c>
      <c r="B895" s="1">
        <v>45755</v>
      </c>
      <c r="C895" t="s">
        <v>181</v>
      </c>
      <c r="D895" t="s">
        <v>105</v>
      </c>
      <c r="E895" t="s">
        <v>106</v>
      </c>
      <c r="F895" t="s">
        <v>40</v>
      </c>
      <c r="G895" t="s">
        <v>21</v>
      </c>
      <c r="H895" t="s">
        <v>22</v>
      </c>
      <c r="I895">
        <v>5</v>
      </c>
      <c r="J895">
        <v>7580.56</v>
      </c>
      <c r="K895">
        <v>0.1</v>
      </c>
      <c r="L895">
        <v>34112.519999999997</v>
      </c>
      <c r="M895" t="s">
        <v>76</v>
      </c>
      <c r="N895" t="s">
        <v>49</v>
      </c>
      <c r="O895" t="s">
        <v>35</v>
      </c>
      <c r="P895" t="s">
        <v>116</v>
      </c>
    </row>
    <row r="896" spans="1:16" x14ac:dyDescent="0.3">
      <c r="A896" t="s">
        <v>1238</v>
      </c>
      <c r="B896" s="1">
        <v>46002</v>
      </c>
      <c r="C896" t="s">
        <v>95</v>
      </c>
      <c r="D896" t="s">
        <v>96</v>
      </c>
      <c r="E896" t="s">
        <v>97</v>
      </c>
      <c r="F896" t="s">
        <v>31</v>
      </c>
      <c r="G896" t="s">
        <v>21</v>
      </c>
      <c r="H896" t="s">
        <v>126</v>
      </c>
      <c r="I896">
        <v>4</v>
      </c>
      <c r="J896">
        <v>1204.54</v>
      </c>
      <c r="K896">
        <v>0.08</v>
      </c>
      <c r="L896">
        <v>4432.71</v>
      </c>
      <c r="M896" t="s">
        <v>48</v>
      </c>
      <c r="N896" t="s">
        <v>58</v>
      </c>
      <c r="O896" t="s">
        <v>65</v>
      </c>
      <c r="P896" t="s">
        <v>59</v>
      </c>
    </row>
    <row r="897" spans="1:16" x14ac:dyDescent="0.3">
      <c r="A897" t="s">
        <v>1239</v>
      </c>
      <c r="B897" s="1">
        <v>45476</v>
      </c>
      <c r="C897" t="s">
        <v>128</v>
      </c>
      <c r="D897" t="s">
        <v>105</v>
      </c>
      <c r="E897" t="s">
        <v>106</v>
      </c>
      <c r="F897" t="s">
        <v>40</v>
      </c>
      <c r="G897" t="s">
        <v>56</v>
      </c>
      <c r="H897" t="s">
        <v>57</v>
      </c>
      <c r="I897">
        <v>2</v>
      </c>
      <c r="J897">
        <v>7425.72</v>
      </c>
      <c r="K897">
        <v>0.05</v>
      </c>
      <c r="L897">
        <v>14108.87</v>
      </c>
      <c r="M897" t="s">
        <v>76</v>
      </c>
      <c r="N897" t="s">
        <v>49</v>
      </c>
      <c r="O897" t="s">
        <v>65</v>
      </c>
      <c r="P897" t="s">
        <v>50</v>
      </c>
    </row>
    <row r="898" spans="1:16" x14ac:dyDescent="0.3">
      <c r="A898" t="s">
        <v>1240</v>
      </c>
      <c r="B898" s="1">
        <v>45705</v>
      </c>
      <c r="C898" t="s">
        <v>1241</v>
      </c>
      <c r="D898" t="s">
        <v>105</v>
      </c>
      <c r="E898" t="s">
        <v>106</v>
      </c>
      <c r="F898" t="s">
        <v>40</v>
      </c>
      <c r="G898" t="s">
        <v>56</v>
      </c>
      <c r="H898" t="s">
        <v>123</v>
      </c>
      <c r="I898">
        <v>1</v>
      </c>
      <c r="J898">
        <v>6909.89</v>
      </c>
      <c r="K898">
        <v>0.08</v>
      </c>
      <c r="L898">
        <v>6357.1</v>
      </c>
      <c r="M898" t="s">
        <v>76</v>
      </c>
      <c r="N898" t="s">
        <v>24</v>
      </c>
      <c r="O898" t="s">
        <v>35</v>
      </c>
      <c r="P898" t="s">
        <v>59</v>
      </c>
    </row>
    <row r="899" spans="1:16" x14ac:dyDescent="0.3">
      <c r="A899" t="s">
        <v>1242</v>
      </c>
      <c r="B899" s="1">
        <v>45903</v>
      </c>
      <c r="C899" t="s">
        <v>306</v>
      </c>
      <c r="D899" t="s">
        <v>62</v>
      </c>
      <c r="E899" t="s">
        <v>63</v>
      </c>
      <c r="F899" t="s">
        <v>31</v>
      </c>
      <c r="G899" t="s">
        <v>56</v>
      </c>
      <c r="H899" t="s">
        <v>101</v>
      </c>
      <c r="I899">
        <v>5</v>
      </c>
      <c r="J899">
        <v>2868.71</v>
      </c>
      <c r="K899">
        <v>0.05</v>
      </c>
      <c r="L899">
        <v>13626.37</v>
      </c>
      <c r="M899" t="s">
        <v>23</v>
      </c>
      <c r="N899" t="s">
        <v>71</v>
      </c>
      <c r="O899" t="s">
        <v>25</v>
      </c>
      <c r="P899" t="s">
        <v>111</v>
      </c>
    </row>
    <row r="900" spans="1:16" x14ac:dyDescent="0.3">
      <c r="A900" t="s">
        <v>1243</v>
      </c>
      <c r="B900" s="1">
        <v>46100</v>
      </c>
      <c r="C900" t="s">
        <v>210</v>
      </c>
      <c r="D900" t="s">
        <v>53</v>
      </c>
      <c r="E900" t="s">
        <v>54</v>
      </c>
      <c r="F900" t="s">
        <v>55</v>
      </c>
      <c r="G900" t="s">
        <v>32</v>
      </c>
      <c r="H900" t="s">
        <v>47</v>
      </c>
      <c r="I900">
        <v>3</v>
      </c>
      <c r="J900">
        <v>215.67</v>
      </c>
      <c r="K900">
        <v>0</v>
      </c>
      <c r="L900">
        <v>647.01</v>
      </c>
      <c r="M900" t="s">
        <v>23</v>
      </c>
      <c r="N900" t="s">
        <v>49</v>
      </c>
      <c r="O900" t="s">
        <v>65</v>
      </c>
      <c r="P900" t="s">
        <v>26</v>
      </c>
    </row>
    <row r="901" spans="1:16" x14ac:dyDescent="0.3">
      <c r="A901" t="s">
        <v>1244</v>
      </c>
      <c r="B901" s="1">
        <v>45809</v>
      </c>
      <c r="C901" t="s">
        <v>443</v>
      </c>
      <c r="D901" t="s">
        <v>45</v>
      </c>
      <c r="E901" t="s">
        <v>46</v>
      </c>
      <c r="F901" t="s">
        <v>31</v>
      </c>
      <c r="G901" t="s">
        <v>56</v>
      </c>
      <c r="H901" t="s">
        <v>64</v>
      </c>
      <c r="I901">
        <v>1</v>
      </c>
      <c r="J901">
        <v>1927.11</v>
      </c>
      <c r="K901">
        <v>0.2</v>
      </c>
      <c r="L901">
        <v>1541.69</v>
      </c>
      <c r="M901" t="s">
        <v>48</v>
      </c>
      <c r="N901" t="s">
        <v>71</v>
      </c>
      <c r="O901" t="s">
        <v>25</v>
      </c>
      <c r="P901" t="s">
        <v>111</v>
      </c>
    </row>
    <row r="902" spans="1:16" x14ac:dyDescent="0.3">
      <c r="A902" t="s">
        <v>1245</v>
      </c>
      <c r="B902" s="1">
        <v>45912</v>
      </c>
      <c r="C902" t="s">
        <v>285</v>
      </c>
      <c r="D902" t="s">
        <v>89</v>
      </c>
      <c r="E902" t="s">
        <v>90</v>
      </c>
      <c r="F902" t="s">
        <v>20</v>
      </c>
      <c r="G902" t="s">
        <v>32</v>
      </c>
      <c r="H902" t="s">
        <v>33</v>
      </c>
      <c r="I902">
        <v>5</v>
      </c>
      <c r="J902">
        <v>672.14</v>
      </c>
      <c r="K902">
        <v>0</v>
      </c>
      <c r="L902">
        <v>3360.7</v>
      </c>
      <c r="M902" t="s">
        <v>23</v>
      </c>
      <c r="N902" t="s">
        <v>49</v>
      </c>
      <c r="O902" t="s">
        <v>35</v>
      </c>
      <c r="P902" t="s">
        <v>111</v>
      </c>
    </row>
    <row r="903" spans="1:16" x14ac:dyDescent="0.3">
      <c r="A903" t="s">
        <v>1246</v>
      </c>
      <c r="B903" s="1">
        <v>45822</v>
      </c>
      <c r="C903" t="s">
        <v>339</v>
      </c>
      <c r="D903" t="s">
        <v>176</v>
      </c>
      <c r="E903" t="s">
        <v>177</v>
      </c>
      <c r="F903" t="s">
        <v>31</v>
      </c>
      <c r="G903" t="s">
        <v>21</v>
      </c>
      <c r="H903" t="s">
        <v>126</v>
      </c>
      <c r="I903">
        <v>3</v>
      </c>
      <c r="J903">
        <v>2112.86</v>
      </c>
      <c r="K903">
        <v>0.08</v>
      </c>
      <c r="L903">
        <v>5831.49</v>
      </c>
      <c r="M903" t="s">
        <v>76</v>
      </c>
      <c r="N903" t="s">
        <v>71</v>
      </c>
      <c r="O903" t="s">
        <v>65</v>
      </c>
      <c r="P903" t="s">
        <v>26</v>
      </c>
    </row>
    <row r="904" spans="1:16" x14ac:dyDescent="0.3">
      <c r="A904" t="s">
        <v>1247</v>
      </c>
      <c r="B904" s="1">
        <v>45925</v>
      </c>
      <c r="C904" t="s">
        <v>792</v>
      </c>
      <c r="D904" t="s">
        <v>18</v>
      </c>
      <c r="E904" t="s">
        <v>19</v>
      </c>
      <c r="F904" t="s">
        <v>20</v>
      </c>
      <c r="G904" t="s">
        <v>32</v>
      </c>
      <c r="H904" t="s">
        <v>33</v>
      </c>
      <c r="I904">
        <v>4</v>
      </c>
      <c r="J904">
        <v>894.37</v>
      </c>
      <c r="K904">
        <v>0.1</v>
      </c>
      <c r="L904">
        <v>3219.73</v>
      </c>
      <c r="M904" t="s">
        <v>48</v>
      </c>
      <c r="N904" t="s">
        <v>71</v>
      </c>
      <c r="O904" t="s">
        <v>65</v>
      </c>
      <c r="P904" t="s">
        <v>50</v>
      </c>
    </row>
    <row r="905" spans="1:16" x14ac:dyDescent="0.3">
      <c r="A905" t="s">
        <v>1248</v>
      </c>
      <c r="B905" s="1">
        <v>45469</v>
      </c>
      <c r="C905" t="s">
        <v>339</v>
      </c>
      <c r="D905" t="s">
        <v>176</v>
      </c>
      <c r="E905" t="s">
        <v>177</v>
      </c>
      <c r="F905" t="s">
        <v>31</v>
      </c>
      <c r="G905" t="s">
        <v>21</v>
      </c>
      <c r="H905" t="s">
        <v>22</v>
      </c>
      <c r="I905">
        <v>3</v>
      </c>
      <c r="J905">
        <v>2066.04</v>
      </c>
      <c r="K905">
        <v>0.05</v>
      </c>
      <c r="L905">
        <v>5888.21</v>
      </c>
      <c r="M905" t="s">
        <v>23</v>
      </c>
      <c r="N905" t="s">
        <v>71</v>
      </c>
      <c r="O905" t="s">
        <v>65</v>
      </c>
      <c r="P905" t="s">
        <v>59</v>
      </c>
    </row>
    <row r="906" spans="1:16" x14ac:dyDescent="0.3">
      <c r="A906" t="s">
        <v>1249</v>
      </c>
      <c r="B906" s="1">
        <v>45789</v>
      </c>
      <c r="C906" t="s">
        <v>1250</v>
      </c>
      <c r="D906" t="s">
        <v>176</v>
      </c>
      <c r="E906" t="s">
        <v>177</v>
      </c>
      <c r="F906" t="s">
        <v>31</v>
      </c>
      <c r="G906" t="s">
        <v>56</v>
      </c>
      <c r="H906" t="s">
        <v>64</v>
      </c>
      <c r="I906">
        <v>1</v>
      </c>
      <c r="J906">
        <v>2122.92</v>
      </c>
      <c r="K906">
        <v>0</v>
      </c>
      <c r="L906">
        <v>2122.92</v>
      </c>
      <c r="M906" t="s">
        <v>23</v>
      </c>
      <c r="N906" t="s">
        <v>58</v>
      </c>
      <c r="O906" t="s">
        <v>65</v>
      </c>
      <c r="P906" t="s">
        <v>59</v>
      </c>
    </row>
    <row r="907" spans="1:16" x14ac:dyDescent="0.3">
      <c r="A907" t="s">
        <v>1251</v>
      </c>
      <c r="B907" s="1">
        <v>46008</v>
      </c>
      <c r="C907" t="s">
        <v>389</v>
      </c>
      <c r="D907" t="s">
        <v>29</v>
      </c>
      <c r="E907" t="s">
        <v>30</v>
      </c>
      <c r="F907" t="s">
        <v>31</v>
      </c>
      <c r="G907" t="s">
        <v>32</v>
      </c>
      <c r="J907">
        <v>2965.52</v>
      </c>
      <c r="K907">
        <v>0.08</v>
      </c>
      <c r="L907">
        <v>5456.56</v>
      </c>
      <c r="M907" t="s">
        <v>76</v>
      </c>
      <c r="N907" t="s">
        <v>71</v>
      </c>
      <c r="O907" t="s">
        <v>35</v>
      </c>
      <c r="P907" t="s">
        <v>111</v>
      </c>
    </row>
    <row r="908" spans="1:16" x14ac:dyDescent="0.3">
      <c r="A908" t="s">
        <v>1252</v>
      </c>
      <c r="B908" s="1">
        <v>46168</v>
      </c>
      <c r="C908" t="s">
        <v>808</v>
      </c>
      <c r="D908" t="s">
        <v>96</v>
      </c>
      <c r="E908" t="s">
        <v>97</v>
      </c>
      <c r="F908" t="s">
        <v>31</v>
      </c>
      <c r="G908" t="s">
        <v>81</v>
      </c>
      <c r="H908" t="s">
        <v>82</v>
      </c>
      <c r="I908">
        <v>5</v>
      </c>
      <c r="J908">
        <v>1203.4100000000001</v>
      </c>
      <c r="K908">
        <v>0.15</v>
      </c>
      <c r="L908">
        <v>5114.49</v>
      </c>
      <c r="M908" t="s">
        <v>48</v>
      </c>
      <c r="N908" t="s">
        <v>24</v>
      </c>
      <c r="O908" t="s">
        <v>65</v>
      </c>
      <c r="P908" t="s">
        <v>26</v>
      </c>
    </row>
    <row r="909" spans="1:16" x14ac:dyDescent="0.3">
      <c r="A909" t="s">
        <v>1253</v>
      </c>
      <c r="B909" s="1">
        <v>46000</v>
      </c>
      <c r="D909" t="s">
        <v>131</v>
      </c>
      <c r="E909" t="s">
        <v>132</v>
      </c>
      <c r="F909" t="s">
        <v>40</v>
      </c>
      <c r="G909" t="s">
        <v>81</v>
      </c>
      <c r="H909" t="s">
        <v>98</v>
      </c>
      <c r="I909">
        <v>1</v>
      </c>
      <c r="J909">
        <v>9544.35</v>
      </c>
      <c r="K909">
        <v>0.15</v>
      </c>
      <c r="L909">
        <v>8112.7</v>
      </c>
      <c r="M909" t="s">
        <v>23</v>
      </c>
      <c r="N909" t="s">
        <v>34</v>
      </c>
      <c r="O909" t="s">
        <v>65</v>
      </c>
      <c r="P909" t="s">
        <v>72</v>
      </c>
    </row>
    <row r="910" spans="1:16" x14ac:dyDescent="0.3">
      <c r="A910" t="s">
        <v>1254</v>
      </c>
      <c r="B910" s="1">
        <v>45933</v>
      </c>
      <c r="C910" t="s">
        <v>61</v>
      </c>
      <c r="D910" t="s">
        <v>45</v>
      </c>
      <c r="E910" t="s">
        <v>46</v>
      </c>
      <c r="F910" t="s">
        <v>31</v>
      </c>
      <c r="G910" t="s">
        <v>32</v>
      </c>
      <c r="H910" t="s">
        <v>75</v>
      </c>
      <c r="I910">
        <v>4</v>
      </c>
      <c r="J910">
        <v>1909.84</v>
      </c>
      <c r="K910">
        <v>0.15</v>
      </c>
      <c r="L910">
        <v>6493.46</v>
      </c>
      <c r="M910" t="s">
        <v>76</v>
      </c>
      <c r="N910" t="s">
        <v>71</v>
      </c>
      <c r="O910" t="s">
        <v>65</v>
      </c>
      <c r="P910" t="s">
        <v>116</v>
      </c>
    </row>
    <row r="911" spans="1:16" x14ac:dyDescent="0.3">
      <c r="A911" t="s">
        <v>1255</v>
      </c>
      <c r="B911" s="1">
        <v>45558</v>
      </c>
      <c r="C911" t="s">
        <v>365</v>
      </c>
      <c r="D911" t="s">
        <v>18</v>
      </c>
      <c r="E911" t="s">
        <v>19</v>
      </c>
      <c r="F911" t="s">
        <v>20</v>
      </c>
      <c r="G911" t="s">
        <v>81</v>
      </c>
      <c r="H911" t="s">
        <v>82</v>
      </c>
      <c r="I911">
        <v>4</v>
      </c>
      <c r="J911">
        <v>796.25</v>
      </c>
      <c r="K911">
        <v>0.2</v>
      </c>
      <c r="L911">
        <v>2548</v>
      </c>
      <c r="M911" t="s">
        <v>76</v>
      </c>
      <c r="N911" t="s">
        <v>58</v>
      </c>
      <c r="O911" t="s">
        <v>65</v>
      </c>
      <c r="P911" t="s">
        <v>42</v>
      </c>
    </row>
    <row r="912" spans="1:16" x14ac:dyDescent="0.3">
      <c r="A912" t="s">
        <v>1256</v>
      </c>
      <c r="B912" s="1">
        <v>45800</v>
      </c>
      <c r="C912" t="s">
        <v>1257</v>
      </c>
      <c r="D912" t="s">
        <v>85</v>
      </c>
      <c r="E912" t="s">
        <v>86</v>
      </c>
      <c r="F912" t="s">
        <v>20</v>
      </c>
      <c r="G912" t="s">
        <v>21</v>
      </c>
      <c r="H912" t="s">
        <v>22</v>
      </c>
      <c r="I912">
        <v>4</v>
      </c>
      <c r="J912">
        <v>1906.21</v>
      </c>
      <c r="K912">
        <v>0.2</v>
      </c>
      <c r="L912">
        <v>6099.87</v>
      </c>
      <c r="M912" t="s">
        <v>23</v>
      </c>
      <c r="N912" t="s">
        <v>24</v>
      </c>
      <c r="O912" t="s">
        <v>65</v>
      </c>
      <c r="P912" t="s">
        <v>26</v>
      </c>
    </row>
    <row r="913" spans="1:16" x14ac:dyDescent="0.3">
      <c r="A913" t="s">
        <v>1258</v>
      </c>
      <c r="B913" s="1">
        <v>45300</v>
      </c>
      <c r="C913" t="s">
        <v>262</v>
      </c>
      <c r="D913" t="s">
        <v>45</v>
      </c>
      <c r="E913" t="s">
        <v>46</v>
      </c>
      <c r="F913" t="s">
        <v>31</v>
      </c>
      <c r="G913" t="s">
        <v>21</v>
      </c>
      <c r="H913" t="s">
        <v>22</v>
      </c>
      <c r="I913">
        <v>5</v>
      </c>
      <c r="J913">
        <v>1817.71</v>
      </c>
      <c r="K913">
        <v>0.05</v>
      </c>
      <c r="L913">
        <v>8634.1200000000008</v>
      </c>
      <c r="M913" t="s">
        <v>76</v>
      </c>
      <c r="N913" t="s">
        <v>34</v>
      </c>
      <c r="O913" t="s">
        <v>35</v>
      </c>
      <c r="P913" t="s">
        <v>111</v>
      </c>
    </row>
    <row r="914" spans="1:16" x14ac:dyDescent="0.3">
      <c r="A914" t="s">
        <v>1259</v>
      </c>
      <c r="B914" s="1">
        <v>45879</v>
      </c>
      <c r="C914" t="s">
        <v>558</v>
      </c>
      <c r="D914" t="s">
        <v>62</v>
      </c>
      <c r="E914" t="s">
        <v>63</v>
      </c>
      <c r="F914" t="s">
        <v>31</v>
      </c>
      <c r="G914" t="s">
        <v>81</v>
      </c>
      <c r="H914" t="s">
        <v>135</v>
      </c>
      <c r="I914">
        <v>1</v>
      </c>
      <c r="J914">
        <v>2687.01</v>
      </c>
      <c r="K914">
        <v>0</v>
      </c>
      <c r="L914">
        <v>2687.01</v>
      </c>
      <c r="M914" t="s">
        <v>23</v>
      </c>
      <c r="N914" t="s">
        <v>24</v>
      </c>
      <c r="O914" t="s">
        <v>65</v>
      </c>
      <c r="P914" t="s">
        <v>72</v>
      </c>
    </row>
    <row r="915" spans="1:16" x14ac:dyDescent="0.3">
      <c r="A915" t="s">
        <v>1260</v>
      </c>
      <c r="B915" s="1">
        <v>45535</v>
      </c>
      <c r="C915" t="s">
        <v>70</v>
      </c>
      <c r="D915" t="s">
        <v>79</v>
      </c>
      <c r="E915" t="s">
        <v>80</v>
      </c>
      <c r="F915" t="s">
        <v>31</v>
      </c>
      <c r="G915" t="s">
        <v>21</v>
      </c>
      <c r="H915" t="s">
        <v>126</v>
      </c>
      <c r="I915">
        <v>1</v>
      </c>
      <c r="J915">
        <v>12287.54</v>
      </c>
      <c r="K915">
        <v>0.03</v>
      </c>
      <c r="L915">
        <v>11918.91</v>
      </c>
      <c r="M915" t="s">
        <v>48</v>
      </c>
      <c r="N915" t="s">
        <v>34</v>
      </c>
      <c r="O915" t="s">
        <v>65</v>
      </c>
      <c r="P915" t="s">
        <v>26</v>
      </c>
    </row>
    <row r="916" spans="1:16" x14ac:dyDescent="0.3">
      <c r="A916" t="s">
        <v>1261</v>
      </c>
      <c r="B916" s="1">
        <v>45864</v>
      </c>
      <c r="C916" t="s">
        <v>625</v>
      </c>
      <c r="D916" t="s">
        <v>85</v>
      </c>
      <c r="E916" t="s">
        <v>86</v>
      </c>
      <c r="F916" t="s">
        <v>20</v>
      </c>
      <c r="G916" t="s">
        <v>32</v>
      </c>
      <c r="H916" t="s">
        <v>33</v>
      </c>
      <c r="I916">
        <v>1</v>
      </c>
      <c r="J916">
        <v>1666.74</v>
      </c>
      <c r="K916">
        <v>0.05</v>
      </c>
      <c r="L916">
        <v>1583.4</v>
      </c>
      <c r="M916" t="s">
        <v>23</v>
      </c>
      <c r="N916" t="s">
        <v>71</v>
      </c>
      <c r="O916" t="s">
        <v>65</v>
      </c>
      <c r="P916" t="s">
        <v>116</v>
      </c>
    </row>
    <row r="917" spans="1:16" x14ac:dyDescent="0.3">
      <c r="A917" t="s">
        <v>1262</v>
      </c>
      <c r="B917" s="1">
        <v>45900</v>
      </c>
      <c r="C917" t="s">
        <v>173</v>
      </c>
      <c r="D917" t="s">
        <v>53</v>
      </c>
      <c r="E917" t="s">
        <v>54</v>
      </c>
      <c r="F917" t="s">
        <v>55</v>
      </c>
      <c r="G917" t="s">
        <v>56</v>
      </c>
      <c r="H917" t="s">
        <v>123</v>
      </c>
      <c r="I917">
        <v>4</v>
      </c>
      <c r="J917">
        <v>214.62</v>
      </c>
      <c r="K917">
        <v>0.1</v>
      </c>
      <c r="L917">
        <v>772.63</v>
      </c>
      <c r="M917" t="s">
        <v>76</v>
      </c>
      <c r="N917" t="s">
        <v>24</v>
      </c>
      <c r="O917" t="s">
        <v>35</v>
      </c>
      <c r="P917" t="s">
        <v>72</v>
      </c>
    </row>
    <row r="918" spans="1:16" x14ac:dyDescent="0.3">
      <c r="A918" t="s">
        <v>1263</v>
      </c>
      <c r="B918" s="1">
        <v>45773</v>
      </c>
      <c r="C918" t="s">
        <v>695</v>
      </c>
      <c r="D918" t="s">
        <v>121</v>
      </c>
      <c r="E918" t="s">
        <v>122</v>
      </c>
      <c r="F918" t="s">
        <v>55</v>
      </c>
      <c r="G918" t="s">
        <v>81</v>
      </c>
      <c r="H918" t="s">
        <v>87</v>
      </c>
      <c r="I918">
        <v>4</v>
      </c>
      <c r="J918">
        <v>419.42</v>
      </c>
      <c r="K918">
        <v>0.15</v>
      </c>
      <c r="L918">
        <v>1426.03</v>
      </c>
      <c r="M918" t="s">
        <v>48</v>
      </c>
      <c r="N918" t="s">
        <v>58</v>
      </c>
      <c r="O918" t="s">
        <v>65</v>
      </c>
      <c r="P918" t="s">
        <v>111</v>
      </c>
    </row>
    <row r="919" spans="1:16" x14ac:dyDescent="0.3">
      <c r="A919" t="s">
        <v>1264</v>
      </c>
      <c r="B919" s="1">
        <v>45305</v>
      </c>
      <c r="C919" t="s">
        <v>457</v>
      </c>
      <c r="D919" t="s">
        <v>96</v>
      </c>
      <c r="E919" t="s">
        <v>97</v>
      </c>
      <c r="F919" t="s">
        <v>31</v>
      </c>
      <c r="G919" t="s">
        <v>81</v>
      </c>
      <c r="H919" t="s">
        <v>82</v>
      </c>
      <c r="I919">
        <v>5</v>
      </c>
      <c r="J919">
        <v>1163.5999999999999</v>
      </c>
      <c r="K919">
        <v>0.08</v>
      </c>
      <c r="L919">
        <v>5352.56</v>
      </c>
      <c r="M919" t="s">
        <v>23</v>
      </c>
      <c r="N919" t="s">
        <v>58</v>
      </c>
      <c r="O919" t="s">
        <v>65</v>
      </c>
      <c r="P919" t="s">
        <v>111</v>
      </c>
    </row>
    <row r="920" spans="1:16" x14ac:dyDescent="0.3">
      <c r="A920" t="s">
        <v>1265</v>
      </c>
      <c r="B920" s="1">
        <v>45417</v>
      </c>
      <c r="C920" t="s">
        <v>394</v>
      </c>
      <c r="D920" t="s">
        <v>131</v>
      </c>
      <c r="E920" t="s">
        <v>132</v>
      </c>
      <c r="F920" t="s">
        <v>40</v>
      </c>
      <c r="G920" t="s">
        <v>56</v>
      </c>
      <c r="H920" t="s">
        <v>123</v>
      </c>
      <c r="I920">
        <v>4</v>
      </c>
      <c r="J920">
        <v>9326.0499999999993</v>
      </c>
      <c r="K920">
        <v>0.1</v>
      </c>
      <c r="L920">
        <v>33573.78</v>
      </c>
      <c r="M920" t="s">
        <v>23</v>
      </c>
      <c r="N920" t="s">
        <v>49</v>
      </c>
      <c r="O920" t="s">
        <v>65</v>
      </c>
      <c r="P920" t="s">
        <v>59</v>
      </c>
    </row>
    <row r="921" spans="1:16" x14ac:dyDescent="0.3">
      <c r="A921" t="s">
        <v>1266</v>
      </c>
      <c r="B921" s="1">
        <v>46199</v>
      </c>
      <c r="C921" t="s">
        <v>488</v>
      </c>
      <c r="D921" t="s">
        <v>45</v>
      </c>
      <c r="E921" t="s">
        <v>46</v>
      </c>
      <c r="F921" t="s">
        <v>31</v>
      </c>
      <c r="G921" t="s">
        <v>32</v>
      </c>
      <c r="H921" t="s">
        <v>33</v>
      </c>
      <c r="I921">
        <v>4</v>
      </c>
      <c r="J921">
        <v>1873.64</v>
      </c>
      <c r="K921">
        <v>0.03</v>
      </c>
      <c r="L921">
        <v>7269.72</v>
      </c>
      <c r="M921" t="s">
        <v>48</v>
      </c>
      <c r="N921" t="s">
        <v>71</v>
      </c>
      <c r="O921" t="s">
        <v>65</v>
      </c>
      <c r="P921" t="s">
        <v>26</v>
      </c>
    </row>
    <row r="922" spans="1:16" x14ac:dyDescent="0.3">
      <c r="A922" t="s">
        <v>1267</v>
      </c>
      <c r="B922" s="1">
        <v>46118</v>
      </c>
      <c r="C922" t="s">
        <v>362</v>
      </c>
      <c r="D922" t="s">
        <v>53</v>
      </c>
      <c r="E922" t="s">
        <v>54</v>
      </c>
      <c r="F922" t="s">
        <v>55</v>
      </c>
      <c r="G922" t="s">
        <v>81</v>
      </c>
      <c r="H922" t="s">
        <v>82</v>
      </c>
      <c r="I922">
        <v>3</v>
      </c>
      <c r="J922">
        <v>214.25</v>
      </c>
      <c r="K922">
        <v>0.03</v>
      </c>
      <c r="L922">
        <v>623.47</v>
      </c>
      <c r="M922" t="s">
        <v>48</v>
      </c>
      <c r="N922" t="s">
        <v>49</v>
      </c>
      <c r="O922" t="s">
        <v>65</v>
      </c>
      <c r="P922" t="s">
        <v>116</v>
      </c>
    </row>
    <row r="923" spans="1:16" x14ac:dyDescent="0.3">
      <c r="A923" t="s">
        <v>1268</v>
      </c>
      <c r="B923" s="1">
        <v>45330</v>
      </c>
      <c r="C923" t="s">
        <v>1269</v>
      </c>
      <c r="D923" t="s">
        <v>121</v>
      </c>
      <c r="E923" t="s">
        <v>122</v>
      </c>
      <c r="F923" t="s">
        <v>55</v>
      </c>
      <c r="G923" t="s">
        <v>56</v>
      </c>
      <c r="H923" t="s">
        <v>64</v>
      </c>
      <c r="I923">
        <v>3</v>
      </c>
      <c r="J923">
        <v>448.79</v>
      </c>
      <c r="K923">
        <v>0.2</v>
      </c>
      <c r="L923">
        <v>1077.0999999999999</v>
      </c>
      <c r="M923" t="s">
        <v>76</v>
      </c>
      <c r="N923" t="s">
        <v>49</v>
      </c>
      <c r="O923" t="s">
        <v>35</v>
      </c>
      <c r="P923" t="s">
        <v>102</v>
      </c>
    </row>
    <row r="924" spans="1:16" x14ac:dyDescent="0.3">
      <c r="A924" t="s">
        <v>1270</v>
      </c>
      <c r="B924" s="1">
        <v>45717</v>
      </c>
      <c r="C924" t="s">
        <v>746</v>
      </c>
      <c r="D924" t="s">
        <v>62</v>
      </c>
      <c r="E924" t="s">
        <v>63</v>
      </c>
      <c r="F924" t="s">
        <v>31</v>
      </c>
      <c r="G924" t="s">
        <v>32</v>
      </c>
      <c r="H924" t="s">
        <v>47</v>
      </c>
      <c r="I924">
        <v>3</v>
      </c>
      <c r="J924">
        <v>2836.14</v>
      </c>
      <c r="K924">
        <v>0</v>
      </c>
      <c r="L924">
        <v>8508.42</v>
      </c>
      <c r="M924" t="s">
        <v>48</v>
      </c>
      <c r="N924" t="s">
        <v>71</v>
      </c>
      <c r="O924" t="s">
        <v>25</v>
      </c>
      <c r="P924" t="s">
        <v>42</v>
      </c>
    </row>
    <row r="925" spans="1:16" x14ac:dyDescent="0.3">
      <c r="A925" t="s">
        <v>1271</v>
      </c>
      <c r="B925" s="1">
        <v>46038</v>
      </c>
      <c r="C925" t="s">
        <v>548</v>
      </c>
      <c r="D925" t="s">
        <v>53</v>
      </c>
      <c r="E925" t="s">
        <v>54</v>
      </c>
      <c r="F925" t="s">
        <v>55</v>
      </c>
      <c r="G925" t="s">
        <v>56</v>
      </c>
      <c r="H925" t="s">
        <v>64</v>
      </c>
      <c r="I925">
        <v>1</v>
      </c>
      <c r="J925">
        <v>222.43</v>
      </c>
      <c r="K925">
        <v>0</v>
      </c>
      <c r="L925">
        <v>222.43</v>
      </c>
      <c r="M925" t="s">
        <v>76</v>
      </c>
      <c r="N925" t="s">
        <v>71</v>
      </c>
      <c r="O925" t="s">
        <v>65</v>
      </c>
      <c r="P925" t="s">
        <v>59</v>
      </c>
    </row>
    <row r="926" spans="1:16" x14ac:dyDescent="0.3">
      <c r="A926" t="s">
        <v>1272</v>
      </c>
      <c r="B926" s="1">
        <v>45854</v>
      </c>
      <c r="C926" t="s">
        <v>483</v>
      </c>
      <c r="D926" t="s">
        <v>176</v>
      </c>
      <c r="E926" t="s">
        <v>177</v>
      </c>
      <c r="F926" t="s">
        <v>31</v>
      </c>
      <c r="G926" t="s">
        <v>32</v>
      </c>
      <c r="H926" t="s">
        <v>33</v>
      </c>
      <c r="I926">
        <v>5</v>
      </c>
      <c r="J926">
        <v>2325.75</v>
      </c>
      <c r="K926">
        <v>0.05</v>
      </c>
      <c r="L926">
        <v>11047.31</v>
      </c>
      <c r="M926" t="s">
        <v>48</v>
      </c>
      <c r="N926" t="s">
        <v>34</v>
      </c>
      <c r="O926" t="s">
        <v>35</v>
      </c>
      <c r="P926" t="s">
        <v>102</v>
      </c>
    </row>
    <row r="927" spans="1:16" x14ac:dyDescent="0.3">
      <c r="A927" t="s">
        <v>1273</v>
      </c>
      <c r="B927" s="1">
        <v>45301</v>
      </c>
      <c r="C927" t="s">
        <v>453</v>
      </c>
      <c r="D927" t="s">
        <v>45</v>
      </c>
      <c r="E927" t="s">
        <v>46</v>
      </c>
      <c r="F927" t="s">
        <v>31</v>
      </c>
      <c r="G927" t="s">
        <v>21</v>
      </c>
      <c r="H927" t="s">
        <v>22</v>
      </c>
      <c r="I927">
        <v>3</v>
      </c>
      <c r="J927">
        <v>1672.9</v>
      </c>
      <c r="L927">
        <v>5018.7</v>
      </c>
      <c r="M927" t="s">
        <v>76</v>
      </c>
      <c r="N927" t="s">
        <v>34</v>
      </c>
      <c r="O927" t="s">
        <v>65</v>
      </c>
      <c r="P927" t="s">
        <v>26</v>
      </c>
    </row>
    <row r="928" spans="1:16" x14ac:dyDescent="0.3">
      <c r="A928" t="s">
        <v>1274</v>
      </c>
      <c r="B928" s="1">
        <v>45933</v>
      </c>
      <c r="C928" t="s">
        <v>352</v>
      </c>
      <c r="D928" t="s">
        <v>89</v>
      </c>
      <c r="E928" t="s">
        <v>90</v>
      </c>
      <c r="F928" t="s">
        <v>20</v>
      </c>
      <c r="G928" t="s">
        <v>56</v>
      </c>
      <c r="H928" t="s">
        <v>101</v>
      </c>
      <c r="I928">
        <v>5</v>
      </c>
      <c r="J928">
        <v>658.89</v>
      </c>
      <c r="K928">
        <v>0.08</v>
      </c>
      <c r="L928">
        <v>3030.89</v>
      </c>
      <c r="M928" t="s">
        <v>48</v>
      </c>
      <c r="N928" t="s">
        <v>71</v>
      </c>
      <c r="O928" t="s">
        <v>25</v>
      </c>
      <c r="P928" t="s">
        <v>72</v>
      </c>
    </row>
    <row r="929" spans="1:16" x14ac:dyDescent="0.3">
      <c r="A929" t="s">
        <v>1275</v>
      </c>
      <c r="B929" s="1">
        <v>46086</v>
      </c>
      <c r="C929" t="s">
        <v>539</v>
      </c>
      <c r="D929" t="s">
        <v>18</v>
      </c>
      <c r="E929" t="s">
        <v>19</v>
      </c>
      <c r="F929" t="s">
        <v>20</v>
      </c>
      <c r="G929" t="s">
        <v>81</v>
      </c>
      <c r="H929" t="s">
        <v>98</v>
      </c>
      <c r="I929">
        <v>4</v>
      </c>
      <c r="J929">
        <v>907.64</v>
      </c>
      <c r="K929">
        <v>0</v>
      </c>
      <c r="L929">
        <v>3630.56</v>
      </c>
      <c r="M929" t="s">
        <v>76</v>
      </c>
      <c r="N929" t="s">
        <v>58</v>
      </c>
      <c r="O929" t="s">
        <v>65</v>
      </c>
      <c r="P929" t="s">
        <v>59</v>
      </c>
    </row>
    <row r="930" spans="1:16" x14ac:dyDescent="0.3">
      <c r="A930" t="s">
        <v>1276</v>
      </c>
      <c r="B930" s="1">
        <v>45528</v>
      </c>
      <c r="C930" t="s">
        <v>558</v>
      </c>
      <c r="D930" t="s">
        <v>96</v>
      </c>
      <c r="E930" t="s">
        <v>97</v>
      </c>
      <c r="F930" t="s">
        <v>31</v>
      </c>
      <c r="G930" t="s">
        <v>56</v>
      </c>
      <c r="H930" t="s">
        <v>123</v>
      </c>
      <c r="I930">
        <v>1</v>
      </c>
      <c r="J930">
        <v>1272.32</v>
      </c>
      <c r="K930">
        <v>0.2</v>
      </c>
      <c r="L930">
        <v>1017.86</v>
      </c>
      <c r="M930" t="s">
        <v>48</v>
      </c>
      <c r="N930" t="s">
        <v>71</v>
      </c>
      <c r="O930" t="s">
        <v>65</v>
      </c>
      <c r="P930" t="s">
        <v>26</v>
      </c>
    </row>
    <row r="931" spans="1:16" x14ac:dyDescent="0.3">
      <c r="A931" t="s">
        <v>1277</v>
      </c>
      <c r="B931" s="1">
        <v>45492</v>
      </c>
      <c r="C931" t="s">
        <v>370</v>
      </c>
      <c r="D931" t="s">
        <v>38</v>
      </c>
      <c r="E931" t="s">
        <v>39</v>
      </c>
      <c r="F931" t="s">
        <v>40</v>
      </c>
      <c r="G931" t="s">
        <v>56</v>
      </c>
      <c r="H931" t="s">
        <v>57</v>
      </c>
      <c r="I931">
        <v>3</v>
      </c>
      <c r="J931">
        <v>1473.43</v>
      </c>
      <c r="K931">
        <v>0.08</v>
      </c>
      <c r="L931">
        <v>4066.67</v>
      </c>
      <c r="M931" t="s">
        <v>48</v>
      </c>
      <c r="N931" t="s">
        <v>34</v>
      </c>
      <c r="O931" t="s">
        <v>35</v>
      </c>
      <c r="P931" t="s">
        <v>116</v>
      </c>
    </row>
    <row r="932" spans="1:16" x14ac:dyDescent="0.3">
      <c r="A932" t="s">
        <v>1278</v>
      </c>
      <c r="B932" s="1">
        <v>45717</v>
      </c>
      <c r="C932" t="s">
        <v>550</v>
      </c>
      <c r="D932" t="s">
        <v>105</v>
      </c>
      <c r="E932" t="s">
        <v>106</v>
      </c>
      <c r="F932" t="s">
        <v>40</v>
      </c>
      <c r="G932" t="s">
        <v>32</v>
      </c>
      <c r="H932" t="s">
        <v>33</v>
      </c>
      <c r="I932">
        <v>2</v>
      </c>
      <c r="J932">
        <v>6930.62</v>
      </c>
      <c r="K932">
        <v>0.1</v>
      </c>
      <c r="L932">
        <v>12475.12</v>
      </c>
      <c r="M932" t="s">
        <v>76</v>
      </c>
      <c r="N932" t="s">
        <v>49</v>
      </c>
      <c r="O932" t="s">
        <v>65</v>
      </c>
      <c r="P932" t="s">
        <v>50</v>
      </c>
    </row>
    <row r="933" spans="1:16" x14ac:dyDescent="0.3">
      <c r="A933" t="s">
        <v>1279</v>
      </c>
      <c r="B933" s="1">
        <v>45789</v>
      </c>
      <c r="C933" t="s">
        <v>488</v>
      </c>
      <c r="D933" t="s">
        <v>170</v>
      </c>
      <c r="E933" t="s">
        <v>171</v>
      </c>
      <c r="F933" t="s">
        <v>31</v>
      </c>
      <c r="G933" t="s">
        <v>32</v>
      </c>
      <c r="H933" t="s">
        <v>68</v>
      </c>
      <c r="I933">
        <v>4</v>
      </c>
      <c r="J933">
        <v>60087.71</v>
      </c>
      <c r="K933">
        <v>0.03</v>
      </c>
      <c r="L933">
        <v>233140.31</v>
      </c>
      <c r="M933" t="s">
        <v>48</v>
      </c>
      <c r="N933" t="s">
        <v>71</v>
      </c>
      <c r="O933" t="s">
        <v>65</v>
      </c>
      <c r="P933" t="s">
        <v>116</v>
      </c>
    </row>
    <row r="934" spans="1:16" x14ac:dyDescent="0.3">
      <c r="A934" t="s">
        <v>1280</v>
      </c>
      <c r="B934" s="1">
        <v>45508</v>
      </c>
      <c r="C934" t="s">
        <v>70</v>
      </c>
      <c r="D934" t="s">
        <v>38</v>
      </c>
      <c r="E934" t="s">
        <v>39</v>
      </c>
      <c r="F934" t="s">
        <v>40</v>
      </c>
      <c r="G934" t="s">
        <v>81</v>
      </c>
      <c r="H934" t="s">
        <v>87</v>
      </c>
      <c r="I934">
        <v>5</v>
      </c>
      <c r="J934">
        <v>1575.2</v>
      </c>
      <c r="K934">
        <v>0.15</v>
      </c>
      <c r="L934">
        <v>6694.6</v>
      </c>
      <c r="M934" t="s">
        <v>23</v>
      </c>
      <c r="N934" t="s">
        <v>34</v>
      </c>
      <c r="O934" t="s">
        <v>65</v>
      </c>
      <c r="P934" t="s">
        <v>111</v>
      </c>
    </row>
    <row r="935" spans="1:16" x14ac:dyDescent="0.3">
      <c r="A935" t="s">
        <v>1281</v>
      </c>
      <c r="B935" s="1">
        <v>45595</v>
      </c>
      <c r="C935" t="s">
        <v>285</v>
      </c>
      <c r="D935" t="s">
        <v>89</v>
      </c>
      <c r="E935" t="s">
        <v>90</v>
      </c>
      <c r="F935" t="s">
        <v>20</v>
      </c>
      <c r="G935" t="s">
        <v>32</v>
      </c>
      <c r="H935" t="s">
        <v>33</v>
      </c>
      <c r="I935">
        <v>2</v>
      </c>
      <c r="J935">
        <v>669.33</v>
      </c>
      <c r="K935">
        <v>0.08</v>
      </c>
      <c r="L935">
        <v>1231.57</v>
      </c>
      <c r="M935" t="s">
        <v>76</v>
      </c>
      <c r="N935" t="s">
        <v>71</v>
      </c>
      <c r="O935" t="s">
        <v>65</v>
      </c>
      <c r="P935" t="s">
        <v>102</v>
      </c>
    </row>
    <row r="936" spans="1:16" x14ac:dyDescent="0.3">
      <c r="A936" t="s">
        <v>1282</v>
      </c>
      <c r="B936" s="1">
        <v>45360</v>
      </c>
      <c r="C936" t="s">
        <v>1211</v>
      </c>
      <c r="D936" t="s">
        <v>170</v>
      </c>
      <c r="E936" t="s">
        <v>171</v>
      </c>
      <c r="F936" t="s">
        <v>31</v>
      </c>
      <c r="G936" t="s">
        <v>56</v>
      </c>
      <c r="H936" t="s">
        <v>64</v>
      </c>
      <c r="I936">
        <v>1</v>
      </c>
      <c r="J936">
        <v>68233.09</v>
      </c>
      <c r="K936">
        <v>0</v>
      </c>
      <c r="L936">
        <v>68233.09</v>
      </c>
      <c r="M936" t="s">
        <v>76</v>
      </c>
      <c r="N936" t="s">
        <v>49</v>
      </c>
      <c r="O936" t="s">
        <v>65</v>
      </c>
      <c r="P936" t="s">
        <v>26</v>
      </c>
    </row>
    <row r="937" spans="1:16" x14ac:dyDescent="0.3">
      <c r="A937" t="s">
        <v>1283</v>
      </c>
      <c r="B937" s="1">
        <v>45618</v>
      </c>
      <c r="C937" t="s">
        <v>651</v>
      </c>
      <c r="D937" t="s">
        <v>62</v>
      </c>
      <c r="E937" t="s">
        <v>63</v>
      </c>
      <c r="F937" t="s">
        <v>31</v>
      </c>
      <c r="G937" t="s">
        <v>81</v>
      </c>
      <c r="H937" t="s">
        <v>98</v>
      </c>
      <c r="I937">
        <v>1</v>
      </c>
      <c r="J937">
        <v>2661.97</v>
      </c>
      <c r="K937">
        <v>0.15</v>
      </c>
      <c r="L937">
        <v>2262.67</v>
      </c>
      <c r="M937" t="s">
        <v>23</v>
      </c>
      <c r="N937" t="s">
        <v>24</v>
      </c>
      <c r="O937" t="s">
        <v>65</v>
      </c>
      <c r="P937" t="s">
        <v>72</v>
      </c>
    </row>
    <row r="938" spans="1:16" x14ac:dyDescent="0.3">
      <c r="A938" t="s">
        <v>1284</v>
      </c>
      <c r="B938" s="1">
        <v>46151</v>
      </c>
      <c r="C938" t="s">
        <v>297</v>
      </c>
      <c r="D938" t="s">
        <v>96</v>
      </c>
      <c r="E938" t="s">
        <v>97</v>
      </c>
      <c r="F938" t="s">
        <v>31</v>
      </c>
      <c r="G938" t="s">
        <v>21</v>
      </c>
      <c r="H938" t="s">
        <v>41</v>
      </c>
      <c r="I938">
        <v>5</v>
      </c>
      <c r="J938">
        <v>1150.3699999999999</v>
      </c>
      <c r="K938">
        <v>0.08</v>
      </c>
      <c r="L938">
        <v>5291.7</v>
      </c>
      <c r="M938" t="s">
        <v>76</v>
      </c>
      <c r="N938" t="s">
        <v>71</v>
      </c>
      <c r="O938" t="s">
        <v>35</v>
      </c>
      <c r="P938" t="s">
        <v>26</v>
      </c>
    </row>
    <row r="939" spans="1:16" x14ac:dyDescent="0.3">
      <c r="A939" t="s">
        <v>1285</v>
      </c>
      <c r="B939" s="1">
        <v>45352</v>
      </c>
      <c r="C939" t="s">
        <v>651</v>
      </c>
      <c r="D939" t="s">
        <v>170</v>
      </c>
      <c r="E939" t="s">
        <v>171</v>
      </c>
      <c r="F939" t="s">
        <v>31</v>
      </c>
      <c r="G939" t="s">
        <v>81</v>
      </c>
      <c r="H939" t="s">
        <v>135</v>
      </c>
      <c r="I939">
        <v>1</v>
      </c>
      <c r="J939">
        <v>66112.509999999995</v>
      </c>
      <c r="K939">
        <v>0.1</v>
      </c>
      <c r="L939">
        <v>59501.26</v>
      </c>
      <c r="M939" t="s">
        <v>48</v>
      </c>
      <c r="N939" t="s">
        <v>58</v>
      </c>
      <c r="O939" t="s">
        <v>65</v>
      </c>
      <c r="P939" t="s">
        <v>72</v>
      </c>
    </row>
    <row r="940" spans="1:16" x14ac:dyDescent="0.3">
      <c r="A940" t="s">
        <v>1286</v>
      </c>
      <c r="B940" s="1">
        <v>45342</v>
      </c>
      <c r="C940" t="s">
        <v>447</v>
      </c>
      <c r="D940" t="s">
        <v>85</v>
      </c>
      <c r="E940" t="s">
        <v>86</v>
      </c>
      <c r="F940" t="s">
        <v>20</v>
      </c>
      <c r="G940" t="s">
        <v>81</v>
      </c>
      <c r="H940" t="s">
        <v>82</v>
      </c>
      <c r="I940">
        <v>4</v>
      </c>
      <c r="J940">
        <v>1815.22</v>
      </c>
      <c r="K940">
        <v>0.05</v>
      </c>
      <c r="L940">
        <v>6897.84</v>
      </c>
      <c r="M940" t="s">
        <v>23</v>
      </c>
      <c r="N940" t="s">
        <v>24</v>
      </c>
      <c r="O940" t="s">
        <v>25</v>
      </c>
      <c r="P940" t="s">
        <v>42</v>
      </c>
    </row>
    <row r="941" spans="1:16" x14ac:dyDescent="0.3">
      <c r="A941" t="s">
        <v>1287</v>
      </c>
      <c r="B941" s="1">
        <v>46053</v>
      </c>
      <c r="C941" t="s">
        <v>299</v>
      </c>
      <c r="D941" t="s">
        <v>29</v>
      </c>
      <c r="E941" t="s">
        <v>30</v>
      </c>
      <c r="F941" t="s">
        <v>31</v>
      </c>
      <c r="G941" t="s">
        <v>56</v>
      </c>
      <c r="I941">
        <v>5</v>
      </c>
      <c r="J941">
        <v>3445.64</v>
      </c>
      <c r="K941">
        <v>0.2</v>
      </c>
      <c r="L941">
        <v>13782.56</v>
      </c>
      <c r="M941" t="s">
        <v>23</v>
      </c>
      <c r="N941" t="s">
        <v>58</v>
      </c>
      <c r="O941" t="s">
        <v>25</v>
      </c>
      <c r="P941" t="s">
        <v>116</v>
      </c>
    </row>
    <row r="942" spans="1:16" x14ac:dyDescent="0.3">
      <c r="A942" t="s">
        <v>1288</v>
      </c>
      <c r="B942" s="1">
        <v>45854</v>
      </c>
      <c r="C942" t="s">
        <v>949</v>
      </c>
      <c r="D942" t="s">
        <v>96</v>
      </c>
      <c r="E942" t="s">
        <v>97</v>
      </c>
      <c r="F942" t="s">
        <v>31</v>
      </c>
      <c r="G942" t="s">
        <v>21</v>
      </c>
      <c r="H942" t="s">
        <v>126</v>
      </c>
      <c r="I942">
        <v>2</v>
      </c>
      <c r="J942">
        <v>1286.79</v>
      </c>
      <c r="K942">
        <v>0.08</v>
      </c>
      <c r="L942">
        <v>2367.69</v>
      </c>
      <c r="M942" t="s">
        <v>76</v>
      </c>
      <c r="N942" t="s">
        <v>71</v>
      </c>
      <c r="O942" t="s">
        <v>35</v>
      </c>
      <c r="P942" t="s">
        <v>59</v>
      </c>
    </row>
    <row r="943" spans="1:16" x14ac:dyDescent="0.3">
      <c r="A943" t="s">
        <v>1289</v>
      </c>
      <c r="B943" s="1">
        <v>45644</v>
      </c>
      <c r="C943" t="s">
        <v>37</v>
      </c>
      <c r="D943" t="s">
        <v>29</v>
      </c>
      <c r="E943" t="s">
        <v>30</v>
      </c>
      <c r="F943" t="s">
        <v>31</v>
      </c>
      <c r="G943" t="s">
        <v>81</v>
      </c>
      <c r="H943" t="s">
        <v>98</v>
      </c>
      <c r="I943">
        <v>3</v>
      </c>
      <c r="J943">
        <v>2944.21</v>
      </c>
      <c r="K943">
        <v>0.2</v>
      </c>
      <c r="L943">
        <v>7066.1</v>
      </c>
      <c r="M943" t="s">
        <v>76</v>
      </c>
      <c r="N943" t="s">
        <v>58</v>
      </c>
      <c r="O943" t="s">
        <v>65</v>
      </c>
      <c r="P943" t="s">
        <v>26</v>
      </c>
    </row>
    <row r="944" spans="1:16" x14ac:dyDescent="0.3">
      <c r="A944" t="s">
        <v>1290</v>
      </c>
      <c r="B944" s="1">
        <v>45453</v>
      </c>
      <c r="C944" t="s">
        <v>227</v>
      </c>
      <c r="D944" t="s">
        <v>105</v>
      </c>
      <c r="E944" t="s">
        <v>106</v>
      </c>
      <c r="F944" t="s">
        <v>40</v>
      </c>
      <c r="G944" t="s">
        <v>32</v>
      </c>
      <c r="H944" t="s">
        <v>47</v>
      </c>
      <c r="I944">
        <v>1</v>
      </c>
      <c r="J944">
        <v>6906.22</v>
      </c>
      <c r="K944">
        <v>0.03</v>
      </c>
      <c r="L944">
        <v>6699.03</v>
      </c>
      <c r="M944" t="s">
        <v>23</v>
      </c>
      <c r="N944" t="s">
        <v>34</v>
      </c>
      <c r="O944" t="s">
        <v>65</v>
      </c>
      <c r="P944" t="s">
        <v>72</v>
      </c>
    </row>
    <row r="945" spans="1:16" x14ac:dyDescent="0.3">
      <c r="A945" t="s">
        <v>1291</v>
      </c>
      <c r="B945" s="1">
        <v>45398</v>
      </c>
      <c r="C945" t="s">
        <v>293</v>
      </c>
      <c r="D945" t="s">
        <v>96</v>
      </c>
      <c r="E945" t="s">
        <v>97</v>
      </c>
      <c r="F945" t="s">
        <v>31</v>
      </c>
      <c r="G945" t="s">
        <v>56</v>
      </c>
      <c r="H945" t="s">
        <v>123</v>
      </c>
      <c r="I945">
        <v>2</v>
      </c>
      <c r="J945">
        <v>1243.22</v>
      </c>
      <c r="K945">
        <v>0.1</v>
      </c>
      <c r="L945">
        <v>2237.8000000000002</v>
      </c>
      <c r="M945" t="s">
        <v>23</v>
      </c>
      <c r="N945" t="s">
        <v>58</v>
      </c>
      <c r="O945" t="s">
        <v>25</v>
      </c>
      <c r="P945" t="s">
        <v>50</v>
      </c>
    </row>
    <row r="946" spans="1:16" x14ac:dyDescent="0.3">
      <c r="A946" t="s">
        <v>1292</v>
      </c>
      <c r="B946" s="1">
        <v>45541</v>
      </c>
      <c r="C946" t="s">
        <v>1211</v>
      </c>
      <c r="D946" t="s">
        <v>89</v>
      </c>
      <c r="E946" t="s">
        <v>90</v>
      </c>
      <c r="F946" t="s">
        <v>20</v>
      </c>
      <c r="G946" t="s">
        <v>21</v>
      </c>
      <c r="H946" t="s">
        <v>126</v>
      </c>
      <c r="I946">
        <v>1</v>
      </c>
      <c r="J946">
        <v>693.84</v>
      </c>
      <c r="K946">
        <v>0.2</v>
      </c>
      <c r="L946">
        <v>555.07000000000005</v>
      </c>
      <c r="M946" t="s">
        <v>23</v>
      </c>
      <c r="N946" t="s">
        <v>49</v>
      </c>
      <c r="O946" t="s">
        <v>65</v>
      </c>
      <c r="P946" t="s">
        <v>111</v>
      </c>
    </row>
    <row r="947" spans="1:16" x14ac:dyDescent="0.3">
      <c r="A947" t="s">
        <v>1293</v>
      </c>
      <c r="B947" s="1">
        <v>45379</v>
      </c>
      <c r="C947" t="s">
        <v>879</v>
      </c>
      <c r="D947" t="s">
        <v>121</v>
      </c>
      <c r="E947" t="s">
        <v>122</v>
      </c>
      <c r="F947" t="s">
        <v>55</v>
      </c>
      <c r="G947" t="s">
        <v>21</v>
      </c>
      <c r="H947" t="s">
        <v>41</v>
      </c>
      <c r="I947">
        <v>2</v>
      </c>
      <c r="J947">
        <v>460.81</v>
      </c>
      <c r="K947">
        <v>0.1</v>
      </c>
      <c r="L947">
        <v>829.46</v>
      </c>
      <c r="M947" t="s">
        <v>48</v>
      </c>
      <c r="N947" t="s">
        <v>58</v>
      </c>
      <c r="O947" t="s">
        <v>35</v>
      </c>
      <c r="P947" t="s">
        <v>102</v>
      </c>
    </row>
    <row r="948" spans="1:16" x14ac:dyDescent="0.3">
      <c r="A948" t="s">
        <v>1294</v>
      </c>
      <c r="B948" s="1">
        <v>46036</v>
      </c>
      <c r="C948" t="s">
        <v>190</v>
      </c>
      <c r="D948" t="s">
        <v>29</v>
      </c>
      <c r="E948" t="s">
        <v>30</v>
      </c>
      <c r="F948" t="s">
        <v>31</v>
      </c>
      <c r="G948" t="s">
        <v>32</v>
      </c>
      <c r="H948" t="s">
        <v>47</v>
      </c>
      <c r="I948">
        <v>5</v>
      </c>
      <c r="J948">
        <v>3127.53</v>
      </c>
      <c r="K948">
        <v>0.05</v>
      </c>
      <c r="L948">
        <v>14855.77</v>
      </c>
      <c r="M948" t="s">
        <v>23</v>
      </c>
      <c r="N948" t="s">
        <v>34</v>
      </c>
      <c r="O948" t="s">
        <v>65</v>
      </c>
      <c r="P948" t="s">
        <v>50</v>
      </c>
    </row>
    <row r="949" spans="1:16" x14ac:dyDescent="0.3">
      <c r="A949" t="s">
        <v>1295</v>
      </c>
      <c r="B949" s="1">
        <v>45380</v>
      </c>
      <c r="C949" t="s">
        <v>128</v>
      </c>
      <c r="D949" t="s">
        <v>85</v>
      </c>
      <c r="E949" t="s">
        <v>86</v>
      </c>
      <c r="F949" t="s">
        <v>20</v>
      </c>
      <c r="G949" t="s">
        <v>56</v>
      </c>
      <c r="H949" t="s">
        <v>57</v>
      </c>
      <c r="I949">
        <v>3</v>
      </c>
      <c r="J949">
        <v>1657.14</v>
      </c>
      <c r="K949">
        <v>0</v>
      </c>
      <c r="L949">
        <v>4971.42</v>
      </c>
      <c r="M949" t="s">
        <v>23</v>
      </c>
      <c r="N949" t="s">
        <v>49</v>
      </c>
      <c r="O949" t="s">
        <v>65</v>
      </c>
      <c r="P949" t="s">
        <v>116</v>
      </c>
    </row>
    <row r="950" spans="1:16" x14ac:dyDescent="0.3">
      <c r="A950" t="s">
        <v>1296</v>
      </c>
      <c r="B950" s="1">
        <v>46131</v>
      </c>
      <c r="C950" t="s">
        <v>490</v>
      </c>
      <c r="D950" t="s">
        <v>105</v>
      </c>
      <c r="E950" t="s">
        <v>106</v>
      </c>
      <c r="F950" t="s">
        <v>40</v>
      </c>
      <c r="G950" t="s">
        <v>81</v>
      </c>
      <c r="H950" t="s">
        <v>82</v>
      </c>
      <c r="I950">
        <v>3</v>
      </c>
      <c r="J950">
        <v>7375.54</v>
      </c>
      <c r="K950">
        <v>0.03</v>
      </c>
      <c r="L950">
        <v>21462.82</v>
      </c>
      <c r="M950" t="s">
        <v>76</v>
      </c>
      <c r="N950" t="s">
        <v>49</v>
      </c>
      <c r="O950" t="s">
        <v>65</v>
      </c>
      <c r="P950" t="s">
        <v>102</v>
      </c>
    </row>
    <row r="951" spans="1:16" x14ac:dyDescent="0.3">
      <c r="A951" t="s">
        <v>1297</v>
      </c>
      <c r="B951" s="1">
        <v>45607</v>
      </c>
      <c r="C951" t="s">
        <v>640</v>
      </c>
      <c r="D951" t="s">
        <v>170</v>
      </c>
      <c r="E951" t="s">
        <v>171</v>
      </c>
      <c r="F951" t="s">
        <v>31</v>
      </c>
      <c r="G951" t="s">
        <v>21</v>
      </c>
      <c r="H951" t="s">
        <v>93</v>
      </c>
      <c r="I951">
        <v>4</v>
      </c>
      <c r="J951">
        <v>64217.48</v>
      </c>
      <c r="K951">
        <v>0.2</v>
      </c>
      <c r="L951">
        <v>205495.94</v>
      </c>
      <c r="M951" t="s">
        <v>48</v>
      </c>
      <c r="N951" t="s">
        <v>24</v>
      </c>
      <c r="O951" t="s">
        <v>35</v>
      </c>
      <c r="P951" t="s">
        <v>59</v>
      </c>
    </row>
    <row r="952" spans="1:16" x14ac:dyDescent="0.3">
      <c r="A952" t="s">
        <v>1298</v>
      </c>
      <c r="B952" s="1">
        <v>45497</v>
      </c>
      <c r="C952" t="s">
        <v>325</v>
      </c>
      <c r="D952" t="s">
        <v>89</v>
      </c>
      <c r="E952" t="s">
        <v>90</v>
      </c>
      <c r="F952" t="s">
        <v>20</v>
      </c>
      <c r="G952" t="s">
        <v>21</v>
      </c>
      <c r="H952" t="s">
        <v>41</v>
      </c>
      <c r="I952">
        <v>4</v>
      </c>
      <c r="J952">
        <v>685.61</v>
      </c>
      <c r="K952">
        <v>0.1</v>
      </c>
      <c r="L952">
        <v>2468.1999999999998</v>
      </c>
      <c r="M952" t="s">
        <v>76</v>
      </c>
      <c r="N952" t="s">
        <v>71</v>
      </c>
      <c r="O952" t="s">
        <v>65</v>
      </c>
      <c r="P952" t="s">
        <v>102</v>
      </c>
    </row>
    <row r="953" spans="1:16" x14ac:dyDescent="0.3">
      <c r="A953" t="s">
        <v>1299</v>
      </c>
      <c r="B953" s="1">
        <v>45773</v>
      </c>
      <c r="D953" t="s">
        <v>105</v>
      </c>
      <c r="E953" t="s">
        <v>106</v>
      </c>
      <c r="F953" t="s">
        <v>40</v>
      </c>
      <c r="G953" t="s">
        <v>32</v>
      </c>
      <c r="H953" t="s">
        <v>75</v>
      </c>
      <c r="I953">
        <v>4</v>
      </c>
      <c r="J953">
        <v>6852.58</v>
      </c>
      <c r="K953">
        <v>0.1</v>
      </c>
      <c r="L953">
        <v>24669.29</v>
      </c>
      <c r="M953" t="s">
        <v>23</v>
      </c>
      <c r="N953" t="s">
        <v>49</v>
      </c>
      <c r="O953" t="s">
        <v>65</v>
      </c>
      <c r="P953" t="s">
        <v>42</v>
      </c>
    </row>
    <row r="954" spans="1:16" x14ac:dyDescent="0.3">
      <c r="A954" t="s">
        <v>1300</v>
      </c>
      <c r="B954" s="1">
        <v>45937</v>
      </c>
      <c r="C954" t="s">
        <v>321</v>
      </c>
      <c r="D954" t="s">
        <v>176</v>
      </c>
      <c r="E954" t="s">
        <v>177</v>
      </c>
      <c r="F954" t="s">
        <v>31</v>
      </c>
      <c r="G954" t="s">
        <v>32</v>
      </c>
      <c r="H954" t="s">
        <v>47</v>
      </c>
      <c r="I954">
        <v>4</v>
      </c>
      <c r="J954">
        <v>2071.9</v>
      </c>
      <c r="K954">
        <v>0</v>
      </c>
      <c r="L954">
        <v>8287.6</v>
      </c>
      <c r="M954" t="s">
        <v>23</v>
      </c>
      <c r="N954" t="s">
        <v>24</v>
      </c>
      <c r="O954" t="s">
        <v>65</v>
      </c>
      <c r="P954" t="s">
        <v>111</v>
      </c>
    </row>
    <row r="955" spans="1:16" x14ac:dyDescent="0.3">
      <c r="A955" t="s">
        <v>1301</v>
      </c>
      <c r="B955" s="1">
        <v>45332</v>
      </c>
      <c r="C955" t="s">
        <v>597</v>
      </c>
      <c r="D955" t="s">
        <v>96</v>
      </c>
      <c r="E955" t="s">
        <v>97</v>
      </c>
      <c r="F955" t="s">
        <v>31</v>
      </c>
      <c r="G955" t="s">
        <v>56</v>
      </c>
      <c r="H955" t="s">
        <v>123</v>
      </c>
      <c r="I955">
        <v>3</v>
      </c>
      <c r="J955">
        <v>1132.55</v>
      </c>
      <c r="K955">
        <v>0.15</v>
      </c>
      <c r="L955">
        <v>2888</v>
      </c>
      <c r="M955" t="s">
        <v>48</v>
      </c>
      <c r="N955" t="s">
        <v>34</v>
      </c>
      <c r="O955" t="s">
        <v>65</v>
      </c>
      <c r="P955" t="s">
        <v>116</v>
      </c>
    </row>
    <row r="956" spans="1:16" x14ac:dyDescent="0.3">
      <c r="A956" t="s">
        <v>1302</v>
      </c>
      <c r="B956" s="1">
        <v>45676</v>
      </c>
      <c r="C956" t="s">
        <v>470</v>
      </c>
      <c r="D956" t="s">
        <v>53</v>
      </c>
      <c r="E956" t="s">
        <v>54</v>
      </c>
      <c r="F956" t="s">
        <v>55</v>
      </c>
      <c r="G956" t="s">
        <v>56</v>
      </c>
      <c r="H956" t="s">
        <v>57</v>
      </c>
      <c r="I956">
        <v>3</v>
      </c>
      <c r="J956">
        <v>207.58</v>
      </c>
      <c r="K956">
        <v>0.08</v>
      </c>
      <c r="L956">
        <v>572.91999999999996</v>
      </c>
      <c r="M956" t="s">
        <v>48</v>
      </c>
      <c r="N956" t="s">
        <v>58</v>
      </c>
      <c r="O956" t="s">
        <v>65</v>
      </c>
      <c r="P956" t="s">
        <v>72</v>
      </c>
    </row>
    <row r="957" spans="1:16" x14ac:dyDescent="0.3">
      <c r="A957" t="s">
        <v>1303</v>
      </c>
      <c r="B957" s="1">
        <v>45556</v>
      </c>
      <c r="C957" t="s">
        <v>297</v>
      </c>
      <c r="D957" t="s">
        <v>62</v>
      </c>
      <c r="E957" t="s">
        <v>63</v>
      </c>
      <c r="F957" t="s">
        <v>31</v>
      </c>
      <c r="G957" t="s">
        <v>81</v>
      </c>
      <c r="H957" t="s">
        <v>82</v>
      </c>
      <c r="I957">
        <v>1</v>
      </c>
      <c r="J957">
        <v>2590.48</v>
      </c>
      <c r="K957">
        <v>0.15</v>
      </c>
      <c r="L957">
        <v>2201.91</v>
      </c>
      <c r="M957" t="s">
        <v>76</v>
      </c>
      <c r="N957" t="s">
        <v>58</v>
      </c>
      <c r="O957" t="s">
        <v>65</v>
      </c>
      <c r="P957" t="s">
        <v>116</v>
      </c>
    </row>
    <row r="958" spans="1:16" x14ac:dyDescent="0.3">
      <c r="A958" t="s">
        <v>1304</v>
      </c>
      <c r="B958" s="1">
        <v>46115</v>
      </c>
      <c r="C958" t="s">
        <v>184</v>
      </c>
      <c r="D958" t="s">
        <v>79</v>
      </c>
      <c r="E958" t="s">
        <v>80</v>
      </c>
      <c r="F958" t="s">
        <v>31</v>
      </c>
      <c r="G958" t="s">
        <v>56</v>
      </c>
      <c r="H958" t="s">
        <v>123</v>
      </c>
      <c r="I958">
        <v>1</v>
      </c>
      <c r="J958">
        <v>12891.24</v>
      </c>
      <c r="K958">
        <v>0.1</v>
      </c>
      <c r="L958">
        <v>11602.12</v>
      </c>
      <c r="M958" t="s">
        <v>23</v>
      </c>
      <c r="N958" t="s">
        <v>24</v>
      </c>
      <c r="O958" t="s">
        <v>65</v>
      </c>
      <c r="P958" t="s">
        <v>59</v>
      </c>
    </row>
    <row r="959" spans="1:16" x14ac:dyDescent="0.3">
      <c r="A959" t="s">
        <v>1305</v>
      </c>
      <c r="B959" s="1">
        <v>45697</v>
      </c>
      <c r="C959" t="s">
        <v>149</v>
      </c>
      <c r="D959" t="s">
        <v>62</v>
      </c>
      <c r="E959" t="s">
        <v>63</v>
      </c>
      <c r="F959" t="s">
        <v>31</v>
      </c>
      <c r="G959" t="s">
        <v>81</v>
      </c>
      <c r="H959" t="s">
        <v>82</v>
      </c>
      <c r="I959">
        <v>2</v>
      </c>
      <c r="J959">
        <v>2641.38</v>
      </c>
      <c r="K959">
        <v>0.08</v>
      </c>
      <c r="L959">
        <v>4860.1400000000003</v>
      </c>
      <c r="M959" t="s">
        <v>76</v>
      </c>
      <c r="N959" t="s">
        <v>71</v>
      </c>
      <c r="O959" t="s">
        <v>25</v>
      </c>
      <c r="P959" t="s">
        <v>59</v>
      </c>
    </row>
    <row r="960" spans="1:16" x14ac:dyDescent="0.3">
      <c r="A960" t="s">
        <v>1306</v>
      </c>
      <c r="B960" s="1">
        <v>45433</v>
      </c>
      <c r="C960" t="s">
        <v>230</v>
      </c>
      <c r="D960" t="s">
        <v>131</v>
      </c>
      <c r="E960" t="s">
        <v>132</v>
      </c>
      <c r="F960" t="s">
        <v>40</v>
      </c>
      <c r="G960" t="s">
        <v>81</v>
      </c>
      <c r="H960" t="s">
        <v>135</v>
      </c>
      <c r="I960">
        <v>3</v>
      </c>
      <c r="J960">
        <v>10120.06</v>
      </c>
      <c r="K960">
        <v>0.08</v>
      </c>
      <c r="L960">
        <v>27931.37</v>
      </c>
      <c r="M960" t="s">
        <v>76</v>
      </c>
      <c r="N960" t="s">
        <v>34</v>
      </c>
      <c r="O960" t="s">
        <v>35</v>
      </c>
      <c r="P960" t="s">
        <v>111</v>
      </c>
    </row>
    <row r="961" spans="1:16" x14ac:dyDescent="0.3">
      <c r="A961" t="s">
        <v>1307</v>
      </c>
      <c r="B961" s="1">
        <v>45497</v>
      </c>
      <c r="C961" t="s">
        <v>406</v>
      </c>
      <c r="D961" t="s">
        <v>121</v>
      </c>
      <c r="E961" t="s">
        <v>122</v>
      </c>
      <c r="F961" t="s">
        <v>55</v>
      </c>
      <c r="G961" t="s">
        <v>56</v>
      </c>
      <c r="H961" t="s">
        <v>101</v>
      </c>
      <c r="I961">
        <v>1</v>
      </c>
      <c r="J961">
        <v>444.29</v>
      </c>
      <c r="K961">
        <v>0</v>
      </c>
      <c r="L961">
        <v>444.29</v>
      </c>
      <c r="M961" t="s">
        <v>23</v>
      </c>
      <c r="O961" t="s">
        <v>65</v>
      </c>
      <c r="P961" t="s">
        <v>116</v>
      </c>
    </row>
    <row r="962" spans="1:16" x14ac:dyDescent="0.3">
      <c r="A962" t="s">
        <v>1308</v>
      </c>
      <c r="B962" s="1">
        <v>46172</v>
      </c>
      <c r="C962" t="s">
        <v>460</v>
      </c>
      <c r="D962" t="s">
        <v>176</v>
      </c>
      <c r="E962" t="s">
        <v>177</v>
      </c>
      <c r="F962" t="s">
        <v>31</v>
      </c>
      <c r="G962" t="s">
        <v>81</v>
      </c>
      <c r="H962" t="s">
        <v>98</v>
      </c>
      <c r="I962">
        <v>1</v>
      </c>
      <c r="J962">
        <v>2302.67</v>
      </c>
      <c r="K962">
        <v>0.05</v>
      </c>
      <c r="L962">
        <v>2187.54</v>
      </c>
      <c r="M962" t="s">
        <v>23</v>
      </c>
      <c r="N962" t="s">
        <v>24</v>
      </c>
      <c r="O962" t="s">
        <v>65</v>
      </c>
      <c r="P962" t="s">
        <v>42</v>
      </c>
    </row>
    <row r="963" spans="1:16" x14ac:dyDescent="0.3">
      <c r="A963" t="s">
        <v>1309</v>
      </c>
      <c r="B963" s="1">
        <v>46147</v>
      </c>
      <c r="C963" t="s">
        <v>651</v>
      </c>
      <c r="D963" t="s">
        <v>176</v>
      </c>
      <c r="E963" t="s">
        <v>177</v>
      </c>
      <c r="F963" t="s">
        <v>31</v>
      </c>
      <c r="G963" t="s">
        <v>32</v>
      </c>
      <c r="H963" t="s">
        <v>47</v>
      </c>
      <c r="I963">
        <v>2</v>
      </c>
      <c r="J963">
        <v>2157.2800000000002</v>
      </c>
      <c r="K963">
        <v>0.1</v>
      </c>
      <c r="L963">
        <v>3883.1</v>
      </c>
      <c r="M963" t="s">
        <v>23</v>
      </c>
      <c r="N963" t="s">
        <v>58</v>
      </c>
      <c r="O963" t="s">
        <v>65</v>
      </c>
      <c r="P963" t="s">
        <v>59</v>
      </c>
    </row>
    <row r="964" spans="1:16" x14ac:dyDescent="0.3">
      <c r="A964" t="s">
        <v>1310</v>
      </c>
      <c r="B964" s="1">
        <v>45578</v>
      </c>
      <c r="C964" t="s">
        <v>839</v>
      </c>
      <c r="D964" t="s">
        <v>105</v>
      </c>
      <c r="E964" t="s">
        <v>106</v>
      </c>
      <c r="F964" t="s">
        <v>40</v>
      </c>
      <c r="G964" t="s">
        <v>56</v>
      </c>
      <c r="H964" t="s">
        <v>57</v>
      </c>
      <c r="I964">
        <v>5</v>
      </c>
      <c r="J964">
        <v>7373.82</v>
      </c>
      <c r="K964">
        <v>0.1</v>
      </c>
      <c r="L964">
        <v>33182.19</v>
      </c>
      <c r="M964" t="s">
        <v>23</v>
      </c>
      <c r="N964" t="s">
        <v>34</v>
      </c>
      <c r="O964" t="s">
        <v>65</v>
      </c>
      <c r="P964" t="s">
        <v>26</v>
      </c>
    </row>
    <row r="965" spans="1:16" x14ac:dyDescent="0.3">
      <c r="A965" t="s">
        <v>1311</v>
      </c>
      <c r="B965" s="1">
        <v>45515</v>
      </c>
      <c r="C965" t="s">
        <v>357</v>
      </c>
      <c r="D965" t="s">
        <v>96</v>
      </c>
      <c r="E965" t="s">
        <v>97</v>
      </c>
      <c r="F965" t="s">
        <v>31</v>
      </c>
      <c r="G965" t="s">
        <v>32</v>
      </c>
      <c r="I965">
        <v>3</v>
      </c>
      <c r="J965">
        <v>1114.43</v>
      </c>
      <c r="K965">
        <v>0</v>
      </c>
      <c r="L965">
        <v>3343.29</v>
      </c>
      <c r="M965" t="s">
        <v>48</v>
      </c>
      <c r="N965" t="s">
        <v>24</v>
      </c>
      <c r="O965" t="s">
        <v>65</v>
      </c>
      <c r="P965" t="s">
        <v>111</v>
      </c>
    </row>
    <row r="966" spans="1:16" x14ac:dyDescent="0.3">
      <c r="A966" t="s">
        <v>1312</v>
      </c>
      <c r="B966" s="1">
        <v>45460</v>
      </c>
      <c r="C966" t="s">
        <v>460</v>
      </c>
      <c r="D966" t="s">
        <v>96</v>
      </c>
      <c r="E966" t="s">
        <v>97</v>
      </c>
      <c r="F966" t="s">
        <v>31</v>
      </c>
      <c r="G966" t="s">
        <v>81</v>
      </c>
      <c r="H966" t="s">
        <v>135</v>
      </c>
      <c r="I966">
        <v>5</v>
      </c>
      <c r="J966">
        <v>1109.3900000000001</v>
      </c>
      <c r="K966">
        <v>0.08</v>
      </c>
      <c r="L966">
        <v>5103.1899999999996</v>
      </c>
      <c r="M966" t="s">
        <v>76</v>
      </c>
      <c r="N966" t="s">
        <v>71</v>
      </c>
      <c r="O966" t="s">
        <v>65</v>
      </c>
      <c r="P966" t="s">
        <v>116</v>
      </c>
    </row>
    <row r="967" spans="1:16" x14ac:dyDescent="0.3">
      <c r="A967" t="s">
        <v>1313</v>
      </c>
      <c r="B967" s="1">
        <v>45833</v>
      </c>
      <c r="C967" t="s">
        <v>92</v>
      </c>
      <c r="D967" t="s">
        <v>38</v>
      </c>
      <c r="E967" t="s">
        <v>39</v>
      </c>
      <c r="F967" t="s">
        <v>40</v>
      </c>
      <c r="G967" t="s">
        <v>81</v>
      </c>
      <c r="H967" t="s">
        <v>98</v>
      </c>
      <c r="I967">
        <v>1</v>
      </c>
      <c r="J967">
        <v>1658.15</v>
      </c>
      <c r="K967">
        <v>0</v>
      </c>
      <c r="L967">
        <v>1658.15</v>
      </c>
      <c r="M967" t="s">
        <v>76</v>
      </c>
      <c r="N967" t="s">
        <v>49</v>
      </c>
      <c r="O967" t="s">
        <v>65</v>
      </c>
      <c r="P967" t="s">
        <v>26</v>
      </c>
    </row>
    <row r="968" spans="1:16" x14ac:dyDescent="0.3">
      <c r="A968" t="s">
        <v>1314</v>
      </c>
      <c r="B968" s="1">
        <v>45677</v>
      </c>
      <c r="C968" t="s">
        <v>125</v>
      </c>
      <c r="D968" t="s">
        <v>170</v>
      </c>
      <c r="E968" t="s">
        <v>171</v>
      </c>
      <c r="F968" t="s">
        <v>31</v>
      </c>
      <c r="G968" t="s">
        <v>56</v>
      </c>
      <c r="H968" t="s">
        <v>123</v>
      </c>
      <c r="I968">
        <v>4</v>
      </c>
      <c r="J968">
        <v>63851.28</v>
      </c>
      <c r="K968">
        <v>0.1</v>
      </c>
      <c r="L968">
        <v>229864.61</v>
      </c>
      <c r="M968" t="s">
        <v>23</v>
      </c>
      <c r="N968" t="s">
        <v>34</v>
      </c>
      <c r="O968" t="s">
        <v>25</v>
      </c>
      <c r="P968" t="s">
        <v>50</v>
      </c>
    </row>
    <row r="969" spans="1:16" x14ac:dyDescent="0.3">
      <c r="A969" t="s">
        <v>1315</v>
      </c>
      <c r="B969" s="1">
        <v>45803</v>
      </c>
      <c r="C969" t="s">
        <v>476</v>
      </c>
      <c r="D969" t="s">
        <v>18</v>
      </c>
      <c r="E969" t="s">
        <v>19</v>
      </c>
      <c r="F969" t="s">
        <v>20</v>
      </c>
      <c r="G969" t="s">
        <v>21</v>
      </c>
      <c r="H969" t="s">
        <v>41</v>
      </c>
      <c r="I969">
        <v>2</v>
      </c>
      <c r="J969">
        <v>827.49</v>
      </c>
      <c r="K969">
        <v>0.2</v>
      </c>
      <c r="L969">
        <v>1323.98</v>
      </c>
      <c r="M969" t="s">
        <v>76</v>
      </c>
      <c r="N969" t="s">
        <v>49</v>
      </c>
      <c r="O969" t="s">
        <v>25</v>
      </c>
      <c r="P969" t="s">
        <v>102</v>
      </c>
    </row>
    <row r="970" spans="1:16" x14ac:dyDescent="0.3">
      <c r="A970" t="s">
        <v>1316</v>
      </c>
      <c r="B970" s="1">
        <v>46073</v>
      </c>
      <c r="C970" t="s">
        <v>175</v>
      </c>
      <c r="D970" t="s">
        <v>62</v>
      </c>
      <c r="E970" t="s">
        <v>63</v>
      </c>
      <c r="F970" t="s">
        <v>31</v>
      </c>
      <c r="G970" t="s">
        <v>32</v>
      </c>
      <c r="H970" t="s">
        <v>33</v>
      </c>
      <c r="I970">
        <v>5</v>
      </c>
      <c r="J970">
        <v>2932.62</v>
      </c>
      <c r="K970">
        <v>0.1</v>
      </c>
      <c r="L970">
        <v>13196.79</v>
      </c>
      <c r="M970" t="s">
        <v>48</v>
      </c>
      <c r="N970" t="s">
        <v>34</v>
      </c>
      <c r="O970" t="s">
        <v>65</v>
      </c>
      <c r="P970" t="s">
        <v>111</v>
      </c>
    </row>
    <row r="971" spans="1:16" x14ac:dyDescent="0.3">
      <c r="A971" t="s">
        <v>1317</v>
      </c>
      <c r="B971" s="1">
        <v>45546</v>
      </c>
      <c r="C971" t="s">
        <v>194</v>
      </c>
      <c r="D971" t="s">
        <v>121</v>
      </c>
      <c r="E971" t="s">
        <v>122</v>
      </c>
      <c r="F971" t="s">
        <v>55</v>
      </c>
      <c r="G971" t="s">
        <v>32</v>
      </c>
      <c r="H971" t="s">
        <v>75</v>
      </c>
      <c r="I971">
        <v>5</v>
      </c>
      <c r="J971">
        <v>449.97</v>
      </c>
      <c r="K971">
        <v>0.03</v>
      </c>
      <c r="L971">
        <v>2182.35</v>
      </c>
      <c r="M971" t="s">
        <v>76</v>
      </c>
      <c r="N971" t="s">
        <v>71</v>
      </c>
      <c r="O971" t="s">
        <v>65</v>
      </c>
      <c r="P971" t="s">
        <v>26</v>
      </c>
    </row>
    <row r="972" spans="1:16" x14ac:dyDescent="0.3">
      <c r="A972" t="s">
        <v>1318</v>
      </c>
      <c r="B972" s="1">
        <v>46060</v>
      </c>
      <c r="C972" t="s">
        <v>200</v>
      </c>
      <c r="D972" t="s">
        <v>96</v>
      </c>
      <c r="E972" t="s">
        <v>97</v>
      </c>
      <c r="F972" t="s">
        <v>31</v>
      </c>
      <c r="G972" t="s">
        <v>81</v>
      </c>
      <c r="H972" t="s">
        <v>98</v>
      </c>
      <c r="I972">
        <v>4</v>
      </c>
      <c r="J972">
        <v>1171.08</v>
      </c>
      <c r="K972">
        <v>0.08</v>
      </c>
      <c r="L972">
        <v>4309.57</v>
      </c>
      <c r="M972" t="s">
        <v>48</v>
      </c>
      <c r="N972" t="s">
        <v>34</v>
      </c>
      <c r="O972" t="s">
        <v>65</v>
      </c>
      <c r="P972" t="s">
        <v>42</v>
      </c>
    </row>
    <row r="973" spans="1:16" x14ac:dyDescent="0.3">
      <c r="A973" t="s">
        <v>1319</v>
      </c>
      <c r="B973" s="1">
        <v>46063</v>
      </c>
      <c r="C973" t="s">
        <v>336</v>
      </c>
      <c r="D973" t="s">
        <v>170</v>
      </c>
      <c r="E973" t="s">
        <v>171</v>
      </c>
      <c r="F973" t="s">
        <v>31</v>
      </c>
      <c r="G973" t="s">
        <v>32</v>
      </c>
      <c r="H973" t="s">
        <v>75</v>
      </c>
      <c r="I973">
        <v>5</v>
      </c>
      <c r="J973">
        <v>66995.34</v>
      </c>
      <c r="K973">
        <v>0.03</v>
      </c>
      <c r="L973">
        <v>324927.40000000002</v>
      </c>
      <c r="M973" t="s">
        <v>23</v>
      </c>
      <c r="N973" t="s">
        <v>24</v>
      </c>
      <c r="O973" t="s">
        <v>65</v>
      </c>
      <c r="P973" t="s">
        <v>26</v>
      </c>
    </row>
    <row r="974" spans="1:16" x14ac:dyDescent="0.3">
      <c r="A974" t="s">
        <v>1320</v>
      </c>
      <c r="B974" s="1">
        <v>46095</v>
      </c>
      <c r="C974" t="s">
        <v>485</v>
      </c>
      <c r="D974" t="s">
        <v>53</v>
      </c>
      <c r="E974" t="s">
        <v>54</v>
      </c>
      <c r="F974" t="s">
        <v>55</v>
      </c>
      <c r="G974" t="s">
        <v>21</v>
      </c>
      <c r="H974" t="s">
        <v>126</v>
      </c>
      <c r="I974">
        <v>4</v>
      </c>
      <c r="J974">
        <v>215.72</v>
      </c>
      <c r="K974">
        <v>0.2</v>
      </c>
      <c r="L974">
        <v>690.3</v>
      </c>
      <c r="M974" t="s">
        <v>48</v>
      </c>
      <c r="N974" t="s">
        <v>58</v>
      </c>
      <c r="O974" t="s">
        <v>65</v>
      </c>
      <c r="P974" t="s">
        <v>116</v>
      </c>
    </row>
    <row r="975" spans="1:16" x14ac:dyDescent="0.3">
      <c r="A975" t="s">
        <v>1321</v>
      </c>
      <c r="B975" s="1">
        <v>45836</v>
      </c>
      <c r="C975" t="s">
        <v>949</v>
      </c>
      <c r="D975" t="s">
        <v>105</v>
      </c>
      <c r="E975" t="s">
        <v>106</v>
      </c>
      <c r="F975" t="s">
        <v>40</v>
      </c>
      <c r="G975" t="s">
        <v>81</v>
      </c>
      <c r="H975" t="s">
        <v>87</v>
      </c>
      <c r="I975">
        <v>5</v>
      </c>
      <c r="J975">
        <v>7291.06</v>
      </c>
      <c r="K975">
        <v>0.15</v>
      </c>
      <c r="L975">
        <v>30987.01</v>
      </c>
      <c r="M975" t="s">
        <v>23</v>
      </c>
      <c r="N975" t="s">
        <v>58</v>
      </c>
      <c r="O975" t="s">
        <v>65</v>
      </c>
      <c r="P975" t="s">
        <v>59</v>
      </c>
    </row>
    <row r="976" spans="1:16" x14ac:dyDescent="0.3">
      <c r="A976" t="s">
        <v>1322</v>
      </c>
      <c r="B976" s="1">
        <v>45365</v>
      </c>
      <c r="C976" t="s">
        <v>339</v>
      </c>
      <c r="D976" t="s">
        <v>89</v>
      </c>
      <c r="E976" t="s">
        <v>90</v>
      </c>
      <c r="F976" t="s">
        <v>20</v>
      </c>
      <c r="G976" t="s">
        <v>56</v>
      </c>
      <c r="H976" t="s">
        <v>57</v>
      </c>
      <c r="I976">
        <v>3</v>
      </c>
      <c r="J976">
        <v>727.58</v>
      </c>
      <c r="K976">
        <v>0.08</v>
      </c>
      <c r="L976">
        <v>2008.12</v>
      </c>
      <c r="M976" t="s">
        <v>76</v>
      </c>
      <c r="N976" t="s">
        <v>58</v>
      </c>
      <c r="O976" t="s">
        <v>65</v>
      </c>
      <c r="P976" t="s">
        <v>116</v>
      </c>
    </row>
    <row r="977" spans="1:16" x14ac:dyDescent="0.3">
      <c r="A977" t="s">
        <v>1323</v>
      </c>
      <c r="B977" s="1">
        <v>45599</v>
      </c>
      <c r="C977" t="s">
        <v>558</v>
      </c>
      <c r="D977" t="s">
        <v>121</v>
      </c>
      <c r="E977" t="s">
        <v>122</v>
      </c>
      <c r="F977" t="s">
        <v>55</v>
      </c>
      <c r="G977" t="s">
        <v>81</v>
      </c>
      <c r="H977" t="s">
        <v>135</v>
      </c>
      <c r="I977">
        <v>3</v>
      </c>
      <c r="J977">
        <v>476.86</v>
      </c>
      <c r="K977">
        <v>0.1</v>
      </c>
      <c r="L977">
        <v>1287.52</v>
      </c>
      <c r="M977" t="s">
        <v>23</v>
      </c>
      <c r="N977" t="s">
        <v>34</v>
      </c>
      <c r="O977" t="s">
        <v>65</v>
      </c>
      <c r="P977" t="s">
        <v>59</v>
      </c>
    </row>
    <row r="978" spans="1:16" x14ac:dyDescent="0.3">
      <c r="A978" t="s">
        <v>1324</v>
      </c>
      <c r="B978" s="1">
        <v>45667</v>
      </c>
      <c r="C978" t="s">
        <v>151</v>
      </c>
      <c r="D978" t="s">
        <v>131</v>
      </c>
      <c r="E978" t="s">
        <v>132</v>
      </c>
      <c r="F978" t="s">
        <v>40</v>
      </c>
      <c r="G978" t="s">
        <v>32</v>
      </c>
      <c r="H978" t="s">
        <v>75</v>
      </c>
      <c r="I978">
        <v>4</v>
      </c>
      <c r="J978">
        <v>9845.1200000000008</v>
      </c>
      <c r="K978">
        <v>0.2</v>
      </c>
      <c r="L978">
        <v>31504.38</v>
      </c>
      <c r="M978" t="s">
        <v>76</v>
      </c>
      <c r="N978" t="s">
        <v>49</v>
      </c>
      <c r="O978" t="s">
        <v>35</v>
      </c>
      <c r="P978" t="s">
        <v>102</v>
      </c>
    </row>
    <row r="979" spans="1:16" x14ac:dyDescent="0.3">
      <c r="A979" t="s">
        <v>1325</v>
      </c>
      <c r="B979" s="1">
        <v>45996</v>
      </c>
      <c r="C979" t="s">
        <v>483</v>
      </c>
      <c r="D979" t="s">
        <v>176</v>
      </c>
      <c r="E979" t="s">
        <v>177</v>
      </c>
      <c r="F979" t="s">
        <v>31</v>
      </c>
      <c r="G979" t="s">
        <v>32</v>
      </c>
      <c r="H979" t="s">
        <v>33</v>
      </c>
      <c r="J979">
        <v>2176.48</v>
      </c>
      <c r="K979">
        <v>0.15</v>
      </c>
      <c r="L979">
        <v>1850.01</v>
      </c>
      <c r="M979" t="s">
        <v>48</v>
      </c>
      <c r="N979" t="s">
        <v>24</v>
      </c>
      <c r="O979" t="s">
        <v>65</v>
      </c>
      <c r="P979" t="s">
        <v>42</v>
      </c>
    </row>
    <row r="980" spans="1:16" x14ac:dyDescent="0.3">
      <c r="A980" t="s">
        <v>1326</v>
      </c>
      <c r="B980" s="1">
        <v>45675</v>
      </c>
      <c r="C980" t="s">
        <v>339</v>
      </c>
      <c r="D980" t="s">
        <v>89</v>
      </c>
      <c r="E980" t="s">
        <v>90</v>
      </c>
      <c r="F980" t="s">
        <v>20</v>
      </c>
      <c r="G980" t="s">
        <v>81</v>
      </c>
      <c r="H980" t="s">
        <v>98</v>
      </c>
      <c r="I980">
        <v>3</v>
      </c>
      <c r="J980">
        <v>683</v>
      </c>
      <c r="K980">
        <v>0.15</v>
      </c>
      <c r="L980">
        <v>1741.65</v>
      </c>
      <c r="M980" t="s">
        <v>76</v>
      </c>
      <c r="N980" t="s">
        <v>34</v>
      </c>
      <c r="O980" t="s">
        <v>65</v>
      </c>
      <c r="P980" t="s">
        <v>59</v>
      </c>
    </row>
    <row r="981" spans="1:16" x14ac:dyDescent="0.3">
      <c r="A981" t="s">
        <v>1327</v>
      </c>
      <c r="B981" s="1">
        <v>45409</v>
      </c>
      <c r="C981" t="s">
        <v>663</v>
      </c>
      <c r="D981" t="s">
        <v>89</v>
      </c>
      <c r="E981" t="s">
        <v>90</v>
      </c>
      <c r="F981" t="s">
        <v>20</v>
      </c>
      <c r="G981" t="s">
        <v>32</v>
      </c>
      <c r="H981" t="s">
        <v>68</v>
      </c>
      <c r="I981">
        <v>5</v>
      </c>
      <c r="J981">
        <v>692.45</v>
      </c>
      <c r="K981">
        <v>0.05</v>
      </c>
      <c r="L981">
        <v>3289.14</v>
      </c>
      <c r="M981" t="s">
        <v>76</v>
      </c>
      <c r="N981" t="s">
        <v>24</v>
      </c>
      <c r="O981" t="s">
        <v>65</v>
      </c>
      <c r="P981" t="s">
        <v>26</v>
      </c>
    </row>
    <row r="982" spans="1:16" x14ac:dyDescent="0.3">
      <c r="A982" t="s">
        <v>1328</v>
      </c>
      <c r="B982" s="1">
        <v>45709</v>
      </c>
      <c r="C982" t="s">
        <v>871</v>
      </c>
      <c r="D982" t="s">
        <v>62</v>
      </c>
      <c r="E982" t="s">
        <v>63</v>
      </c>
      <c r="F982" t="s">
        <v>31</v>
      </c>
      <c r="G982" t="s">
        <v>56</v>
      </c>
      <c r="H982" t="s">
        <v>57</v>
      </c>
      <c r="I982">
        <v>1</v>
      </c>
      <c r="J982">
        <v>2891.31</v>
      </c>
      <c r="K982">
        <v>0.05</v>
      </c>
      <c r="L982">
        <v>2746.74</v>
      </c>
      <c r="M982" t="s">
        <v>23</v>
      </c>
      <c r="N982" t="s">
        <v>49</v>
      </c>
      <c r="O982" t="s">
        <v>65</v>
      </c>
      <c r="P982" t="s">
        <v>42</v>
      </c>
    </row>
    <row r="983" spans="1:16" x14ac:dyDescent="0.3">
      <c r="A983" t="s">
        <v>1329</v>
      </c>
      <c r="B983" s="1">
        <v>45562</v>
      </c>
      <c r="C983" t="s">
        <v>137</v>
      </c>
      <c r="D983" t="s">
        <v>29</v>
      </c>
      <c r="E983" t="s">
        <v>30</v>
      </c>
      <c r="F983" t="s">
        <v>31</v>
      </c>
      <c r="G983" t="s">
        <v>32</v>
      </c>
      <c r="H983" t="s">
        <v>75</v>
      </c>
      <c r="I983">
        <v>2</v>
      </c>
      <c r="J983">
        <v>3180.96</v>
      </c>
      <c r="K983">
        <v>0.05</v>
      </c>
      <c r="L983">
        <v>6043.82</v>
      </c>
      <c r="M983" t="s">
        <v>23</v>
      </c>
      <c r="N983" t="s">
        <v>34</v>
      </c>
      <c r="O983" t="s">
        <v>65</v>
      </c>
      <c r="P983" t="s">
        <v>26</v>
      </c>
    </row>
    <row r="984" spans="1:16" x14ac:dyDescent="0.3">
      <c r="A984" t="s">
        <v>1330</v>
      </c>
      <c r="B984" s="1">
        <v>45686</v>
      </c>
      <c r="C984" t="s">
        <v>206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I984">
        <v>1</v>
      </c>
      <c r="J984">
        <v>819.5</v>
      </c>
      <c r="K984">
        <v>0.03</v>
      </c>
      <c r="L984">
        <v>794.91</v>
      </c>
      <c r="M984" t="s">
        <v>23</v>
      </c>
      <c r="N984" t="s">
        <v>34</v>
      </c>
      <c r="O984" t="s">
        <v>25</v>
      </c>
      <c r="P984" t="s">
        <v>59</v>
      </c>
    </row>
    <row r="985" spans="1:16" x14ac:dyDescent="0.3">
      <c r="A985" t="s">
        <v>1331</v>
      </c>
      <c r="B985" s="1">
        <v>45475</v>
      </c>
      <c r="C985" t="s">
        <v>210</v>
      </c>
      <c r="D985" t="s">
        <v>121</v>
      </c>
      <c r="E985" t="s">
        <v>122</v>
      </c>
      <c r="F985" t="s">
        <v>55</v>
      </c>
      <c r="G985" t="s">
        <v>81</v>
      </c>
      <c r="H985" t="s">
        <v>98</v>
      </c>
      <c r="I985">
        <v>3</v>
      </c>
      <c r="J985">
        <v>436.96</v>
      </c>
      <c r="K985">
        <v>0.1</v>
      </c>
      <c r="L985">
        <v>1179.79</v>
      </c>
      <c r="M985" t="s">
        <v>76</v>
      </c>
      <c r="N985" t="s">
        <v>49</v>
      </c>
      <c r="O985" t="s">
        <v>65</v>
      </c>
      <c r="P985" t="s">
        <v>111</v>
      </c>
    </row>
    <row r="986" spans="1:16" x14ac:dyDescent="0.3">
      <c r="A986" t="s">
        <v>1332</v>
      </c>
      <c r="B986" s="1">
        <v>45711</v>
      </c>
      <c r="C986" t="s">
        <v>548</v>
      </c>
      <c r="D986" t="s">
        <v>18</v>
      </c>
      <c r="E986" t="s">
        <v>19</v>
      </c>
      <c r="F986" t="s">
        <v>20</v>
      </c>
      <c r="G986" t="s">
        <v>56</v>
      </c>
      <c r="H986" t="s">
        <v>57</v>
      </c>
      <c r="I986">
        <v>1</v>
      </c>
      <c r="J986">
        <v>892.66</v>
      </c>
      <c r="K986">
        <v>0</v>
      </c>
      <c r="L986">
        <v>892.66</v>
      </c>
      <c r="M986" t="s">
        <v>23</v>
      </c>
      <c r="N986" t="s">
        <v>58</v>
      </c>
      <c r="O986" t="s">
        <v>65</v>
      </c>
      <c r="P986" t="s">
        <v>72</v>
      </c>
    </row>
    <row r="987" spans="1:16" x14ac:dyDescent="0.3">
      <c r="A987" t="s">
        <v>1333</v>
      </c>
      <c r="B987" s="1">
        <v>45294</v>
      </c>
      <c r="C987" t="s">
        <v>70</v>
      </c>
      <c r="D987" t="s">
        <v>96</v>
      </c>
      <c r="E987" t="s">
        <v>97</v>
      </c>
      <c r="F987" t="s">
        <v>31</v>
      </c>
      <c r="G987" t="s">
        <v>21</v>
      </c>
      <c r="H987" t="s">
        <v>41</v>
      </c>
      <c r="I987">
        <v>1</v>
      </c>
      <c r="J987">
        <v>1243.05</v>
      </c>
      <c r="K987">
        <v>0.03</v>
      </c>
      <c r="L987">
        <v>1205.76</v>
      </c>
      <c r="M987" t="s">
        <v>23</v>
      </c>
      <c r="N987" t="s">
        <v>58</v>
      </c>
      <c r="O987" t="s">
        <v>65</v>
      </c>
      <c r="P987" t="s">
        <v>26</v>
      </c>
    </row>
    <row r="988" spans="1:16" x14ac:dyDescent="0.3">
      <c r="A988" t="s">
        <v>1334</v>
      </c>
      <c r="B988" s="1">
        <v>45410</v>
      </c>
      <c r="C988" t="s">
        <v>480</v>
      </c>
      <c r="D988" t="s">
        <v>79</v>
      </c>
      <c r="E988" t="s">
        <v>80</v>
      </c>
      <c r="F988" t="s">
        <v>31</v>
      </c>
      <c r="G988" t="s">
        <v>56</v>
      </c>
      <c r="H988" t="s">
        <v>123</v>
      </c>
      <c r="I988">
        <v>1</v>
      </c>
      <c r="J988">
        <v>12368.01</v>
      </c>
      <c r="K988">
        <v>0.05</v>
      </c>
      <c r="L988">
        <v>11749.61</v>
      </c>
      <c r="M988" t="s">
        <v>48</v>
      </c>
      <c r="N988" t="s">
        <v>24</v>
      </c>
      <c r="O988" t="s">
        <v>413</v>
      </c>
      <c r="P988" t="s">
        <v>102</v>
      </c>
    </row>
    <row r="989" spans="1:16" x14ac:dyDescent="0.3">
      <c r="A989" t="s">
        <v>1335</v>
      </c>
      <c r="B989" s="1">
        <v>45435</v>
      </c>
      <c r="C989" t="s">
        <v>1013</v>
      </c>
      <c r="D989" t="s">
        <v>96</v>
      </c>
      <c r="E989" t="s">
        <v>97</v>
      </c>
      <c r="F989" t="s">
        <v>31</v>
      </c>
      <c r="G989" t="s">
        <v>56</v>
      </c>
      <c r="H989" t="s">
        <v>101</v>
      </c>
      <c r="I989">
        <v>2</v>
      </c>
      <c r="J989">
        <v>1272.58</v>
      </c>
      <c r="K989">
        <v>0.03</v>
      </c>
      <c r="L989">
        <v>2468.81</v>
      </c>
      <c r="M989" t="s">
        <v>23</v>
      </c>
      <c r="N989" t="s">
        <v>58</v>
      </c>
      <c r="O989" t="s">
        <v>65</v>
      </c>
      <c r="P989" t="s">
        <v>116</v>
      </c>
    </row>
    <row r="990" spans="1:16" x14ac:dyDescent="0.3">
      <c r="A990" t="s">
        <v>1336</v>
      </c>
      <c r="B990" s="1">
        <v>45925</v>
      </c>
      <c r="C990" t="s">
        <v>1337</v>
      </c>
      <c r="D990" t="s">
        <v>29</v>
      </c>
      <c r="E990" t="s">
        <v>30</v>
      </c>
      <c r="F990" t="s">
        <v>31</v>
      </c>
      <c r="G990" t="s">
        <v>56</v>
      </c>
      <c r="H990" t="s">
        <v>123</v>
      </c>
      <c r="I990">
        <v>4</v>
      </c>
      <c r="J990">
        <v>2955.53</v>
      </c>
      <c r="K990">
        <v>0.03</v>
      </c>
      <c r="L990">
        <v>11467.46</v>
      </c>
      <c r="M990" t="s">
        <v>23</v>
      </c>
      <c r="N990" t="s">
        <v>58</v>
      </c>
      <c r="O990" t="s">
        <v>65</v>
      </c>
      <c r="P990" t="s">
        <v>50</v>
      </c>
    </row>
    <row r="991" spans="1:16" x14ac:dyDescent="0.3">
      <c r="A991" t="s">
        <v>1338</v>
      </c>
      <c r="B991" s="1">
        <v>45717</v>
      </c>
      <c r="C991" t="s">
        <v>227</v>
      </c>
      <c r="D991" t="s">
        <v>62</v>
      </c>
      <c r="E991" t="s">
        <v>63</v>
      </c>
      <c r="F991" t="s">
        <v>31</v>
      </c>
      <c r="G991" t="s">
        <v>81</v>
      </c>
      <c r="H991" t="s">
        <v>98</v>
      </c>
      <c r="I991">
        <v>5</v>
      </c>
      <c r="J991">
        <v>2773.85</v>
      </c>
      <c r="K991">
        <v>0.05</v>
      </c>
      <c r="L991">
        <v>13175.79</v>
      </c>
      <c r="M991" t="s">
        <v>76</v>
      </c>
      <c r="N991" t="s">
        <v>34</v>
      </c>
      <c r="O991" t="s">
        <v>65</v>
      </c>
      <c r="P991" t="s">
        <v>116</v>
      </c>
    </row>
    <row r="992" spans="1:16" x14ac:dyDescent="0.3">
      <c r="A992" t="s">
        <v>1339</v>
      </c>
      <c r="B992" s="1">
        <v>45879</v>
      </c>
      <c r="C992" t="s">
        <v>295</v>
      </c>
      <c r="D992" t="s">
        <v>105</v>
      </c>
      <c r="E992" t="s">
        <v>106</v>
      </c>
      <c r="F992" t="s">
        <v>40</v>
      </c>
      <c r="G992" t="s">
        <v>81</v>
      </c>
      <c r="H992" t="s">
        <v>98</v>
      </c>
      <c r="I992">
        <v>3</v>
      </c>
      <c r="J992">
        <v>7608.19</v>
      </c>
      <c r="K992">
        <v>0.2</v>
      </c>
      <c r="L992">
        <v>18259.66</v>
      </c>
      <c r="M992" t="s">
        <v>76</v>
      </c>
      <c r="N992" t="s">
        <v>49</v>
      </c>
      <c r="O992" t="s">
        <v>65</v>
      </c>
      <c r="P992" t="s">
        <v>26</v>
      </c>
    </row>
    <row r="993" spans="1:16" x14ac:dyDescent="0.3">
      <c r="A993" t="s">
        <v>1340</v>
      </c>
      <c r="B993" s="1">
        <v>46122</v>
      </c>
      <c r="C993" t="s">
        <v>531</v>
      </c>
      <c r="D993" t="s">
        <v>176</v>
      </c>
      <c r="E993" t="s">
        <v>177</v>
      </c>
      <c r="F993" t="s">
        <v>31</v>
      </c>
      <c r="G993" t="s">
        <v>32</v>
      </c>
      <c r="H993" t="s">
        <v>68</v>
      </c>
      <c r="I993">
        <v>5</v>
      </c>
      <c r="J993">
        <v>2103.41</v>
      </c>
      <c r="K993">
        <v>0.15</v>
      </c>
      <c r="L993">
        <v>8939.49</v>
      </c>
      <c r="M993" t="s">
        <v>23</v>
      </c>
      <c r="N993" t="s">
        <v>49</v>
      </c>
      <c r="O993" t="s">
        <v>65</v>
      </c>
      <c r="P993" t="s">
        <v>59</v>
      </c>
    </row>
    <row r="994" spans="1:16" x14ac:dyDescent="0.3">
      <c r="A994" t="s">
        <v>1341</v>
      </c>
      <c r="B994" s="1">
        <v>45300</v>
      </c>
      <c r="C994" t="s">
        <v>293</v>
      </c>
      <c r="D994" t="s">
        <v>29</v>
      </c>
      <c r="E994" t="s">
        <v>30</v>
      </c>
      <c r="F994" t="s">
        <v>31</v>
      </c>
      <c r="G994" t="s">
        <v>56</v>
      </c>
      <c r="H994" t="s">
        <v>57</v>
      </c>
      <c r="I994">
        <v>4</v>
      </c>
      <c r="J994">
        <v>3089.74</v>
      </c>
      <c r="K994">
        <v>0</v>
      </c>
      <c r="L994">
        <v>12358.96</v>
      </c>
      <c r="M994" t="s">
        <v>76</v>
      </c>
      <c r="O994" t="s">
        <v>65</v>
      </c>
      <c r="P994" t="s">
        <v>42</v>
      </c>
    </row>
    <row r="995" spans="1:16" x14ac:dyDescent="0.3">
      <c r="A995" t="s">
        <v>1342</v>
      </c>
      <c r="B995" s="1">
        <v>45900</v>
      </c>
      <c r="C995" t="s">
        <v>439</v>
      </c>
      <c r="D995" t="s">
        <v>89</v>
      </c>
      <c r="E995" t="s">
        <v>90</v>
      </c>
      <c r="F995" t="s">
        <v>20</v>
      </c>
      <c r="G995" t="s">
        <v>21</v>
      </c>
      <c r="H995" t="s">
        <v>126</v>
      </c>
      <c r="I995">
        <v>4</v>
      </c>
      <c r="J995">
        <v>725.07</v>
      </c>
      <c r="K995">
        <v>0.08</v>
      </c>
      <c r="L995">
        <v>2668.26</v>
      </c>
      <c r="M995" t="s">
        <v>23</v>
      </c>
      <c r="N995" t="s">
        <v>49</v>
      </c>
      <c r="O995" t="s">
        <v>25</v>
      </c>
      <c r="P995" t="s">
        <v>50</v>
      </c>
    </row>
    <row r="996" spans="1:16" x14ac:dyDescent="0.3">
      <c r="A996" t="s">
        <v>1343</v>
      </c>
      <c r="B996" s="1">
        <v>45437</v>
      </c>
      <c r="C996" t="s">
        <v>125</v>
      </c>
      <c r="D996" t="s">
        <v>18</v>
      </c>
      <c r="E996" t="s">
        <v>19</v>
      </c>
      <c r="F996" t="s">
        <v>20</v>
      </c>
      <c r="G996" t="s">
        <v>56</v>
      </c>
      <c r="H996" t="s">
        <v>123</v>
      </c>
      <c r="I996">
        <v>4</v>
      </c>
      <c r="J996">
        <v>857.61</v>
      </c>
      <c r="K996">
        <v>0.1</v>
      </c>
      <c r="L996">
        <v>3087.4</v>
      </c>
      <c r="M996" t="s">
        <v>48</v>
      </c>
      <c r="N996" t="s">
        <v>58</v>
      </c>
      <c r="O996" t="s">
        <v>65</v>
      </c>
      <c r="P996" t="s">
        <v>111</v>
      </c>
    </row>
    <row r="997" spans="1:16" x14ac:dyDescent="0.3">
      <c r="A997" t="s">
        <v>1344</v>
      </c>
      <c r="B997" s="1">
        <v>45963</v>
      </c>
      <c r="C997" t="s">
        <v>776</v>
      </c>
      <c r="D997" t="s">
        <v>176</v>
      </c>
      <c r="E997" t="s">
        <v>177</v>
      </c>
      <c r="F997" t="s">
        <v>31</v>
      </c>
      <c r="G997" t="s">
        <v>32</v>
      </c>
      <c r="H997" t="s">
        <v>75</v>
      </c>
      <c r="I997">
        <v>4</v>
      </c>
      <c r="J997">
        <v>2165.34</v>
      </c>
      <c r="K997">
        <v>0.2</v>
      </c>
      <c r="L997">
        <v>6929.09</v>
      </c>
      <c r="M997" t="s">
        <v>48</v>
      </c>
      <c r="N997" t="s">
        <v>34</v>
      </c>
      <c r="O997" t="s">
        <v>35</v>
      </c>
      <c r="P997" t="s">
        <v>116</v>
      </c>
    </row>
    <row r="998" spans="1:16" x14ac:dyDescent="0.3">
      <c r="A998" t="s">
        <v>1345</v>
      </c>
      <c r="B998" s="1">
        <v>45817</v>
      </c>
      <c r="C998" t="s">
        <v>445</v>
      </c>
      <c r="D998" t="s">
        <v>96</v>
      </c>
      <c r="E998" t="s">
        <v>97</v>
      </c>
      <c r="F998" t="s">
        <v>31</v>
      </c>
      <c r="G998" t="s">
        <v>81</v>
      </c>
      <c r="H998" t="s">
        <v>87</v>
      </c>
      <c r="I998">
        <v>1</v>
      </c>
      <c r="J998">
        <v>1185.3399999999999</v>
      </c>
      <c r="K998">
        <v>0.2</v>
      </c>
      <c r="L998">
        <v>948.27</v>
      </c>
      <c r="M998" t="s">
        <v>23</v>
      </c>
      <c r="N998" t="s">
        <v>24</v>
      </c>
      <c r="O998" t="s">
        <v>65</v>
      </c>
      <c r="P998" t="s">
        <v>26</v>
      </c>
    </row>
    <row r="999" spans="1:16" x14ac:dyDescent="0.3">
      <c r="A999" t="s">
        <v>1346</v>
      </c>
      <c r="B999" s="1">
        <v>45982</v>
      </c>
      <c r="C999" t="s">
        <v>817</v>
      </c>
      <c r="D999" t="s">
        <v>96</v>
      </c>
      <c r="E999" t="s">
        <v>97</v>
      </c>
      <c r="F999" t="s">
        <v>31</v>
      </c>
      <c r="G999" t="s">
        <v>56</v>
      </c>
      <c r="H999" t="s">
        <v>57</v>
      </c>
      <c r="I999">
        <v>5</v>
      </c>
      <c r="J999">
        <v>1245.1099999999999</v>
      </c>
      <c r="K999">
        <v>0.2</v>
      </c>
      <c r="L999">
        <v>4980.4399999999996</v>
      </c>
      <c r="M999" t="s">
        <v>48</v>
      </c>
      <c r="N999" t="s">
        <v>34</v>
      </c>
      <c r="O999" t="s">
        <v>25</v>
      </c>
      <c r="P999" t="s">
        <v>42</v>
      </c>
    </row>
    <row r="1000" spans="1:16" x14ac:dyDescent="0.3">
      <c r="A1000" t="s">
        <v>1347</v>
      </c>
      <c r="B1000" s="1">
        <v>45304</v>
      </c>
      <c r="C1000" t="s">
        <v>453</v>
      </c>
      <c r="D1000" t="s">
        <v>176</v>
      </c>
      <c r="E1000" t="s">
        <v>177</v>
      </c>
      <c r="F1000" t="s">
        <v>31</v>
      </c>
      <c r="G1000" t="s">
        <v>56</v>
      </c>
      <c r="H1000" t="s">
        <v>101</v>
      </c>
      <c r="I1000">
        <v>1</v>
      </c>
      <c r="J1000">
        <v>2115.87</v>
      </c>
      <c r="K1000">
        <v>0.03</v>
      </c>
      <c r="L1000">
        <v>2052.39</v>
      </c>
      <c r="M1000" t="s">
        <v>76</v>
      </c>
      <c r="N1000" t="s">
        <v>58</v>
      </c>
      <c r="O1000" t="s">
        <v>25</v>
      </c>
      <c r="P1000" t="s">
        <v>116</v>
      </c>
    </row>
    <row r="1001" spans="1:16" x14ac:dyDescent="0.3">
      <c r="A1001" t="s">
        <v>1348</v>
      </c>
      <c r="B1001" s="1">
        <v>45438</v>
      </c>
      <c r="C1001" t="s">
        <v>348</v>
      </c>
      <c r="D1001" t="s">
        <v>131</v>
      </c>
      <c r="E1001" t="s">
        <v>132</v>
      </c>
      <c r="F1001" t="s">
        <v>40</v>
      </c>
      <c r="G1001" t="s">
        <v>32</v>
      </c>
      <c r="H1001" t="s">
        <v>33</v>
      </c>
      <c r="I1001">
        <v>1</v>
      </c>
      <c r="J1001">
        <v>9411.81</v>
      </c>
      <c r="K1001">
        <v>0</v>
      </c>
      <c r="L1001">
        <v>9411.81</v>
      </c>
      <c r="M1001" t="s">
        <v>23</v>
      </c>
      <c r="N1001" t="s">
        <v>58</v>
      </c>
      <c r="O1001" t="s">
        <v>65</v>
      </c>
      <c r="P1001" t="s">
        <v>116</v>
      </c>
    </row>
    <row r="1002" spans="1:16" x14ac:dyDescent="0.3">
      <c r="A1002" t="s">
        <v>1349</v>
      </c>
      <c r="B1002" s="1">
        <v>45906</v>
      </c>
      <c r="C1002" t="s">
        <v>535</v>
      </c>
      <c r="D1002" t="s">
        <v>62</v>
      </c>
      <c r="E1002" t="s">
        <v>63</v>
      </c>
      <c r="F1002" t="s">
        <v>31</v>
      </c>
      <c r="G1002" t="s">
        <v>81</v>
      </c>
      <c r="H1002" t="s">
        <v>135</v>
      </c>
      <c r="I1002">
        <v>2</v>
      </c>
      <c r="J1002">
        <v>2969.1</v>
      </c>
      <c r="K1002">
        <v>0.03</v>
      </c>
      <c r="L1002">
        <v>5760.05</v>
      </c>
      <c r="M1002" t="s">
        <v>48</v>
      </c>
      <c r="N1002" t="s">
        <v>71</v>
      </c>
      <c r="O1002" t="s">
        <v>65</v>
      </c>
      <c r="P1002" t="s">
        <v>102</v>
      </c>
    </row>
    <row r="1003" spans="1:16" x14ac:dyDescent="0.3">
      <c r="A1003" t="s">
        <v>1350</v>
      </c>
      <c r="B1003" s="1">
        <v>46752</v>
      </c>
      <c r="C1003" t="s">
        <v>480</v>
      </c>
      <c r="D1003" t="s">
        <v>79</v>
      </c>
      <c r="E1003" t="s">
        <v>80</v>
      </c>
      <c r="F1003" t="s">
        <v>31</v>
      </c>
      <c r="G1003" t="s">
        <v>81</v>
      </c>
      <c r="H1003" t="s">
        <v>135</v>
      </c>
      <c r="I1003">
        <v>4</v>
      </c>
      <c r="J1003">
        <v>12650.71</v>
      </c>
      <c r="K1003">
        <v>0.1</v>
      </c>
      <c r="L1003">
        <v>45542.559999999998</v>
      </c>
      <c r="M1003" t="s">
        <v>23</v>
      </c>
      <c r="N1003" t="s">
        <v>71</v>
      </c>
      <c r="O1003" t="s">
        <v>35</v>
      </c>
      <c r="P1003" t="s">
        <v>50</v>
      </c>
    </row>
    <row r="1004" spans="1:16" x14ac:dyDescent="0.3">
      <c r="A1004" t="s">
        <v>1351</v>
      </c>
      <c r="B1004" s="1">
        <v>45479</v>
      </c>
      <c r="C1004" t="s">
        <v>339</v>
      </c>
      <c r="D1004" t="s">
        <v>18</v>
      </c>
      <c r="E1004" t="s">
        <v>19</v>
      </c>
      <c r="F1004" t="s">
        <v>20</v>
      </c>
      <c r="G1004" t="s">
        <v>81</v>
      </c>
      <c r="H1004" t="s">
        <v>135</v>
      </c>
      <c r="I1004">
        <v>1</v>
      </c>
      <c r="J1004">
        <v>881.5</v>
      </c>
      <c r="K1004">
        <v>0</v>
      </c>
      <c r="L1004">
        <v>881.5</v>
      </c>
      <c r="M1004" t="s">
        <v>76</v>
      </c>
      <c r="N1004" t="s">
        <v>49</v>
      </c>
      <c r="O1004" t="s">
        <v>65</v>
      </c>
      <c r="P1004" t="s">
        <v>42</v>
      </c>
    </row>
    <row r="1005" spans="1:16" x14ac:dyDescent="0.3">
      <c r="A1005" t="s">
        <v>1352</v>
      </c>
      <c r="B1005" s="1">
        <v>45569</v>
      </c>
      <c r="C1005" t="s">
        <v>345</v>
      </c>
      <c r="D1005" t="s">
        <v>170</v>
      </c>
      <c r="E1005" t="s">
        <v>171</v>
      </c>
      <c r="F1005" t="s">
        <v>31</v>
      </c>
      <c r="G1005" t="s">
        <v>32</v>
      </c>
      <c r="H1005" t="s">
        <v>68</v>
      </c>
      <c r="I1005">
        <v>2</v>
      </c>
      <c r="J1005">
        <v>60262.36</v>
      </c>
      <c r="K1005">
        <v>0.08</v>
      </c>
      <c r="L1005">
        <v>110882.74</v>
      </c>
      <c r="M1005" t="s">
        <v>23</v>
      </c>
      <c r="N1005" t="s">
        <v>58</v>
      </c>
      <c r="O1005" t="s">
        <v>65</v>
      </c>
      <c r="P1005" t="s">
        <v>102</v>
      </c>
    </row>
    <row r="1006" spans="1:16" x14ac:dyDescent="0.3">
      <c r="A1006" t="s">
        <v>1353</v>
      </c>
      <c r="B1006" s="1">
        <v>45464</v>
      </c>
      <c r="C1006" t="s">
        <v>137</v>
      </c>
      <c r="D1006" t="s">
        <v>131</v>
      </c>
      <c r="E1006" t="s">
        <v>132</v>
      </c>
      <c r="F1006" t="s">
        <v>40</v>
      </c>
      <c r="G1006" t="s">
        <v>56</v>
      </c>
      <c r="H1006" t="s">
        <v>123</v>
      </c>
      <c r="I1006">
        <v>1</v>
      </c>
      <c r="J1006">
        <v>8867.08</v>
      </c>
      <c r="K1006">
        <v>0</v>
      </c>
      <c r="L1006">
        <v>8867.08</v>
      </c>
      <c r="M1006" t="s">
        <v>23</v>
      </c>
      <c r="N1006" t="s">
        <v>24</v>
      </c>
      <c r="O1006" t="s">
        <v>25</v>
      </c>
      <c r="P1006" t="s">
        <v>42</v>
      </c>
    </row>
    <row r="1007" spans="1:16" x14ac:dyDescent="0.3">
      <c r="A1007" t="s">
        <v>1354</v>
      </c>
      <c r="B1007" s="1">
        <v>45934</v>
      </c>
      <c r="C1007" t="s">
        <v>61</v>
      </c>
      <c r="D1007" t="s">
        <v>18</v>
      </c>
      <c r="E1007" t="s">
        <v>19</v>
      </c>
      <c r="F1007" t="s">
        <v>20</v>
      </c>
      <c r="G1007" t="s">
        <v>81</v>
      </c>
      <c r="H1007" t="s">
        <v>98</v>
      </c>
      <c r="I1007">
        <v>3</v>
      </c>
      <c r="J1007">
        <v>805.34</v>
      </c>
      <c r="K1007">
        <v>0.08</v>
      </c>
      <c r="L1007">
        <v>2222.7399999999998</v>
      </c>
      <c r="M1007" t="s">
        <v>48</v>
      </c>
      <c r="N1007" t="s">
        <v>24</v>
      </c>
      <c r="O1007" t="s">
        <v>65</v>
      </c>
      <c r="P1007" t="s">
        <v>116</v>
      </c>
    </row>
    <row r="1008" spans="1:16" x14ac:dyDescent="0.3">
      <c r="A1008" t="s">
        <v>1355</v>
      </c>
      <c r="B1008" s="1">
        <v>46136</v>
      </c>
      <c r="C1008" t="s">
        <v>355</v>
      </c>
      <c r="D1008" t="s">
        <v>18</v>
      </c>
      <c r="E1008" t="s">
        <v>19</v>
      </c>
      <c r="F1008" t="s">
        <v>20</v>
      </c>
      <c r="G1008" t="s">
        <v>56</v>
      </c>
      <c r="H1008" t="s">
        <v>101</v>
      </c>
      <c r="I1008">
        <v>5</v>
      </c>
      <c r="J1008">
        <v>907.53</v>
      </c>
      <c r="K1008">
        <v>0.03</v>
      </c>
      <c r="L1008">
        <v>4401.5200000000004</v>
      </c>
      <c r="M1008" t="s">
        <v>76</v>
      </c>
      <c r="N1008" t="s">
        <v>49</v>
      </c>
      <c r="O1008" t="s">
        <v>65</v>
      </c>
      <c r="P1008" t="s">
        <v>72</v>
      </c>
    </row>
    <row r="1009" spans="1:16" x14ac:dyDescent="0.3">
      <c r="A1009" t="s">
        <v>1356</v>
      </c>
      <c r="B1009" s="1">
        <v>46063</v>
      </c>
      <c r="C1009" t="s">
        <v>466</v>
      </c>
      <c r="D1009" t="s">
        <v>89</v>
      </c>
      <c r="E1009" t="s">
        <v>90</v>
      </c>
      <c r="F1009" t="s">
        <v>20</v>
      </c>
      <c r="G1009" t="s">
        <v>81</v>
      </c>
      <c r="H1009" t="s">
        <v>87</v>
      </c>
      <c r="I1009">
        <v>1</v>
      </c>
      <c r="J1009">
        <v>724.82</v>
      </c>
      <c r="K1009">
        <v>0.08</v>
      </c>
      <c r="L1009">
        <v>666.83</v>
      </c>
      <c r="M1009" t="s">
        <v>23</v>
      </c>
      <c r="N1009" t="s">
        <v>34</v>
      </c>
      <c r="O1009" t="s">
        <v>65</v>
      </c>
      <c r="P1009" t="s">
        <v>50</v>
      </c>
    </row>
    <row r="1010" spans="1:16" x14ac:dyDescent="0.3">
      <c r="A1010" t="s">
        <v>1357</v>
      </c>
      <c r="B1010" s="1">
        <v>45368</v>
      </c>
      <c r="C1010" t="s">
        <v>935</v>
      </c>
      <c r="D1010" t="s">
        <v>38</v>
      </c>
      <c r="E1010" t="s">
        <v>39</v>
      </c>
      <c r="F1010" t="s">
        <v>40</v>
      </c>
      <c r="G1010" t="s">
        <v>32</v>
      </c>
      <c r="H1010" t="s">
        <v>33</v>
      </c>
      <c r="I1010">
        <v>1</v>
      </c>
      <c r="J1010">
        <v>1569.53</v>
      </c>
      <c r="K1010">
        <v>0.15</v>
      </c>
      <c r="L1010">
        <v>1334.1</v>
      </c>
      <c r="M1010" t="s">
        <v>48</v>
      </c>
      <c r="N1010" t="s">
        <v>49</v>
      </c>
      <c r="O1010" t="s">
        <v>65</v>
      </c>
      <c r="P1010" t="s">
        <v>116</v>
      </c>
    </row>
    <row r="1011" spans="1:16" x14ac:dyDescent="0.3">
      <c r="A1011" t="s">
        <v>1358</v>
      </c>
      <c r="B1011" s="1">
        <v>46090</v>
      </c>
      <c r="C1011" t="s">
        <v>350</v>
      </c>
      <c r="D1011" t="s">
        <v>176</v>
      </c>
      <c r="E1011" t="s">
        <v>177</v>
      </c>
      <c r="F1011" t="s">
        <v>31</v>
      </c>
      <c r="G1011" t="s">
        <v>81</v>
      </c>
      <c r="H1011" t="s">
        <v>98</v>
      </c>
      <c r="I1011">
        <v>1</v>
      </c>
      <c r="J1011">
        <v>2148.16</v>
      </c>
      <c r="K1011">
        <v>0.08</v>
      </c>
      <c r="L1011">
        <v>1976.31</v>
      </c>
      <c r="M1011" t="s">
        <v>76</v>
      </c>
      <c r="N1011" t="s">
        <v>34</v>
      </c>
      <c r="O1011" t="s">
        <v>65</v>
      </c>
      <c r="P1011" t="s">
        <v>59</v>
      </c>
    </row>
    <row r="1012" spans="1:16" x14ac:dyDescent="0.3">
      <c r="A1012" t="s">
        <v>1359</v>
      </c>
      <c r="B1012" s="1">
        <v>46141</v>
      </c>
      <c r="C1012" t="s">
        <v>28</v>
      </c>
      <c r="D1012" t="s">
        <v>29</v>
      </c>
      <c r="E1012" t="s">
        <v>30</v>
      </c>
      <c r="F1012" t="s">
        <v>31</v>
      </c>
      <c r="G1012" t="s">
        <v>21</v>
      </c>
      <c r="H1012" t="s">
        <v>41</v>
      </c>
      <c r="I1012">
        <v>3</v>
      </c>
      <c r="J1012">
        <v>3259.69</v>
      </c>
      <c r="K1012">
        <v>0.15</v>
      </c>
      <c r="L1012">
        <v>8312.2099999999991</v>
      </c>
      <c r="M1012" t="s">
        <v>48</v>
      </c>
      <c r="N1012" t="s">
        <v>58</v>
      </c>
      <c r="O1012" t="s">
        <v>35</v>
      </c>
      <c r="P1012" t="s">
        <v>72</v>
      </c>
    </row>
    <row r="1013" spans="1:16" x14ac:dyDescent="0.3">
      <c r="A1013" t="s">
        <v>1360</v>
      </c>
      <c r="B1013" s="1">
        <v>45777</v>
      </c>
      <c r="C1013" t="s">
        <v>37</v>
      </c>
      <c r="D1013" t="s">
        <v>62</v>
      </c>
      <c r="E1013" t="s">
        <v>63</v>
      </c>
      <c r="F1013" t="s">
        <v>31</v>
      </c>
      <c r="G1013" t="s">
        <v>21</v>
      </c>
      <c r="H1013" t="s">
        <v>126</v>
      </c>
      <c r="I1013">
        <v>2</v>
      </c>
      <c r="J1013">
        <v>2770.04</v>
      </c>
      <c r="K1013">
        <v>0.1</v>
      </c>
      <c r="L1013">
        <v>4986.07</v>
      </c>
      <c r="M1013" t="s">
        <v>23</v>
      </c>
      <c r="N1013" t="s">
        <v>24</v>
      </c>
      <c r="O1013" t="s">
        <v>25</v>
      </c>
      <c r="P1013" t="s">
        <v>111</v>
      </c>
    </row>
    <row r="1014" spans="1:16" x14ac:dyDescent="0.3">
      <c r="A1014" t="s">
        <v>1361</v>
      </c>
      <c r="B1014" s="1">
        <v>45669</v>
      </c>
      <c r="C1014" t="s">
        <v>685</v>
      </c>
      <c r="D1014" t="s">
        <v>89</v>
      </c>
      <c r="E1014" t="s">
        <v>90</v>
      </c>
      <c r="F1014" t="s">
        <v>20</v>
      </c>
      <c r="G1014" t="s">
        <v>81</v>
      </c>
      <c r="H1014" t="s">
        <v>82</v>
      </c>
      <c r="I1014">
        <v>5</v>
      </c>
      <c r="J1014">
        <v>711.4</v>
      </c>
      <c r="K1014">
        <v>0.05</v>
      </c>
      <c r="L1014">
        <v>3379.15</v>
      </c>
      <c r="M1014" t="s">
        <v>48</v>
      </c>
      <c r="N1014" t="s">
        <v>58</v>
      </c>
      <c r="O1014" t="s">
        <v>65</v>
      </c>
      <c r="P1014" t="s">
        <v>42</v>
      </c>
    </row>
    <row r="1015" spans="1:16" x14ac:dyDescent="0.3">
      <c r="A1015" t="s">
        <v>1362</v>
      </c>
      <c r="B1015" s="1">
        <v>45728</v>
      </c>
      <c r="C1015" t="s">
        <v>253</v>
      </c>
      <c r="D1015" t="s">
        <v>18</v>
      </c>
      <c r="E1015" t="s">
        <v>19</v>
      </c>
      <c r="F1015" t="s">
        <v>20</v>
      </c>
      <c r="G1015" t="s">
        <v>56</v>
      </c>
      <c r="H1015" t="s">
        <v>57</v>
      </c>
      <c r="I1015">
        <v>3</v>
      </c>
      <c r="J1015">
        <v>913.48</v>
      </c>
      <c r="K1015">
        <v>0</v>
      </c>
      <c r="L1015">
        <v>2740.44</v>
      </c>
      <c r="M1015" t="s">
        <v>23</v>
      </c>
      <c r="N1015" t="s">
        <v>24</v>
      </c>
      <c r="O1015" t="s">
        <v>35</v>
      </c>
      <c r="P1015" t="s">
        <v>42</v>
      </c>
    </row>
    <row r="1016" spans="1:16" x14ac:dyDescent="0.3">
      <c r="A1016" t="s">
        <v>1363</v>
      </c>
      <c r="B1016" s="1">
        <v>45970</v>
      </c>
      <c r="C1016" t="s">
        <v>243</v>
      </c>
      <c r="D1016" t="s">
        <v>29</v>
      </c>
      <c r="E1016" t="s">
        <v>30</v>
      </c>
      <c r="F1016" t="s">
        <v>31</v>
      </c>
      <c r="G1016" t="s">
        <v>56</v>
      </c>
      <c r="H1016" t="s">
        <v>57</v>
      </c>
      <c r="I1016">
        <v>3</v>
      </c>
      <c r="J1016">
        <v>3455.75</v>
      </c>
      <c r="K1016">
        <v>0.05</v>
      </c>
      <c r="L1016">
        <v>9848.89</v>
      </c>
      <c r="M1016" t="s">
        <v>76</v>
      </c>
      <c r="N1016" t="s">
        <v>49</v>
      </c>
      <c r="O1016" t="s">
        <v>65</v>
      </c>
      <c r="P1016" t="s">
        <v>102</v>
      </c>
    </row>
    <row r="1017" spans="1:16" x14ac:dyDescent="0.3">
      <c r="A1017" t="s">
        <v>1364</v>
      </c>
      <c r="B1017" s="1">
        <v>45535</v>
      </c>
      <c r="C1017" t="s">
        <v>200</v>
      </c>
      <c r="D1017" t="s">
        <v>121</v>
      </c>
      <c r="E1017" t="s">
        <v>122</v>
      </c>
      <c r="F1017" t="s">
        <v>55</v>
      </c>
      <c r="G1017" t="s">
        <v>81</v>
      </c>
      <c r="H1017" t="s">
        <v>98</v>
      </c>
      <c r="I1017">
        <v>1</v>
      </c>
      <c r="J1017">
        <v>415.25</v>
      </c>
      <c r="K1017">
        <v>0.05</v>
      </c>
      <c r="L1017">
        <v>394.49</v>
      </c>
      <c r="M1017" t="s">
        <v>48</v>
      </c>
      <c r="N1017" t="s">
        <v>58</v>
      </c>
      <c r="O1017" t="s">
        <v>65</v>
      </c>
      <c r="P1017" t="s">
        <v>50</v>
      </c>
    </row>
    <row r="1018" spans="1:16" x14ac:dyDescent="0.3">
      <c r="A1018" t="s">
        <v>1365</v>
      </c>
      <c r="B1018" s="1">
        <v>46043</v>
      </c>
      <c r="C1018" t="s">
        <v>272</v>
      </c>
      <c r="D1018" t="s">
        <v>29</v>
      </c>
      <c r="E1018" t="s">
        <v>30</v>
      </c>
      <c r="F1018" t="s">
        <v>31</v>
      </c>
      <c r="G1018" t="s">
        <v>81</v>
      </c>
      <c r="H1018" t="s">
        <v>82</v>
      </c>
      <c r="I1018">
        <v>1</v>
      </c>
      <c r="J1018">
        <v>3057.21</v>
      </c>
      <c r="K1018">
        <v>0.1</v>
      </c>
      <c r="L1018">
        <v>2751.49</v>
      </c>
      <c r="M1018" t="s">
        <v>23</v>
      </c>
      <c r="N1018" t="s">
        <v>58</v>
      </c>
      <c r="O1018" t="s">
        <v>65</v>
      </c>
      <c r="P1018" t="s">
        <v>59</v>
      </c>
    </row>
    <row r="1019" spans="1:16" x14ac:dyDescent="0.3">
      <c r="A1019" t="s">
        <v>1366</v>
      </c>
      <c r="B1019" s="1">
        <v>45944</v>
      </c>
      <c r="C1019" t="s">
        <v>1211</v>
      </c>
      <c r="D1019" t="s">
        <v>121</v>
      </c>
      <c r="E1019" t="s">
        <v>122</v>
      </c>
      <c r="F1019" t="s">
        <v>55</v>
      </c>
      <c r="G1019" t="s">
        <v>56</v>
      </c>
      <c r="H1019" t="s">
        <v>57</v>
      </c>
      <c r="I1019">
        <v>3</v>
      </c>
      <c r="J1019">
        <v>422.04</v>
      </c>
      <c r="K1019">
        <v>0.08</v>
      </c>
      <c r="L1019">
        <v>1164.83</v>
      </c>
      <c r="M1019" t="s">
        <v>48</v>
      </c>
      <c r="N1019" t="s">
        <v>71</v>
      </c>
      <c r="O1019" t="s">
        <v>65</v>
      </c>
      <c r="P1019" t="s">
        <v>59</v>
      </c>
    </row>
    <row r="1020" spans="1:16" x14ac:dyDescent="0.3">
      <c r="A1020" t="s">
        <v>1367</v>
      </c>
      <c r="B1020" s="1">
        <v>45457</v>
      </c>
      <c r="C1020" t="s">
        <v>125</v>
      </c>
      <c r="D1020" t="s">
        <v>38</v>
      </c>
      <c r="E1020" t="s">
        <v>39</v>
      </c>
      <c r="F1020" t="s">
        <v>40</v>
      </c>
      <c r="G1020" t="s">
        <v>32</v>
      </c>
      <c r="H1020" t="s">
        <v>33</v>
      </c>
      <c r="I1020">
        <v>2</v>
      </c>
      <c r="J1020">
        <v>1678.98</v>
      </c>
      <c r="K1020">
        <v>0</v>
      </c>
      <c r="L1020">
        <v>3357.96</v>
      </c>
      <c r="M1020" t="s">
        <v>23</v>
      </c>
      <c r="N1020" t="s">
        <v>58</v>
      </c>
      <c r="O1020" t="s">
        <v>65</v>
      </c>
      <c r="P1020" t="s">
        <v>72</v>
      </c>
    </row>
    <row r="1021" spans="1:16" x14ac:dyDescent="0.3">
      <c r="A1021" t="s">
        <v>1368</v>
      </c>
      <c r="B1021" s="1">
        <v>45682</v>
      </c>
      <c r="C1021" t="s">
        <v>341</v>
      </c>
      <c r="D1021" t="s">
        <v>176</v>
      </c>
      <c r="E1021" t="s">
        <v>177</v>
      </c>
      <c r="F1021" t="s">
        <v>31</v>
      </c>
      <c r="G1021" t="s">
        <v>81</v>
      </c>
      <c r="H1021" t="s">
        <v>82</v>
      </c>
      <c r="I1021">
        <v>2</v>
      </c>
      <c r="J1021">
        <v>2249.92</v>
      </c>
      <c r="K1021">
        <v>0.2</v>
      </c>
      <c r="L1021">
        <v>3599.87</v>
      </c>
      <c r="M1021" t="s">
        <v>76</v>
      </c>
      <c r="N1021" t="s">
        <v>58</v>
      </c>
      <c r="O1021" t="s">
        <v>65</v>
      </c>
      <c r="P1021" t="s">
        <v>26</v>
      </c>
    </row>
    <row r="1022" spans="1:16" x14ac:dyDescent="0.3">
      <c r="A1022" t="s">
        <v>1369</v>
      </c>
      <c r="B1022" s="1">
        <v>45896</v>
      </c>
      <c r="C1022" t="s">
        <v>343</v>
      </c>
      <c r="D1022" t="s">
        <v>29</v>
      </c>
      <c r="E1022" t="s">
        <v>30</v>
      </c>
      <c r="F1022" t="s">
        <v>31</v>
      </c>
      <c r="G1022" t="s">
        <v>21</v>
      </c>
      <c r="H1022" t="s">
        <v>22</v>
      </c>
      <c r="I1022">
        <v>1</v>
      </c>
      <c r="J1022">
        <v>3240.66</v>
      </c>
      <c r="K1022">
        <v>0.1</v>
      </c>
      <c r="L1022">
        <v>2916.59</v>
      </c>
      <c r="M1022" t="s">
        <v>48</v>
      </c>
      <c r="N1022" t="s">
        <v>24</v>
      </c>
      <c r="O1022" t="s">
        <v>65</v>
      </c>
      <c r="P1022" t="s">
        <v>59</v>
      </c>
    </row>
    <row r="1023" spans="1:16" x14ac:dyDescent="0.3">
      <c r="A1023" t="s">
        <v>1370</v>
      </c>
      <c r="B1023" s="1">
        <v>45403</v>
      </c>
      <c r="C1023" t="s">
        <v>607</v>
      </c>
      <c r="D1023" t="s">
        <v>62</v>
      </c>
      <c r="E1023" t="s">
        <v>63</v>
      </c>
      <c r="F1023" t="s">
        <v>31</v>
      </c>
      <c r="G1023" t="s">
        <v>21</v>
      </c>
      <c r="H1023" t="s">
        <v>22</v>
      </c>
      <c r="I1023">
        <v>2</v>
      </c>
      <c r="J1023">
        <v>2748.94</v>
      </c>
      <c r="K1023">
        <v>0.75</v>
      </c>
      <c r="L1023">
        <v>4673.2</v>
      </c>
      <c r="M1023" t="s">
        <v>48</v>
      </c>
      <c r="N1023" t="s">
        <v>34</v>
      </c>
      <c r="O1023" t="s">
        <v>65</v>
      </c>
      <c r="P1023" t="s">
        <v>50</v>
      </c>
    </row>
    <row r="1024" spans="1:16" x14ac:dyDescent="0.3">
      <c r="A1024" t="s">
        <v>1371</v>
      </c>
      <c r="B1024" s="1">
        <v>45975</v>
      </c>
      <c r="C1024" t="s">
        <v>422</v>
      </c>
      <c r="D1024" t="s">
        <v>105</v>
      </c>
      <c r="E1024" t="s">
        <v>106</v>
      </c>
      <c r="F1024" t="s">
        <v>40</v>
      </c>
      <c r="G1024" t="s">
        <v>21</v>
      </c>
      <c r="H1024" t="s">
        <v>93</v>
      </c>
      <c r="I1024">
        <v>4</v>
      </c>
      <c r="J1024">
        <v>6706.94</v>
      </c>
      <c r="K1024">
        <v>0</v>
      </c>
      <c r="L1024">
        <v>26827.759999999998</v>
      </c>
      <c r="M1024" t="s">
        <v>23</v>
      </c>
      <c r="N1024" t="s">
        <v>34</v>
      </c>
      <c r="O1024" t="s">
        <v>25</v>
      </c>
      <c r="P1024" t="s">
        <v>50</v>
      </c>
    </row>
    <row r="1025" spans="1:16" x14ac:dyDescent="0.3">
      <c r="A1025" t="s">
        <v>1372</v>
      </c>
      <c r="B1025" s="1">
        <v>45575</v>
      </c>
      <c r="C1025" t="s">
        <v>28</v>
      </c>
      <c r="D1025" t="s">
        <v>18</v>
      </c>
      <c r="E1025" t="s">
        <v>19</v>
      </c>
      <c r="F1025" t="s">
        <v>20</v>
      </c>
      <c r="G1025" t="s">
        <v>21</v>
      </c>
      <c r="H1025" t="s">
        <v>126</v>
      </c>
      <c r="I1025">
        <v>3</v>
      </c>
      <c r="J1025">
        <v>873.05</v>
      </c>
      <c r="K1025">
        <v>0.2</v>
      </c>
      <c r="L1025">
        <v>2095.3200000000002</v>
      </c>
      <c r="M1025" t="s">
        <v>23</v>
      </c>
      <c r="N1025" t="s">
        <v>24</v>
      </c>
      <c r="O1025" t="s">
        <v>25</v>
      </c>
      <c r="P1025" t="s">
        <v>59</v>
      </c>
    </row>
    <row r="1026" spans="1:16" x14ac:dyDescent="0.3">
      <c r="A1026" t="s">
        <v>1373</v>
      </c>
      <c r="B1026" s="1">
        <v>45413</v>
      </c>
      <c r="C1026" t="s">
        <v>511</v>
      </c>
      <c r="D1026" t="s">
        <v>85</v>
      </c>
      <c r="E1026" t="s">
        <v>86</v>
      </c>
      <c r="F1026" t="s">
        <v>20</v>
      </c>
      <c r="G1026" t="s">
        <v>32</v>
      </c>
      <c r="I1026">
        <v>5</v>
      </c>
      <c r="J1026">
        <v>1778.18</v>
      </c>
      <c r="K1026">
        <v>0.08</v>
      </c>
      <c r="L1026">
        <v>8179.63</v>
      </c>
      <c r="M1026" t="s">
        <v>23</v>
      </c>
      <c r="N1026" t="s">
        <v>49</v>
      </c>
      <c r="O1026" t="s">
        <v>25</v>
      </c>
      <c r="P1026" t="s">
        <v>42</v>
      </c>
    </row>
    <row r="1027" spans="1:16" x14ac:dyDescent="0.3">
      <c r="A1027" t="s">
        <v>1374</v>
      </c>
      <c r="B1027" s="1">
        <v>45415</v>
      </c>
      <c r="C1027" t="s">
        <v>445</v>
      </c>
      <c r="D1027" t="s">
        <v>38</v>
      </c>
      <c r="E1027" t="s">
        <v>39</v>
      </c>
      <c r="F1027" t="s">
        <v>40</v>
      </c>
      <c r="G1027" t="s">
        <v>32</v>
      </c>
      <c r="H1027" t="s">
        <v>47</v>
      </c>
      <c r="I1027">
        <v>5</v>
      </c>
      <c r="J1027">
        <v>1655.2</v>
      </c>
      <c r="K1027">
        <v>0.03</v>
      </c>
      <c r="L1027">
        <v>8027.72</v>
      </c>
      <c r="M1027" t="s">
        <v>48</v>
      </c>
      <c r="N1027" t="s">
        <v>24</v>
      </c>
      <c r="O1027" t="s">
        <v>65</v>
      </c>
      <c r="P1027" t="s">
        <v>50</v>
      </c>
    </row>
    <row r="1028" spans="1:16" x14ac:dyDescent="0.3">
      <c r="A1028" t="s">
        <v>1375</v>
      </c>
      <c r="B1028" s="1">
        <v>46100</v>
      </c>
      <c r="C1028" t="s">
        <v>672</v>
      </c>
      <c r="D1028" t="s">
        <v>38</v>
      </c>
      <c r="E1028" t="s">
        <v>39</v>
      </c>
      <c r="F1028" t="s">
        <v>40</v>
      </c>
      <c r="G1028" t="s">
        <v>81</v>
      </c>
      <c r="H1028" t="s">
        <v>87</v>
      </c>
      <c r="I1028">
        <v>2</v>
      </c>
      <c r="J1028">
        <v>1602.56</v>
      </c>
      <c r="K1028">
        <v>0.03</v>
      </c>
      <c r="L1028">
        <v>3108.97</v>
      </c>
      <c r="M1028" t="s">
        <v>76</v>
      </c>
      <c r="N1028" t="s">
        <v>49</v>
      </c>
      <c r="O1028" t="s">
        <v>35</v>
      </c>
      <c r="P1028" t="s">
        <v>72</v>
      </c>
    </row>
    <row r="1029" spans="1:16" x14ac:dyDescent="0.3">
      <c r="A1029" t="s">
        <v>1376</v>
      </c>
      <c r="B1029" s="1">
        <v>45417</v>
      </c>
      <c r="C1029" t="s">
        <v>291</v>
      </c>
      <c r="D1029" t="s">
        <v>105</v>
      </c>
      <c r="E1029" t="s">
        <v>106</v>
      </c>
      <c r="F1029" t="s">
        <v>40</v>
      </c>
      <c r="G1029" t="s">
        <v>56</v>
      </c>
      <c r="H1029" t="s">
        <v>123</v>
      </c>
      <c r="I1029">
        <v>5</v>
      </c>
      <c r="J1029">
        <v>6665.54</v>
      </c>
      <c r="K1029">
        <v>0.2</v>
      </c>
      <c r="L1029">
        <v>26662.16</v>
      </c>
      <c r="M1029" t="s">
        <v>76</v>
      </c>
      <c r="N1029" t="s">
        <v>49</v>
      </c>
      <c r="O1029" t="s">
        <v>65</v>
      </c>
      <c r="P1029" t="s">
        <v>102</v>
      </c>
    </row>
    <row r="1030" spans="1:16" x14ac:dyDescent="0.3">
      <c r="A1030" t="s">
        <v>1377</v>
      </c>
      <c r="B1030" s="1">
        <v>45741</v>
      </c>
      <c r="C1030" t="s">
        <v>574</v>
      </c>
      <c r="D1030" t="s">
        <v>85</v>
      </c>
      <c r="E1030" t="s">
        <v>86</v>
      </c>
      <c r="F1030" t="s">
        <v>20</v>
      </c>
      <c r="G1030" t="s">
        <v>81</v>
      </c>
      <c r="H1030" t="s">
        <v>98</v>
      </c>
      <c r="I1030">
        <v>5</v>
      </c>
      <c r="J1030">
        <v>1757.61</v>
      </c>
      <c r="K1030">
        <v>0.08</v>
      </c>
      <c r="L1030">
        <v>8085.01</v>
      </c>
      <c r="M1030" t="s">
        <v>48</v>
      </c>
      <c r="O1030" t="s">
        <v>25</v>
      </c>
      <c r="P1030" t="s">
        <v>42</v>
      </c>
    </row>
    <row r="1031" spans="1:16" x14ac:dyDescent="0.3">
      <c r="A1031" t="s">
        <v>1378</v>
      </c>
      <c r="B1031" s="1">
        <v>45800</v>
      </c>
      <c r="C1031" t="s">
        <v>247</v>
      </c>
      <c r="D1031" t="s">
        <v>121</v>
      </c>
      <c r="E1031" t="s">
        <v>122</v>
      </c>
      <c r="F1031" t="s">
        <v>55</v>
      </c>
      <c r="G1031" t="s">
        <v>56</v>
      </c>
      <c r="H1031" t="s">
        <v>57</v>
      </c>
      <c r="I1031">
        <v>3</v>
      </c>
      <c r="J1031">
        <v>418.23</v>
      </c>
      <c r="K1031">
        <v>0.08</v>
      </c>
      <c r="L1031">
        <v>1154.31</v>
      </c>
      <c r="M1031" t="s">
        <v>48</v>
      </c>
      <c r="N1031" t="s">
        <v>34</v>
      </c>
      <c r="O1031" t="s">
        <v>65</v>
      </c>
      <c r="P1031" t="s">
        <v>59</v>
      </c>
    </row>
    <row r="1032" spans="1:16" x14ac:dyDescent="0.3">
      <c r="A1032" t="s">
        <v>1379</v>
      </c>
      <c r="B1032" s="1">
        <v>45315</v>
      </c>
      <c r="C1032" t="s">
        <v>587</v>
      </c>
      <c r="D1032" t="s">
        <v>131</v>
      </c>
      <c r="E1032" t="s">
        <v>132</v>
      </c>
      <c r="F1032" t="s">
        <v>40</v>
      </c>
      <c r="G1032" t="s">
        <v>21</v>
      </c>
      <c r="H1032" t="s">
        <v>126</v>
      </c>
      <c r="I1032">
        <v>2</v>
      </c>
      <c r="J1032">
        <v>9837.1200000000008</v>
      </c>
      <c r="K1032">
        <v>0.08</v>
      </c>
      <c r="L1032">
        <v>18100.3</v>
      </c>
      <c r="M1032" t="s">
        <v>76</v>
      </c>
      <c r="N1032" t="s">
        <v>34</v>
      </c>
      <c r="O1032" t="s">
        <v>65</v>
      </c>
      <c r="P1032" t="s">
        <v>42</v>
      </c>
    </row>
    <row r="1033" spans="1:16" x14ac:dyDescent="0.3">
      <c r="A1033" t="s">
        <v>1380</v>
      </c>
      <c r="B1033" s="1">
        <v>45860</v>
      </c>
      <c r="C1033" t="s">
        <v>490</v>
      </c>
      <c r="D1033" t="s">
        <v>53</v>
      </c>
      <c r="E1033" t="s">
        <v>54</v>
      </c>
      <c r="F1033" t="s">
        <v>55</v>
      </c>
      <c r="G1033" t="s">
        <v>32</v>
      </c>
      <c r="H1033" t="s">
        <v>33</v>
      </c>
      <c r="I1033">
        <v>1</v>
      </c>
      <c r="J1033">
        <v>218.54</v>
      </c>
      <c r="K1033">
        <v>0</v>
      </c>
      <c r="L1033">
        <v>218.54</v>
      </c>
      <c r="M1033" t="s">
        <v>76</v>
      </c>
      <c r="N1033" t="s">
        <v>71</v>
      </c>
      <c r="O1033" t="s">
        <v>65</v>
      </c>
      <c r="P1033" t="s">
        <v>116</v>
      </c>
    </row>
    <row r="1034" spans="1:16" x14ac:dyDescent="0.3">
      <c r="A1034" t="s">
        <v>1381</v>
      </c>
      <c r="B1034" s="1">
        <v>45824</v>
      </c>
      <c r="C1034" t="s">
        <v>52</v>
      </c>
      <c r="D1034" t="s">
        <v>176</v>
      </c>
      <c r="E1034" t="s">
        <v>177</v>
      </c>
      <c r="F1034" t="s">
        <v>31</v>
      </c>
      <c r="G1034" t="s">
        <v>56</v>
      </c>
      <c r="H1034" t="s">
        <v>57</v>
      </c>
      <c r="I1034">
        <v>1</v>
      </c>
      <c r="J1034">
        <v>2325.4299999999998</v>
      </c>
      <c r="K1034">
        <v>0.03</v>
      </c>
      <c r="L1034">
        <v>2255.67</v>
      </c>
      <c r="M1034" t="s">
        <v>23</v>
      </c>
      <c r="N1034" t="s">
        <v>71</v>
      </c>
      <c r="O1034" t="s">
        <v>65</v>
      </c>
      <c r="P1034" t="s">
        <v>72</v>
      </c>
    </row>
    <row r="1035" spans="1:16" x14ac:dyDescent="0.3">
      <c r="A1035" t="s">
        <v>1382</v>
      </c>
      <c r="B1035" s="1">
        <v>45863</v>
      </c>
      <c r="C1035" t="s">
        <v>169</v>
      </c>
      <c r="D1035" t="s">
        <v>105</v>
      </c>
      <c r="E1035" t="s">
        <v>106</v>
      </c>
      <c r="F1035" t="s">
        <v>40</v>
      </c>
      <c r="G1035" t="s">
        <v>32</v>
      </c>
      <c r="H1035" t="s">
        <v>75</v>
      </c>
      <c r="I1035">
        <v>4</v>
      </c>
      <c r="J1035">
        <v>7592.34</v>
      </c>
      <c r="K1035">
        <v>0.15</v>
      </c>
      <c r="L1035">
        <v>25813.96</v>
      </c>
      <c r="M1035" t="s">
        <v>76</v>
      </c>
      <c r="N1035" t="s">
        <v>24</v>
      </c>
      <c r="O1035" t="s">
        <v>25</v>
      </c>
      <c r="P1035" t="s">
        <v>59</v>
      </c>
    </row>
    <row r="1036" spans="1:16" x14ac:dyDescent="0.3">
      <c r="A1036" t="s">
        <v>1383</v>
      </c>
      <c r="B1036" s="1">
        <v>45311</v>
      </c>
      <c r="C1036" t="s">
        <v>441</v>
      </c>
      <c r="D1036" t="s">
        <v>105</v>
      </c>
      <c r="E1036" t="s">
        <v>106</v>
      </c>
      <c r="F1036" t="s">
        <v>40</v>
      </c>
      <c r="G1036" t="s">
        <v>56</v>
      </c>
      <c r="H1036" t="s">
        <v>64</v>
      </c>
      <c r="I1036">
        <v>3</v>
      </c>
      <c r="J1036">
        <v>7112.4</v>
      </c>
      <c r="K1036">
        <v>0</v>
      </c>
      <c r="L1036">
        <v>21337.200000000001</v>
      </c>
      <c r="M1036" t="s">
        <v>76</v>
      </c>
      <c r="N1036" t="s">
        <v>58</v>
      </c>
      <c r="O1036" t="s">
        <v>65</v>
      </c>
      <c r="P1036" t="s">
        <v>42</v>
      </c>
    </row>
    <row r="1037" spans="1:16" x14ac:dyDescent="0.3">
      <c r="A1037" t="s">
        <v>1384</v>
      </c>
      <c r="B1037" s="1">
        <v>45542</v>
      </c>
      <c r="C1037" t="s">
        <v>695</v>
      </c>
      <c r="D1037" t="s">
        <v>45</v>
      </c>
      <c r="E1037" t="s">
        <v>46</v>
      </c>
      <c r="F1037" t="s">
        <v>31</v>
      </c>
      <c r="G1037" t="s">
        <v>32</v>
      </c>
      <c r="H1037" t="s">
        <v>75</v>
      </c>
      <c r="I1037">
        <v>1</v>
      </c>
      <c r="J1037">
        <v>1888.18</v>
      </c>
      <c r="K1037">
        <v>0.1</v>
      </c>
      <c r="L1037">
        <v>1699.36</v>
      </c>
      <c r="M1037" t="s">
        <v>48</v>
      </c>
      <c r="N1037" t="s">
        <v>34</v>
      </c>
      <c r="O1037" t="s">
        <v>65</v>
      </c>
      <c r="P1037" t="s">
        <v>111</v>
      </c>
    </row>
    <row r="1038" spans="1:16" x14ac:dyDescent="0.3">
      <c r="A1038" t="s">
        <v>1385</v>
      </c>
      <c r="B1038" s="1">
        <v>45713</v>
      </c>
      <c r="C1038" t="s">
        <v>204</v>
      </c>
      <c r="D1038" t="s">
        <v>96</v>
      </c>
      <c r="E1038" t="s">
        <v>97</v>
      </c>
      <c r="F1038" t="s">
        <v>31</v>
      </c>
      <c r="G1038" t="s">
        <v>21</v>
      </c>
      <c r="H1038" t="s">
        <v>22</v>
      </c>
      <c r="I1038">
        <v>5</v>
      </c>
      <c r="J1038">
        <v>1218.5899999999999</v>
      </c>
      <c r="K1038">
        <v>0</v>
      </c>
      <c r="L1038">
        <v>6092.95</v>
      </c>
      <c r="M1038" t="s">
        <v>48</v>
      </c>
      <c r="N1038" t="s">
        <v>58</v>
      </c>
      <c r="O1038" t="s">
        <v>65</v>
      </c>
      <c r="P1038" t="s">
        <v>42</v>
      </c>
    </row>
    <row r="1039" spans="1:16" x14ac:dyDescent="0.3">
      <c r="A1039" t="s">
        <v>1386</v>
      </c>
      <c r="B1039" s="1">
        <v>45837</v>
      </c>
      <c r="C1039" t="s">
        <v>161</v>
      </c>
      <c r="D1039" t="s">
        <v>45</v>
      </c>
      <c r="E1039" t="s">
        <v>46</v>
      </c>
      <c r="F1039" t="s">
        <v>31</v>
      </c>
      <c r="G1039" t="s">
        <v>56</v>
      </c>
      <c r="H1039" t="s">
        <v>64</v>
      </c>
      <c r="I1039">
        <v>2</v>
      </c>
      <c r="J1039">
        <v>1658.44</v>
      </c>
      <c r="K1039">
        <v>0</v>
      </c>
      <c r="L1039">
        <v>3316.88</v>
      </c>
      <c r="M1039" t="s">
        <v>76</v>
      </c>
      <c r="N1039" t="s">
        <v>71</v>
      </c>
      <c r="O1039" t="s">
        <v>65</v>
      </c>
      <c r="P1039" t="s">
        <v>116</v>
      </c>
    </row>
    <row r="1040" spans="1:16" x14ac:dyDescent="0.3">
      <c r="A1040" t="s">
        <v>1387</v>
      </c>
      <c r="B1040" s="1">
        <v>45371</v>
      </c>
      <c r="C1040" t="s">
        <v>424</v>
      </c>
      <c r="D1040" t="s">
        <v>53</v>
      </c>
      <c r="E1040" t="s">
        <v>54</v>
      </c>
      <c r="F1040" t="s">
        <v>55</v>
      </c>
      <c r="G1040" t="s">
        <v>32</v>
      </c>
      <c r="H1040" t="s">
        <v>33</v>
      </c>
      <c r="I1040">
        <v>3</v>
      </c>
      <c r="J1040">
        <v>202.99</v>
      </c>
      <c r="K1040">
        <v>0</v>
      </c>
      <c r="L1040">
        <v>608.97</v>
      </c>
      <c r="M1040" t="s">
        <v>23</v>
      </c>
      <c r="N1040" t="s">
        <v>71</v>
      </c>
      <c r="O1040" t="s">
        <v>35</v>
      </c>
      <c r="P1040" t="s">
        <v>116</v>
      </c>
    </row>
    <row r="1041" spans="1:16" x14ac:dyDescent="0.3">
      <c r="A1041" t="s">
        <v>1388</v>
      </c>
      <c r="B1041" s="1">
        <v>46121</v>
      </c>
      <c r="C1041" t="s">
        <v>293</v>
      </c>
      <c r="D1041" t="s">
        <v>53</v>
      </c>
      <c r="E1041" t="s">
        <v>54</v>
      </c>
      <c r="F1041" t="s">
        <v>55</v>
      </c>
      <c r="G1041" t="s">
        <v>56</v>
      </c>
      <c r="H1041" t="s">
        <v>57</v>
      </c>
      <c r="I1041">
        <v>5</v>
      </c>
      <c r="J1041">
        <v>230.52</v>
      </c>
      <c r="K1041">
        <v>0</v>
      </c>
      <c r="L1041">
        <v>1152.5999999999999</v>
      </c>
      <c r="M1041" t="s">
        <v>23</v>
      </c>
      <c r="N1041" t="s">
        <v>24</v>
      </c>
      <c r="O1041" t="s">
        <v>25</v>
      </c>
      <c r="P1041" t="s">
        <v>50</v>
      </c>
    </row>
    <row r="1042" spans="1:16" x14ac:dyDescent="0.3">
      <c r="A1042" t="s">
        <v>1389</v>
      </c>
      <c r="B1042" s="1">
        <v>46174</v>
      </c>
      <c r="C1042" t="s">
        <v>1063</v>
      </c>
      <c r="D1042" t="s">
        <v>170</v>
      </c>
      <c r="E1042" t="s">
        <v>171</v>
      </c>
      <c r="F1042" t="s">
        <v>31</v>
      </c>
      <c r="G1042" t="s">
        <v>56</v>
      </c>
      <c r="H1042" t="s">
        <v>101</v>
      </c>
      <c r="I1042">
        <v>3</v>
      </c>
      <c r="J1042">
        <v>66850.039999999994</v>
      </c>
      <c r="K1042">
        <v>0.1</v>
      </c>
      <c r="L1042">
        <v>180495.11</v>
      </c>
      <c r="M1042" t="s">
        <v>23</v>
      </c>
      <c r="N1042" t="s">
        <v>34</v>
      </c>
      <c r="O1042" t="s">
        <v>65</v>
      </c>
      <c r="P1042" t="s">
        <v>72</v>
      </c>
    </row>
    <row r="1043" spans="1:16" x14ac:dyDescent="0.3">
      <c r="A1043" t="s">
        <v>1390</v>
      </c>
      <c r="B1043" s="1">
        <v>46050</v>
      </c>
      <c r="C1043" t="s">
        <v>462</v>
      </c>
      <c r="D1043" t="s">
        <v>105</v>
      </c>
      <c r="E1043" t="s">
        <v>106</v>
      </c>
      <c r="F1043" t="s">
        <v>40</v>
      </c>
      <c r="G1043" t="s">
        <v>56</v>
      </c>
      <c r="H1043" t="s">
        <v>123</v>
      </c>
      <c r="I1043">
        <v>3</v>
      </c>
      <c r="J1043">
        <v>7075.48</v>
      </c>
      <c r="K1043">
        <v>0.15</v>
      </c>
      <c r="L1043">
        <v>18042.47</v>
      </c>
      <c r="M1043" t="s">
        <v>23</v>
      </c>
      <c r="N1043" t="s">
        <v>24</v>
      </c>
      <c r="O1043" t="s">
        <v>25</v>
      </c>
      <c r="P1043" t="s">
        <v>59</v>
      </c>
    </row>
    <row r="1044" spans="1:16" x14ac:dyDescent="0.3">
      <c r="A1044" t="s">
        <v>1391</v>
      </c>
      <c r="B1044" s="1">
        <v>46123</v>
      </c>
      <c r="C1044" t="s">
        <v>963</v>
      </c>
      <c r="D1044" t="s">
        <v>89</v>
      </c>
      <c r="E1044" t="s">
        <v>90</v>
      </c>
      <c r="F1044" t="s">
        <v>20</v>
      </c>
      <c r="G1044" t="s">
        <v>81</v>
      </c>
      <c r="H1044" t="s">
        <v>98</v>
      </c>
      <c r="I1044">
        <v>3</v>
      </c>
      <c r="J1044">
        <v>688.23</v>
      </c>
      <c r="K1044">
        <v>0.08</v>
      </c>
      <c r="L1044">
        <v>1899.51</v>
      </c>
      <c r="M1044" t="s">
        <v>76</v>
      </c>
      <c r="N1044" t="s">
        <v>58</v>
      </c>
      <c r="O1044" t="s">
        <v>65</v>
      </c>
      <c r="P1044" t="s">
        <v>116</v>
      </c>
    </row>
    <row r="1045" spans="1:16" x14ac:dyDescent="0.3">
      <c r="A1045" t="s">
        <v>1392</v>
      </c>
      <c r="B1045" s="1">
        <v>45951</v>
      </c>
      <c r="C1045" t="s">
        <v>293</v>
      </c>
      <c r="D1045" t="s">
        <v>131</v>
      </c>
      <c r="E1045" t="s">
        <v>132</v>
      </c>
      <c r="F1045" t="s">
        <v>40</v>
      </c>
      <c r="G1045" t="s">
        <v>56</v>
      </c>
      <c r="H1045" t="s">
        <v>64</v>
      </c>
      <c r="I1045">
        <v>1</v>
      </c>
      <c r="J1045">
        <v>9677.7999999999993</v>
      </c>
      <c r="K1045">
        <v>0.05</v>
      </c>
      <c r="L1045">
        <v>9193.91</v>
      </c>
      <c r="M1045" t="s">
        <v>76</v>
      </c>
      <c r="O1045" t="s">
        <v>65</v>
      </c>
      <c r="P1045" t="s">
        <v>116</v>
      </c>
    </row>
    <row r="1046" spans="1:16" x14ac:dyDescent="0.3">
      <c r="A1046" t="s">
        <v>1393</v>
      </c>
      <c r="B1046" s="1">
        <v>45378</v>
      </c>
      <c r="C1046" t="s">
        <v>480</v>
      </c>
      <c r="D1046" t="s">
        <v>121</v>
      </c>
      <c r="E1046" t="s">
        <v>122</v>
      </c>
      <c r="F1046" t="s">
        <v>55</v>
      </c>
      <c r="G1046" t="s">
        <v>21</v>
      </c>
      <c r="H1046" t="s">
        <v>93</v>
      </c>
      <c r="I1046">
        <v>4</v>
      </c>
      <c r="J1046">
        <v>474.93</v>
      </c>
      <c r="K1046">
        <v>0.1</v>
      </c>
      <c r="L1046">
        <v>1709.75</v>
      </c>
      <c r="M1046" t="s">
        <v>76</v>
      </c>
      <c r="N1046" t="s">
        <v>49</v>
      </c>
      <c r="O1046" t="s">
        <v>65</v>
      </c>
      <c r="P1046" t="s">
        <v>72</v>
      </c>
    </row>
    <row r="1047" spans="1:16" x14ac:dyDescent="0.3">
      <c r="A1047" t="s">
        <v>1394</v>
      </c>
      <c r="B1047" s="1">
        <v>45943</v>
      </c>
      <c r="C1047" t="s">
        <v>1077</v>
      </c>
      <c r="D1047" t="s">
        <v>176</v>
      </c>
      <c r="E1047" t="s">
        <v>177</v>
      </c>
      <c r="F1047" t="s">
        <v>31</v>
      </c>
      <c r="G1047" t="s">
        <v>21</v>
      </c>
      <c r="H1047" t="s">
        <v>41</v>
      </c>
      <c r="I1047">
        <v>1</v>
      </c>
      <c r="J1047">
        <v>2219.54</v>
      </c>
      <c r="K1047">
        <v>0.1</v>
      </c>
      <c r="L1047">
        <v>1997.59</v>
      </c>
      <c r="M1047" t="s">
        <v>48</v>
      </c>
      <c r="N1047" t="s">
        <v>71</v>
      </c>
      <c r="O1047" t="s">
        <v>65</v>
      </c>
      <c r="P1047" t="s">
        <v>116</v>
      </c>
    </row>
    <row r="1048" spans="1:16" x14ac:dyDescent="0.3">
      <c r="A1048" t="s">
        <v>1395</v>
      </c>
      <c r="B1048" s="1">
        <v>46160</v>
      </c>
      <c r="C1048" t="s">
        <v>92</v>
      </c>
      <c r="D1048" t="s">
        <v>45</v>
      </c>
      <c r="E1048" t="s">
        <v>46</v>
      </c>
      <c r="F1048" t="s">
        <v>31</v>
      </c>
      <c r="G1048" t="s">
        <v>56</v>
      </c>
      <c r="H1048" t="s">
        <v>57</v>
      </c>
      <c r="I1048">
        <v>3</v>
      </c>
      <c r="J1048">
        <v>1798</v>
      </c>
      <c r="K1048">
        <v>0.05</v>
      </c>
      <c r="L1048">
        <v>5124.3</v>
      </c>
      <c r="M1048" t="s">
        <v>76</v>
      </c>
      <c r="N1048" t="s">
        <v>71</v>
      </c>
      <c r="O1048" t="s">
        <v>25</v>
      </c>
      <c r="P1048" t="s">
        <v>42</v>
      </c>
    </row>
    <row r="1049" spans="1:16" x14ac:dyDescent="0.3">
      <c r="A1049" t="s">
        <v>1396</v>
      </c>
      <c r="B1049" s="1">
        <v>45996</v>
      </c>
      <c r="C1049" t="s">
        <v>78</v>
      </c>
      <c r="D1049" t="s">
        <v>18</v>
      </c>
      <c r="E1049" t="s">
        <v>19</v>
      </c>
      <c r="F1049" t="s">
        <v>20</v>
      </c>
      <c r="G1049" t="s">
        <v>21</v>
      </c>
      <c r="H1049" t="s">
        <v>41</v>
      </c>
      <c r="I1049">
        <v>1</v>
      </c>
      <c r="J1049">
        <v>839.71</v>
      </c>
      <c r="K1049">
        <v>0.2</v>
      </c>
      <c r="L1049">
        <v>671.77</v>
      </c>
      <c r="M1049" t="s">
        <v>48</v>
      </c>
      <c r="N1049" t="s">
        <v>71</v>
      </c>
      <c r="O1049" t="s">
        <v>65</v>
      </c>
      <c r="P1049" t="s">
        <v>42</v>
      </c>
    </row>
    <row r="1050" spans="1:16" x14ac:dyDescent="0.3">
      <c r="A1050" t="s">
        <v>1397</v>
      </c>
      <c r="B1050" s="1">
        <v>45363</v>
      </c>
      <c r="C1050" t="s">
        <v>28</v>
      </c>
      <c r="D1050" t="s">
        <v>105</v>
      </c>
      <c r="E1050" t="s">
        <v>106</v>
      </c>
      <c r="F1050" t="s">
        <v>40</v>
      </c>
      <c r="G1050" t="s">
        <v>81</v>
      </c>
      <c r="H1050" t="s">
        <v>135</v>
      </c>
      <c r="I1050">
        <v>1</v>
      </c>
      <c r="J1050">
        <v>6845.48</v>
      </c>
      <c r="K1050">
        <v>0.15</v>
      </c>
      <c r="L1050">
        <v>5818.66</v>
      </c>
      <c r="M1050" t="s">
        <v>76</v>
      </c>
      <c r="N1050" t="s">
        <v>24</v>
      </c>
      <c r="O1050" t="s">
        <v>65</v>
      </c>
      <c r="P1050" t="s">
        <v>72</v>
      </c>
    </row>
    <row r="1051" spans="1:16" x14ac:dyDescent="0.3">
      <c r="A1051" t="s">
        <v>1398</v>
      </c>
      <c r="B1051" s="1">
        <v>45404</v>
      </c>
      <c r="C1051" t="s">
        <v>672</v>
      </c>
      <c r="D1051" t="s">
        <v>170</v>
      </c>
      <c r="E1051" t="s">
        <v>171</v>
      </c>
      <c r="F1051" t="s">
        <v>31</v>
      </c>
      <c r="G1051" t="s">
        <v>32</v>
      </c>
      <c r="H1051" t="s">
        <v>33</v>
      </c>
      <c r="I1051">
        <v>2</v>
      </c>
      <c r="J1051">
        <v>69539.09</v>
      </c>
      <c r="K1051">
        <v>0.1</v>
      </c>
      <c r="L1051">
        <v>125170.36</v>
      </c>
      <c r="M1051" t="s">
        <v>76</v>
      </c>
      <c r="N1051" t="s">
        <v>71</v>
      </c>
      <c r="O1051" t="s">
        <v>35</v>
      </c>
    </row>
    <row r="1052" spans="1:16" x14ac:dyDescent="0.3">
      <c r="A1052" t="s">
        <v>1399</v>
      </c>
      <c r="B1052" s="1">
        <v>45630</v>
      </c>
      <c r="C1052" t="s">
        <v>17</v>
      </c>
      <c r="D1052" t="s">
        <v>85</v>
      </c>
      <c r="E1052" t="s">
        <v>86</v>
      </c>
      <c r="F1052" t="s">
        <v>20</v>
      </c>
      <c r="G1052" t="s">
        <v>21</v>
      </c>
      <c r="H1052" t="s">
        <v>22</v>
      </c>
      <c r="I1052">
        <v>1</v>
      </c>
      <c r="J1052">
        <v>1834.55</v>
      </c>
      <c r="K1052">
        <v>0.1</v>
      </c>
      <c r="L1052">
        <v>1651.1</v>
      </c>
      <c r="M1052" t="s">
        <v>48</v>
      </c>
      <c r="N1052" t="s">
        <v>49</v>
      </c>
      <c r="O1052" t="s">
        <v>65</v>
      </c>
      <c r="P1052" t="s">
        <v>116</v>
      </c>
    </row>
    <row r="1053" spans="1:16" x14ac:dyDescent="0.3">
      <c r="A1053" t="s">
        <v>1400</v>
      </c>
      <c r="B1053" s="1">
        <v>45855</v>
      </c>
      <c r="C1053" t="s">
        <v>377</v>
      </c>
      <c r="D1053" t="s">
        <v>96</v>
      </c>
      <c r="E1053" t="s">
        <v>97</v>
      </c>
      <c r="F1053" t="s">
        <v>31</v>
      </c>
      <c r="G1053" t="s">
        <v>56</v>
      </c>
      <c r="H1053" t="s">
        <v>64</v>
      </c>
      <c r="I1053">
        <v>4</v>
      </c>
      <c r="J1053">
        <v>1180.94</v>
      </c>
      <c r="K1053">
        <v>0.2</v>
      </c>
      <c r="L1053">
        <v>3779.01</v>
      </c>
      <c r="M1053" t="s">
        <v>23</v>
      </c>
      <c r="N1053" t="s">
        <v>71</v>
      </c>
      <c r="O1053" t="s">
        <v>65</v>
      </c>
      <c r="P1053" t="s">
        <v>26</v>
      </c>
    </row>
    <row r="1054" spans="1:16" x14ac:dyDescent="0.3">
      <c r="A1054" t="s">
        <v>1401</v>
      </c>
      <c r="B1054" s="1">
        <v>45609</v>
      </c>
      <c r="C1054" t="s">
        <v>988</v>
      </c>
      <c r="D1054" t="s">
        <v>89</v>
      </c>
      <c r="E1054" t="s">
        <v>90</v>
      </c>
      <c r="F1054" t="s">
        <v>20</v>
      </c>
      <c r="G1054" t="s">
        <v>32</v>
      </c>
      <c r="H1054" t="s">
        <v>68</v>
      </c>
      <c r="I1054">
        <v>5</v>
      </c>
      <c r="J1054">
        <v>754.95</v>
      </c>
      <c r="K1054">
        <v>0.15</v>
      </c>
      <c r="L1054">
        <v>3208.54</v>
      </c>
      <c r="M1054" t="s">
        <v>48</v>
      </c>
      <c r="N1054" t="s">
        <v>71</v>
      </c>
      <c r="O1054" t="s">
        <v>65</v>
      </c>
      <c r="P1054" t="s">
        <v>42</v>
      </c>
    </row>
    <row r="1055" spans="1:16" x14ac:dyDescent="0.3">
      <c r="A1055" t="s">
        <v>1402</v>
      </c>
      <c r="B1055" s="1">
        <v>45840</v>
      </c>
      <c r="C1055" t="s">
        <v>118</v>
      </c>
      <c r="D1055" t="s">
        <v>18</v>
      </c>
      <c r="E1055" t="s">
        <v>19</v>
      </c>
      <c r="F1055" t="s">
        <v>20</v>
      </c>
      <c r="G1055" t="s">
        <v>81</v>
      </c>
      <c r="H1055" t="s">
        <v>98</v>
      </c>
      <c r="I1055">
        <v>4</v>
      </c>
      <c r="J1055">
        <v>838.79</v>
      </c>
      <c r="K1055">
        <v>0.03</v>
      </c>
      <c r="L1055">
        <v>3254.51</v>
      </c>
      <c r="M1055" t="s">
        <v>76</v>
      </c>
      <c r="N1055" t="s">
        <v>34</v>
      </c>
      <c r="O1055" t="s">
        <v>65</v>
      </c>
      <c r="P1055" t="s">
        <v>102</v>
      </c>
    </row>
    <row r="1056" spans="1:16" x14ac:dyDescent="0.3">
      <c r="A1056" t="s">
        <v>1403</v>
      </c>
      <c r="B1056" s="1">
        <v>46052</v>
      </c>
      <c r="C1056" t="s">
        <v>528</v>
      </c>
      <c r="D1056" t="s">
        <v>105</v>
      </c>
      <c r="E1056" t="s">
        <v>106</v>
      </c>
      <c r="F1056" t="s">
        <v>40</v>
      </c>
      <c r="G1056" t="s">
        <v>21</v>
      </c>
      <c r="H1056" t="s">
        <v>22</v>
      </c>
      <c r="I1056">
        <v>4</v>
      </c>
      <c r="J1056">
        <v>6784.71</v>
      </c>
      <c r="K1056">
        <v>0.08</v>
      </c>
      <c r="L1056">
        <v>24967.73</v>
      </c>
      <c r="M1056" t="s">
        <v>76</v>
      </c>
      <c r="N1056" t="s">
        <v>49</v>
      </c>
      <c r="O1056" t="s">
        <v>65</v>
      </c>
      <c r="P1056" t="s">
        <v>50</v>
      </c>
    </row>
    <row r="1057" spans="1:16" x14ac:dyDescent="0.3">
      <c r="A1057" t="s">
        <v>1404</v>
      </c>
      <c r="B1057" s="1">
        <v>45591</v>
      </c>
      <c r="C1057" t="s">
        <v>67</v>
      </c>
      <c r="D1057" t="s">
        <v>85</v>
      </c>
      <c r="E1057" t="s">
        <v>86</v>
      </c>
      <c r="F1057" t="s">
        <v>20</v>
      </c>
      <c r="G1057" t="s">
        <v>81</v>
      </c>
      <c r="H1057" t="s">
        <v>135</v>
      </c>
      <c r="I1057">
        <v>2</v>
      </c>
      <c r="J1057">
        <v>1718.62</v>
      </c>
      <c r="K1057">
        <v>0</v>
      </c>
      <c r="L1057">
        <v>3437.24</v>
      </c>
      <c r="M1057" t="s">
        <v>76</v>
      </c>
      <c r="N1057" t="s">
        <v>71</v>
      </c>
      <c r="O1057" t="s">
        <v>413</v>
      </c>
      <c r="P1057" t="s">
        <v>42</v>
      </c>
    </row>
    <row r="1058" spans="1:16" x14ac:dyDescent="0.3">
      <c r="A1058" t="s">
        <v>1405</v>
      </c>
      <c r="B1058" s="1">
        <v>45714</v>
      </c>
      <c r="C1058" t="s">
        <v>698</v>
      </c>
      <c r="D1058" t="s">
        <v>53</v>
      </c>
      <c r="E1058" t="s">
        <v>54</v>
      </c>
      <c r="F1058" t="s">
        <v>55</v>
      </c>
      <c r="G1058" t="s">
        <v>56</v>
      </c>
      <c r="H1058" t="s">
        <v>123</v>
      </c>
      <c r="I1058">
        <v>2</v>
      </c>
      <c r="J1058">
        <v>203.93</v>
      </c>
      <c r="K1058">
        <v>0.03</v>
      </c>
      <c r="L1058">
        <v>395.62</v>
      </c>
      <c r="M1058" t="s">
        <v>76</v>
      </c>
      <c r="N1058" t="s">
        <v>49</v>
      </c>
      <c r="O1058" t="s">
        <v>65</v>
      </c>
      <c r="P1058" t="s">
        <v>116</v>
      </c>
    </row>
    <row r="1059" spans="1:16" x14ac:dyDescent="0.3">
      <c r="A1059" t="s">
        <v>1406</v>
      </c>
      <c r="B1059" s="1">
        <v>45913</v>
      </c>
      <c r="C1059" t="s">
        <v>447</v>
      </c>
      <c r="D1059" t="s">
        <v>105</v>
      </c>
      <c r="E1059" t="s">
        <v>106</v>
      </c>
      <c r="F1059" t="s">
        <v>40</v>
      </c>
      <c r="G1059" t="s">
        <v>21</v>
      </c>
      <c r="H1059" t="s">
        <v>22</v>
      </c>
      <c r="I1059">
        <v>2</v>
      </c>
      <c r="J1059">
        <v>7027.36</v>
      </c>
      <c r="K1059">
        <v>0.08</v>
      </c>
      <c r="L1059">
        <v>12930.34</v>
      </c>
      <c r="M1059" t="s">
        <v>76</v>
      </c>
      <c r="N1059" t="s">
        <v>24</v>
      </c>
      <c r="O1059" t="s">
        <v>25</v>
      </c>
      <c r="P1059" t="s">
        <v>72</v>
      </c>
    </row>
    <row r="1060" spans="1:16" x14ac:dyDescent="0.3">
      <c r="A1060" t="s">
        <v>1407</v>
      </c>
      <c r="B1060" s="1">
        <v>46111</v>
      </c>
      <c r="C1060" t="s">
        <v>350</v>
      </c>
      <c r="D1060" t="s">
        <v>131</v>
      </c>
      <c r="E1060" t="s">
        <v>132</v>
      </c>
      <c r="F1060" t="s">
        <v>40</v>
      </c>
      <c r="G1060" t="s">
        <v>21</v>
      </c>
      <c r="H1060" t="s">
        <v>41</v>
      </c>
      <c r="I1060">
        <v>4</v>
      </c>
      <c r="J1060">
        <v>8835.59</v>
      </c>
      <c r="K1060">
        <v>0.2</v>
      </c>
      <c r="L1060">
        <v>28273.89</v>
      </c>
      <c r="M1060" t="s">
        <v>76</v>
      </c>
      <c r="N1060" t="s">
        <v>24</v>
      </c>
      <c r="O1060" t="s">
        <v>65</v>
      </c>
      <c r="P1060" t="s">
        <v>72</v>
      </c>
    </row>
    <row r="1061" spans="1:16" x14ac:dyDescent="0.3">
      <c r="A1061" t="s">
        <v>1408</v>
      </c>
      <c r="B1061" s="1">
        <v>46023</v>
      </c>
      <c r="C1061" t="s">
        <v>988</v>
      </c>
      <c r="D1061" t="s">
        <v>29</v>
      </c>
      <c r="E1061" t="s">
        <v>30</v>
      </c>
      <c r="F1061" t="s">
        <v>31</v>
      </c>
      <c r="G1061" t="s">
        <v>32</v>
      </c>
      <c r="H1061" t="s">
        <v>33</v>
      </c>
      <c r="I1061">
        <v>4</v>
      </c>
      <c r="J1061">
        <v>3161.9</v>
      </c>
      <c r="K1061">
        <v>0.2</v>
      </c>
      <c r="L1061">
        <v>10118.08</v>
      </c>
      <c r="M1061" t="s">
        <v>48</v>
      </c>
      <c r="N1061" t="s">
        <v>49</v>
      </c>
      <c r="O1061" t="s">
        <v>65</v>
      </c>
      <c r="P1061" t="s">
        <v>26</v>
      </c>
    </row>
    <row r="1062" spans="1:16" x14ac:dyDescent="0.3">
      <c r="A1062" t="s">
        <v>1409</v>
      </c>
      <c r="B1062" s="1">
        <v>45544</v>
      </c>
      <c r="C1062" t="s">
        <v>776</v>
      </c>
      <c r="D1062" t="s">
        <v>176</v>
      </c>
      <c r="E1062" t="s">
        <v>177</v>
      </c>
      <c r="F1062" t="s">
        <v>31</v>
      </c>
      <c r="G1062" t="s">
        <v>56</v>
      </c>
      <c r="H1062" t="s">
        <v>64</v>
      </c>
      <c r="I1062">
        <v>2</v>
      </c>
      <c r="J1062">
        <v>2097.92</v>
      </c>
      <c r="K1062">
        <v>0.2</v>
      </c>
      <c r="L1062">
        <v>3356.67</v>
      </c>
      <c r="M1062" t="s">
        <v>23</v>
      </c>
      <c r="N1062" t="s">
        <v>71</v>
      </c>
      <c r="O1062" t="s">
        <v>65</v>
      </c>
      <c r="P1062" t="s">
        <v>111</v>
      </c>
    </row>
    <row r="1063" spans="1:16" x14ac:dyDescent="0.3">
      <c r="A1063" t="s">
        <v>1410</v>
      </c>
      <c r="B1063" s="1">
        <v>46136</v>
      </c>
      <c r="C1063" t="s">
        <v>528</v>
      </c>
      <c r="D1063" t="s">
        <v>85</v>
      </c>
      <c r="E1063" t="s">
        <v>86</v>
      </c>
      <c r="F1063" t="s">
        <v>20</v>
      </c>
      <c r="G1063" t="s">
        <v>81</v>
      </c>
      <c r="H1063" t="s">
        <v>87</v>
      </c>
      <c r="I1063">
        <v>5</v>
      </c>
      <c r="J1063">
        <v>1928.87</v>
      </c>
      <c r="K1063">
        <v>0.1</v>
      </c>
      <c r="L1063">
        <v>8679.91</v>
      </c>
      <c r="M1063" t="s">
        <v>48</v>
      </c>
      <c r="N1063" t="s">
        <v>24</v>
      </c>
      <c r="O1063" t="s">
        <v>35</v>
      </c>
      <c r="P1063" t="s">
        <v>26</v>
      </c>
    </row>
    <row r="1064" spans="1:16" x14ac:dyDescent="0.3">
      <c r="A1064" t="s">
        <v>1411</v>
      </c>
      <c r="B1064" s="1">
        <v>46057</v>
      </c>
      <c r="C1064" t="s">
        <v>625</v>
      </c>
      <c r="D1064" t="s">
        <v>131</v>
      </c>
      <c r="E1064" t="s">
        <v>132</v>
      </c>
      <c r="F1064" t="s">
        <v>40</v>
      </c>
      <c r="G1064" t="s">
        <v>81</v>
      </c>
      <c r="H1064" t="s">
        <v>135</v>
      </c>
      <c r="I1064">
        <v>3</v>
      </c>
      <c r="J1064">
        <v>9872.94</v>
      </c>
      <c r="K1064">
        <v>0.1</v>
      </c>
      <c r="L1064">
        <v>26656.94</v>
      </c>
      <c r="M1064" t="s">
        <v>48</v>
      </c>
      <c r="N1064" t="s">
        <v>34</v>
      </c>
      <c r="O1064" t="s">
        <v>25</v>
      </c>
      <c r="P1064" t="s">
        <v>26</v>
      </c>
    </row>
    <row r="1065" spans="1:16" x14ac:dyDescent="0.3">
      <c r="A1065" t="s">
        <v>1412</v>
      </c>
      <c r="B1065" s="1">
        <v>45629</v>
      </c>
      <c r="C1065" t="s">
        <v>419</v>
      </c>
      <c r="D1065" t="s">
        <v>121</v>
      </c>
      <c r="E1065" t="s">
        <v>122</v>
      </c>
      <c r="F1065" t="s">
        <v>55</v>
      </c>
      <c r="G1065" t="s">
        <v>21</v>
      </c>
      <c r="H1065" t="s">
        <v>126</v>
      </c>
      <c r="I1065">
        <v>2</v>
      </c>
      <c r="J1065">
        <v>462</v>
      </c>
      <c r="L1065">
        <v>831.6</v>
      </c>
      <c r="M1065" t="s">
        <v>23</v>
      </c>
      <c r="N1065" t="s">
        <v>49</v>
      </c>
      <c r="O1065" t="s">
        <v>35</v>
      </c>
      <c r="P1065" t="s">
        <v>102</v>
      </c>
    </row>
    <row r="1066" spans="1:16" x14ac:dyDescent="0.3">
      <c r="A1066" t="s">
        <v>1413</v>
      </c>
      <c r="B1066" s="1">
        <v>46133</v>
      </c>
      <c r="C1066" t="s">
        <v>738</v>
      </c>
      <c r="D1066" t="s">
        <v>105</v>
      </c>
      <c r="E1066" t="s">
        <v>106</v>
      </c>
      <c r="F1066" t="s">
        <v>40</v>
      </c>
      <c r="G1066" t="s">
        <v>81</v>
      </c>
      <c r="H1066" t="s">
        <v>82</v>
      </c>
      <c r="I1066">
        <v>4</v>
      </c>
      <c r="J1066">
        <v>7308.94</v>
      </c>
      <c r="K1066">
        <v>0</v>
      </c>
      <c r="L1066">
        <v>29235.759999999998</v>
      </c>
      <c r="M1066" t="s">
        <v>48</v>
      </c>
      <c r="N1066" t="s">
        <v>71</v>
      </c>
      <c r="O1066" t="s">
        <v>35</v>
      </c>
      <c r="P1066" t="s">
        <v>116</v>
      </c>
    </row>
    <row r="1067" spans="1:16" x14ac:dyDescent="0.3">
      <c r="A1067" t="s">
        <v>1414</v>
      </c>
      <c r="B1067" s="1">
        <v>45675</v>
      </c>
      <c r="C1067" t="s">
        <v>257</v>
      </c>
      <c r="D1067" t="s">
        <v>121</v>
      </c>
      <c r="E1067" t="s">
        <v>122</v>
      </c>
      <c r="F1067" t="s">
        <v>55</v>
      </c>
      <c r="G1067" t="s">
        <v>21</v>
      </c>
      <c r="H1067" t="s">
        <v>93</v>
      </c>
      <c r="I1067">
        <v>3</v>
      </c>
      <c r="J1067">
        <v>426.17</v>
      </c>
      <c r="K1067">
        <v>0.05</v>
      </c>
      <c r="L1067">
        <v>1214.58</v>
      </c>
      <c r="M1067" t="s">
        <v>76</v>
      </c>
      <c r="N1067" t="s">
        <v>34</v>
      </c>
      <c r="O1067" t="s">
        <v>65</v>
      </c>
      <c r="P1067" t="s">
        <v>42</v>
      </c>
    </row>
    <row r="1068" spans="1:16" x14ac:dyDescent="0.3">
      <c r="A1068" t="s">
        <v>1415</v>
      </c>
      <c r="B1068" s="1">
        <v>45336</v>
      </c>
      <c r="C1068" t="s">
        <v>190</v>
      </c>
      <c r="D1068" t="s">
        <v>89</v>
      </c>
      <c r="E1068" t="s">
        <v>90</v>
      </c>
      <c r="F1068" t="s">
        <v>20</v>
      </c>
      <c r="G1068" t="s">
        <v>21</v>
      </c>
      <c r="H1068" t="s">
        <v>93</v>
      </c>
      <c r="I1068">
        <v>2</v>
      </c>
      <c r="J1068">
        <v>708.28</v>
      </c>
      <c r="K1068">
        <v>0.05</v>
      </c>
      <c r="L1068">
        <v>1345.73</v>
      </c>
      <c r="M1068" t="s">
        <v>48</v>
      </c>
      <c r="N1068" t="s">
        <v>49</v>
      </c>
      <c r="O1068" t="s">
        <v>65</v>
      </c>
      <c r="P1068" t="s">
        <v>72</v>
      </c>
    </row>
    <row r="1069" spans="1:16" x14ac:dyDescent="0.3">
      <c r="A1069" t="s">
        <v>1416</v>
      </c>
      <c r="B1069" s="1">
        <v>45936</v>
      </c>
      <c r="C1069" t="s">
        <v>443</v>
      </c>
      <c r="D1069" t="s">
        <v>170</v>
      </c>
      <c r="E1069" t="s">
        <v>171</v>
      </c>
      <c r="F1069" t="s">
        <v>31</v>
      </c>
      <c r="G1069" t="s">
        <v>32</v>
      </c>
      <c r="H1069" t="s">
        <v>33</v>
      </c>
      <c r="I1069">
        <v>5</v>
      </c>
      <c r="J1069">
        <v>60505.63</v>
      </c>
      <c r="K1069">
        <v>0.08</v>
      </c>
      <c r="L1069">
        <v>278325.90000000002</v>
      </c>
      <c r="M1069" t="s">
        <v>23</v>
      </c>
      <c r="N1069" t="s">
        <v>49</v>
      </c>
      <c r="O1069" t="s">
        <v>25</v>
      </c>
      <c r="P1069" t="s">
        <v>59</v>
      </c>
    </row>
    <row r="1070" spans="1:16" x14ac:dyDescent="0.3">
      <c r="A1070" t="s">
        <v>1417</v>
      </c>
      <c r="B1070" s="1">
        <v>45754</v>
      </c>
      <c r="C1070" t="s">
        <v>100</v>
      </c>
      <c r="D1070" t="s">
        <v>85</v>
      </c>
      <c r="E1070" t="s">
        <v>86</v>
      </c>
      <c r="F1070" t="s">
        <v>20</v>
      </c>
      <c r="G1070" t="s">
        <v>56</v>
      </c>
      <c r="H1070" t="s">
        <v>57</v>
      </c>
      <c r="I1070">
        <v>3</v>
      </c>
      <c r="J1070">
        <v>1878.88</v>
      </c>
      <c r="K1070">
        <v>0.2</v>
      </c>
      <c r="L1070">
        <v>4509.3100000000004</v>
      </c>
      <c r="M1070" t="s">
        <v>48</v>
      </c>
      <c r="N1070" t="s">
        <v>34</v>
      </c>
      <c r="O1070" t="s">
        <v>35</v>
      </c>
      <c r="P1070" t="s">
        <v>102</v>
      </c>
    </row>
    <row r="1071" spans="1:16" x14ac:dyDescent="0.3">
      <c r="A1071" t="s">
        <v>1418</v>
      </c>
      <c r="B1071" s="1">
        <v>45944</v>
      </c>
      <c r="C1071" t="s">
        <v>334</v>
      </c>
      <c r="D1071" t="s">
        <v>38</v>
      </c>
      <c r="E1071" t="s">
        <v>39</v>
      </c>
      <c r="F1071" t="s">
        <v>40</v>
      </c>
      <c r="G1071" t="s">
        <v>32</v>
      </c>
      <c r="H1071" t="s">
        <v>68</v>
      </c>
      <c r="I1071">
        <v>5</v>
      </c>
      <c r="J1071">
        <v>1719.57</v>
      </c>
      <c r="K1071">
        <v>0.1</v>
      </c>
      <c r="L1071">
        <v>7738.07</v>
      </c>
      <c r="M1071" t="s">
        <v>48</v>
      </c>
      <c r="N1071" t="s">
        <v>49</v>
      </c>
      <c r="O1071" t="s">
        <v>65</v>
      </c>
      <c r="P1071" t="s">
        <v>26</v>
      </c>
    </row>
    <row r="1072" spans="1:16" x14ac:dyDescent="0.3">
      <c r="A1072" t="s">
        <v>1419</v>
      </c>
      <c r="B1072" s="1">
        <v>45321</v>
      </c>
      <c r="C1072" t="s">
        <v>365</v>
      </c>
      <c r="D1072" t="s">
        <v>53</v>
      </c>
      <c r="E1072" t="s">
        <v>54</v>
      </c>
      <c r="F1072" t="s">
        <v>55</v>
      </c>
      <c r="G1072" t="s">
        <v>56</v>
      </c>
      <c r="H1072" t="s">
        <v>64</v>
      </c>
      <c r="I1072">
        <v>2</v>
      </c>
      <c r="J1072">
        <v>215.24</v>
      </c>
      <c r="K1072">
        <v>0.2</v>
      </c>
      <c r="L1072">
        <v>344.38</v>
      </c>
      <c r="M1072" t="s">
        <v>48</v>
      </c>
      <c r="N1072" t="s">
        <v>58</v>
      </c>
      <c r="O1072" t="s">
        <v>65</v>
      </c>
      <c r="P1072" t="s">
        <v>42</v>
      </c>
    </row>
    <row r="1073" spans="1:16" x14ac:dyDescent="0.3">
      <c r="A1073" t="s">
        <v>1420</v>
      </c>
      <c r="B1073" s="1">
        <v>45452</v>
      </c>
      <c r="C1073" t="s">
        <v>411</v>
      </c>
      <c r="D1073" t="s">
        <v>18</v>
      </c>
      <c r="E1073" t="s">
        <v>19</v>
      </c>
      <c r="F1073" t="s">
        <v>20</v>
      </c>
      <c r="G1073" t="s">
        <v>21</v>
      </c>
      <c r="H1073" t="s">
        <v>126</v>
      </c>
      <c r="I1073">
        <v>3</v>
      </c>
      <c r="J1073">
        <v>795.04</v>
      </c>
      <c r="K1073">
        <v>0.05</v>
      </c>
      <c r="L1073">
        <v>2265.86</v>
      </c>
      <c r="M1073" t="s">
        <v>23</v>
      </c>
      <c r="N1073" t="s">
        <v>24</v>
      </c>
      <c r="O1073" t="s">
        <v>25</v>
      </c>
      <c r="P1073" t="s">
        <v>50</v>
      </c>
    </row>
    <row r="1074" spans="1:16" x14ac:dyDescent="0.3">
      <c r="A1074" t="s">
        <v>1421</v>
      </c>
      <c r="B1074" s="1">
        <v>45769</v>
      </c>
      <c r="C1074" t="s">
        <v>196</v>
      </c>
      <c r="D1074" t="s">
        <v>85</v>
      </c>
      <c r="E1074" t="s">
        <v>86</v>
      </c>
      <c r="F1074" t="s">
        <v>20</v>
      </c>
      <c r="G1074" t="s">
        <v>32</v>
      </c>
      <c r="H1074" t="s">
        <v>75</v>
      </c>
      <c r="I1074">
        <v>3</v>
      </c>
      <c r="J1074">
        <v>1760.13</v>
      </c>
      <c r="K1074">
        <v>0.15</v>
      </c>
      <c r="L1074">
        <v>4488.33</v>
      </c>
      <c r="M1074" t="s">
        <v>23</v>
      </c>
      <c r="N1074" t="s">
        <v>34</v>
      </c>
      <c r="O1074" t="s">
        <v>25</v>
      </c>
      <c r="P1074" t="s">
        <v>42</v>
      </c>
    </row>
    <row r="1075" spans="1:16" x14ac:dyDescent="0.3">
      <c r="A1075" t="s">
        <v>1422</v>
      </c>
      <c r="B1075" s="1">
        <v>45803</v>
      </c>
      <c r="C1075" t="s">
        <v>245</v>
      </c>
      <c r="D1075" t="s">
        <v>38</v>
      </c>
      <c r="E1075" t="s">
        <v>39</v>
      </c>
      <c r="F1075" t="s">
        <v>40</v>
      </c>
      <c r="G1075" t="s">
        <v>81</v>
      </c>
      <c r="H1075" t="s">
        <v>135</v>
      </c>
      <c r="I1075">
        <v>4</v>
      </c>
      <c r="J1075">
        <v>1522.37</v>
      </c>
      <c r="K1075">
        <v>0.15</v>
      </c>
      <c r="L1075">
        <v>5176.0600000000004</v>
      </c>
      <c r="M1075" t="s">
        <v>23</v>
      </c>
      <c r="N1075" t="s">
        <v>49</v>
      </c>
      <c r="O1075" t="s">
        <v>65</v>
      </c>
      <c r="P1075" t="s">
        <v>102</v>
      </c>
    </row>
    <row r="1076" spans="1:16" x14ac:dyDescent="0.3">
      <c r="A1076" t="s">
        <v>1423</v>
      </c>
      <c r="B1076" s="1">
        <v>45331</v>
      </c>
      <c r="C1076" t="s">
        <v>1195</v>
      </c>
      <c r="D1076" t="s">
        <v>89</v>
      </c>
      <c r="E1076" t="s">
        <v>90</v>
      </c>
      <c r="F1076" t="s">
        <v>20</v>
      </c>
      <c r="G1076" t="s">
        <v>21</v>
      </c>
      <c r="H1076" t="s">
        <v>41</v>
      </c>
      <c r="I1076">
        <v>2</v>
      </c>
      <c r="J1076">
        <v>679.49</v>
      </c>
      <c r="K1076">
        <v>0.05</v>
      </c>
      <c r="L1076">
        <v>1291.03</v>
      </c>
      <c r="M1076" t="s">
        <v>76</v>
      </c>
      <c r="N1076" t="s">
        <v>71</v>
      </c>
      <c r="O1076" t="s">
        <v>65</v>
      </c>
      <c r="P1076" t="s">
        <v>111</v>
      </c>
    </row>
    <row r="1077" spans="1:16" x14ac:dyDescent="0.3">
      <c r="A1077" t="s">
        <v>1424</v>
      </c>
      <c r="B1077" s="1">
        <v>45341</v>
      </c>
      <c r="C1077" t="s">
        <v>715</v>
      </c>
      <c r="D1077" t="s">
        <v>96</v>
      </c>
      <c r="E1077" t="s">
        <v>97</v>
      </c>
      <c r="F1077" t="s">
        <v>31</v>
      </c>
      <c r="G1077" t="s">
        <v>81</v>
      </c>
      <c r="H1077" t="s">
        <v>87</v>
      </c>
      <c r="I1077">
        <v>3</v>
      </c>
      <c r="J1077">
        <v>1128.56</v>
      </c>
      <c r="K1077">
        <v>0</v>
      </c>
      <c r="L1077">
        <v>3385.68</v>
      </c>
      <c r="M1077" t="s">
        <v>48</v>
      </c>
      <c r="N1077" t="s">
        <v>34</v>
      </c>
      <c r="O1077" t="s">
        <v>65</v>
      </c>
      <c r="P1077" t="s">
        <v>116</v>
      </c>
    </row>
    <row r="1078" spans="1:16" x14ac:dyDescent="0.3">
      <c r="A1078" t="s">
        <v>1425</v>
      </c>
      <c r="B1078" s="1">
        <v>45997</v>
      </c>
      <c r="C1078" t="s">
        <v>1069</v>
      </c>
      <c r="D1078" t="s">
        <v>18</v>
      </c>
      <c r="E1078" t="s">
        <v>19</v>
      </c>
      <c r="F1078" t="s">
        <v>20</v>
      </c>
      <c r="G1078" t="s">
        <v>81</v>
      </c>
      <c r="H1078" t="s">
        <v>135</v>
      </c>
      <c r="I1078">
        <v>5</v>
      </c>
      <c r="J1078">
        <v>835.23</v>
      </c>
      <c r="K1078">
        <v>0.2</v>
      </c>
      <c r="L1078">
        <v>3340.92</v>
      </c>
      <c r="M1078" t="s">
        <v>48</v>
      </c>
      <c r="N1078" t="s">
        <v>24</v>
      </c>
      <c r="O1078" t="s">
        <v>35</v>
      </c>
      <c r="P1078" t="s">
        <v>59</v>
      </c>
    </row>
    <row r="1079" spans="1:16" x14ac:dyDescent="0.3">
      <c r="A1079" t="s">
        <v>1426</v>
      </c>
      <c r="B1079" s="1">
        <v>45969</v>
      </c>
      <c r="C1079" t="s">
        <v>299</v>
      </c>
      <c r="D1079" t="s">
        <v>96</v>
      </c>
      <c r="E1079" t="s">
        <v>97</v>
      </c>
      <c r="F1079" t="s">
        <v>31</v>
      </c>
      <c r="G1079" t="s">
        <v>32</v>
      </c>
      <c r="H1079" t="s">
        <v>47</v>
      </c>
      <c r="I1079">
        <v>3</v>
      </c>
      <c r="J1079">
        <v>1205.49</v>
      </c>
      <c r="K1079">
        <v>0.1</v>
      </c>
      <c r="L1079">
        <v>3254.82</v>
      </c>
      <c r="M1079" t="s">
        <v>48</v>
      </c>
      <c r="N1079" t="s">
        <v>24</v>
      </c>
      <c r="O1079" t="s">
        <v>25</v>
      </c>
      <c r="P1079" t="s">
        <v>111</v>
      </c>
    </row>
    <row r="1080" spans="1:16" x14ac:dyDescent="0.3">
      <c r="A1080" t="s">
        <v>1427</v>
      </c>
      <c r="B1080" s="1">
        <v>45400</v>
      </c>
      <c r="C1080" t="s">
        <v>516</v>
      </c>
      <c r="D1080" t="s">
        <v>170</v>
      </c>
      <c r="E1080" t="s">
        <v>171</v>
      </c>
      <c r="F1080" t="s">
        <v>31</v>
      </c>
      <c r="G1080" t="s">
        <v>56</v>
      </c>
      <c r="H1080" t="s">
        <v>57</v>
      </c>
      <c r="I1080">
        <v>1</v>
      </c>
      <c r="J1080">
        <v>60565.56</v>
      </c>
      <c r="K1080">
        <v>0.1</v>
      </c>
      <c r="L1080">
        <v>54509</v>
      </c>
      <c r="M1080" t="s">
        <v>48</v>
      </c>
      <c r="N1080" t="s">
        <v>24</v>
      </c>
      <c r="O1080" t="s">
        <v>65</v>
      </c>
      <c r="P1080" t="s">
        <v>59</v>
      </c>
    </row>
    <row r="1081" spans="1:16" x14ac:dyDescent="0.3">
      <c r="A1081" t="s">
        <v>1428</v>
      </c>
      <c r="B1081" s="1">
        <v>45946</v>
      </c>
      <c r="C1081" t="s">
        <v>169</v>
      </c>
      <c r="D1081" t="s">
        <v>18</v>
      </c>
      <c r="E1081" t="s">
        <v>19</v>
      </c>
      <c r="F1081" t="s">
        <v>20</v>
      </c>
      <c r="G1081" t="s">
        <v>81</v>
      </c>
      <c r="H1081" t="s">
        <v>98</v>
      </c>
      <c r="I1081">
        <v>5</v>
      </c>
      <c r="J1081">
        <v>833.89</v>
      </c>
      <c r="K1081">
        <v>0.2</v>
      </c>
      <c r="L1081">
        <v>3335.56</v>
      </c>
      <c r="M1081" t="s">
        <v>76</v>
      </c>
      <c r="N1081" t="s">
        <v>71</v>
      </c>
      <c r="O1081" t="s">
        <v>65</v>
      </c>
      <c r="P1081" t="s">
        <v>116</v>
      </c>
    </row>
    <row r="1082" spans="1:16" x14ac:dyDescent="0.3">
      <c r="A1082" t="s">
        <v>1429</v>
      </c>
      <c r="B1082" s="1">
        <v>45757</v>
      </c>
      <c r="C1082" t="s">
        <v>627</v>
      </c>
      <c r="D1082" t="s">
        <v>89</v>
      </c>
      <c r="E1082" t="s">
        <v>90</v>
      </c>
      <c r="F1082" t="s">
        <v>20</v>
      </c>
      <c r="G1082" t="s">
        <v>21</v>
      </c>
      <c r="H1082" t="s">
        <v>126</v>
      </c>
      <c r="I1082">
        <v>5</v>
      </c>
      <c r="J1082">
        <v>698.06</v>
      </c>
      <c r="K1082">
        <v>0.15</v>
      </c>
      <c r="L1082">
        <v>2966.75</v>
      </c>
      <c r="M1082" t="s">
        <v>23</v>
      </c>
      <c r="N1082" t="s">
        <v>58</v>
      </c>
      <c r="O1082" t="s">
        <v>65</v>
      </c>
      <c r="P1082" t="s">
        <v>42</v>
      </c>
    </row>
    <row r="1083" spans="1:16" x14ac:dyDescent="0.3">
      <c r="A1083" t="s">
        <v>1430</v>
      </c>
      <c r="B1083" s="1">
        <v>45838</v>
      </c>
      <c r="C1083" t="s">
        <v>439</v>
      </c>
      <c r="D1083" t="s">
        <v>96</v>
      </c>
      <c r="E1083" t="s">
        <v>97</v>
      </c>
      <c r="F1083" t="s">
        <v>31</v>
      </c>
      <c r="G1083" t="s">
        <v>260</v>
      </c>
      <c r="H1083" t="s">
        <v>64</v>
      </c>
      <c r="I1083">
        <v>4</v>
      </c>
      <c r="J1083">
        <v>1276.74</v>
      </c>
      <c r="K1083">
        <v>0.1</v>
      </c>
      <c r="L1083">
        <v>4596.26</v>
      </c>
      <c r="M1083" t="s">
        <v>76</v>
      </c>
      <c r="N1083" t="s">
        <v>58</v>
      </c>
      <c r="O1083" t="s">
        <v>65</v>
      </c>
      <c r="P1083" t="s">
        <v>50</v>
      </c>
    </row>
    <row r="1084" spans="1:16" x14ac:dyDescent="0.3">
      <c r="A1084" t="s">
        <v>1431</v>
      </c>
      <c r="B1084" s="1">
        <v>45707</v>
      </c>
      <c r="C1084" t="s">
        <v>385</v>
      </c>
      <c r="D1084" t="s">
        <v>96</v>
      </c>
      <c r="E1084" t="s">
        <v>97</v>
      </c>
      <c r="F1084" t="s">
        <v>31</v>
      </c>
      <c r="G1084" t="s">
        <v>21</v>
      </c>
      <c r="H1084" t="s">
        <v>41</v>
      </c>
      <c r="I1084">
        <v>1</v>
      </c>
      <c r="J1084">
        <v>1123.72</v>
      </c>
      <c r="K1084">
        <v>0.08</v>
      </c>
      <c r="L1084">
        <v>1033.82</v>
      </c>
      <c r="M1084" t="s">
        <v>48</v>
      </c>
      <c r="N1084" t="s">
        <v>58</v>
      </c>
      <c r="O1084" t="s">
        <v>25</v>
      </c>
      <c r="P1084" t="s">
        <v>50</v>
      </c>
    </row>
    <row r="1085" spans="1:16" x14ac:dyDescent="0.3">
      <c r="A1085" t="s">
        <v>1432</v>
      </c>
      <c r="B1085" s="1">
        <v>46137</v>
      </c>
      <c r="C1085" t="s">
        <v>309</v>
      </c>
      <c r="D1085" t="s">
        <v>96</v>
      </c>
      <c r="E1085" t="s">
        <v>97</v>
      </c>
      <c r="F1085" t="s">
        <v>31</v>
      </c>
      <c r="G1085" t="s">
        <v>21</v>
      </c>
      <c r="H1085" t="s">
        <v>22</v>
      </c>
      <c r="I1085">
        <v>1</v>
      </c>
      <c r="J1085">
        <v>1120.3800000000001</v>
      </c>
      <c r="K1085">
        <v>0.03</v>
      </c>
      <c r="L1085">
        <v>1086.77</v>
      </c>
      <c r="M1085" t="s">
        <v>23</v>
      </c>
      <c r="N1085" t="s">
        <v>34</v>
      </c>
      <c r="O1085" t="s">
        <v>25</v>
      </c>
      <c r="P1085" t="s">
        <v>102</v>
      </c>
    </row>
    <row r="1086" spans="1:16" x14ac:dyDescent="0.3">
      <c r="A1086" t="s">
        <v>1433</v>
      </c>
      <c r="B1086" s="1">
        <v>45432</v>
      </c>
      <c r="C1086" t="s">
        <v>1077</v>
      </c>
      <c r="D1086" t="s">
        <v>105</v>
      </c>
      <c r="E1086" t="s">
        <v>106</v>
      </c>
      <c r="F1086" t="s">
        <v>40</v>
      </c>
      <c r="G1086" t="s">
        <v>56</v>
      </c>
      <c r="H1086" t="s">
        <v>57</v>
      </c>
      <c r="I1086">
        <v>2</v>
      </c>
      <c r="J1086">
        <v>6960.02</v>
      </c>
      <c r="K1086">
        <v>0.05</v>
      </c>
      <c r="L1086">
        <v>13224.04</v>
      </c>
      <c r="M1086" t="s">
        <v>48</v>
      </c>
      <c r="N1086" t="s">
        <v>58</v>
      </c>
      <c r="O1086" t="s">
        <v>65</v>
      </c>
      <c r="P1086" t="s">
        <v>116</v>
      </c>
    </row>
    <row r="1087" spans="1:16" x14ac:dyDescent="0.3">
      <c r="A1087" t="s">
        <v>1434</v>
      </c>
      <c r="B1087" s="1">
        <v>45628</v>
      </c>
      <c r="C1087" t="s">
        <v>227</v>
      </c>
      <c r="D1087" t="s">
        <v>89</v>
      </c>
      <c r="E1087" t="s">
        <v>90</v>
      </c>
      <c r="F1087" t="s">
        <v>20</v>
      </c>
      <c r="G1087" t="s">
        <v>56</v>
      </c>
      <c r="H1087" t="s">
        <v>57</v>
      </c>
      <c r="I1087">
        <v>1</v>
      </c>
      <c r="J1087">
        <v>686.88</v>
      </c>
      <c r="K1087">
        <v>0</v>
      </c>
      <c r="L1087">
        <v>686.88</v>
      </c>
      <c r="M1087" t="s">
        <v>48</v>
      </c>
      <c r="N1087" t="s">
        <v>71</v>
      </c>
      <c r="O1087" t="s">
        <v>25</v>
      </c>
      <c r="P1087" t="s">
        <v>116</v>
      </c>
    </row>
    <row r="1088" spans="1:16" x14ac:dyDescent="0.3">
      <c r="A1088" t="s">
        <v>1435</v>
      </c>
      <c r="B1088" s="1">
        <v>45571</v>
      </c>
      <c r="C1088" t="s">
        <v>204</v>
      </c>
      <c r="D1088" t="s">
        <v>121</v>
      </c>
      <c r="E1088" t="s">
        <v>122</v>
      </c>
      <c r="F1088" t="s">
        <v>55</v>
      </c>
      <c r="G1088" t="s">
        <v>56</v>
      </c>
      <c r="H1088" t="s">
        <v>64</v>
      </c>
      <c r="I1088">
        <v>1</v>
      </c>
      <c r="J1088">
        <v>433.68</v>
      </c>
      <c r="K1088">
        <v>0.2</v>
      </c>
      <c r="L1088">
        <v>346.94</v>
      </c>
      <c r="M1088" t="s">
        <v>23</v>
      </c>
      <c r="N1088" t="s">
        <v>58</v>
      </c>
      <c r="O1088" t="s">
        <v>65</v>
      </c>
      <c r="P1088" t="s">
        <v>50</v>
      </c>
    </row>
    <row r="1089" spans="1:16" x14ac:dyDescent="0.3">
      <c r="A1089" t="s">
        <v>1436</v>
      </c>
      <c r="B1089" s="1">
        <v>46030</v>
      </c>
      <c r="C1089" t="s">
        <v>204</v>
      </c>
      <c r="D1089" t="s">
        <v>62</v>
      </c>
      <c r="E1089" t="s">
        <v>63</v>
      </c>
      <c r="F1089" t="s">
        <v>31</v>
      </c>
      <c r="G1089" t="s">
        <v>21</v>
      </c>
      <c r="H1089" t="s">
        <v>126</v>
      </c>
      <c r="I1089">
        <v>3</v>
      </c>
      <c r="J1089">
        <v>2767.3</v>
      </c>
      <c r="K1089">
        <v>0.2</v>
      </c>
      <c r="L1089">
        <v>6641.52</v>
      </c>
      <c r="M1089" t="s">
        <v>23</v>
      </c>
      <c r="N1089" t="s">
        <v>49</v>
      </c>
      <c r="O1089" t="s">
        <v>35</v>
      </c>
      <c r="P1089" t="s">
        <v>50</v>
      </c>
    </row>
    <row r="1090" spans="1:16" x14ac:dyDescent="0.3">
      <c r="A1090" t="s">
        <v>1437</v>
      </c>
      <c r="B1090" s="1">
        <v>45850</v>
      </c>
      <c r="C1090" t="s">
        <v>394</v>
      </c>
      <c r="D1090" t="s">
        <v>131</v>
      </c>
      <c r="E1090" t="s">
        <v>132</v>
      </c>
      <c r="F1090" t="s">
        <v>40</v>
      </c>
      <c r="G1090" t="s">
        <v>56</v>
      </c>
      <c r="H1090" t="s">
        <v>57</v>
      </c>
      <c r="I1090">
        <v>3</v>
      </c>
      <c r="J1090">
        <v>9441.9599999999991</v>
      </c>
      <c r="K1090">
        <v>0.03</v>
      </c>
      <c r="L1090">
        <v>27476.1</v>
      </c>
      <c r="M1090" t="s">
        <v>23</v>
      </c>
      <c r="N1090" t="s">
        <v>24</v>
      </c>
      <c r="O1090" t="s">
        <v>25</v>
      </c>
      <c r="P1090" t="s">
        <v>59</v>
      </c>
    </row>
    <row r="1091" spans="1:16" x14ac:dyDescent="0.3">
      <c r="A1091" t="s">
        <v>1438</v>
      </c>
      <c r="B1091" s="1">
        <v>45397</v>
      </c>
      <c r="C1091" t="s">
        <v>166</v>
      </c>
      <c r="D1091" t="s">
        <v>131</v>
      </c>
      <c r="E1091" t="s">
        <v>132</v>
      </c>
      <c r="F1091" t="s">
        <v>40</v>
      </c>
      <c r="G1091" t="s">
        <v>32</v>
      </c>
      <c r="H1091" t="s">
        <v>47</v>
      </c>
      <c r="I1091">
        <v>4</v>
      </c>
      <c r="J1091">
        <v>10015.120000000001</v>
      </c>
      <c r="K1091">
        <v>0.15</v>
      </c>
      <c r="L1091">
        <v>34051.410000000003</v>
      </c>
      <c r="M1091" t="s">
        <v>48</v>
      </c>
      <c r="N1091" t="s">
        <v>58</v>
      </c>
      <c r="O1091" t="s">
        <v>25</v>
      </c>
      <c r="P1091" t="s">
        <v>26</v>
      </c>
    </row>
    <row r="1092" spans="1:16" x14ac:dyDescent="0.3">
      <c r="A1092" t="s">
        <v>1439</v>
      </c>
      <c r="B1092" s="1">
        <v>45958</v>
      </c>
      <c r="C1092" t="s">
        <v>216</v>
      </c>
      <c r="D1092" t="s">
        <v>18</v>
      </c>
      <c r="E1092" t="s">
        <v>19</v>
      </c>
      <c r="F1092" t="s">
        <v>20</v>
      </c>
      <c r="G1092" t="s">
        <v>81</v>
      </c>
      <c r="H1092" t="s">
        <v>135</v>
      </c>
      <c r="I1092">
        <v>4</v>
      </c>
      <c r="J1092">
        <v>806.63</v>
      </c>
      <c r="K1092">
        <v>0.03</v>
      </c>
      <c r="L1092">
        <v>3129.72</v>
      </c>
      <c r="M1092" t="s">
        <v>592</v>
      </c>
      <c r="N1092" t="s">
        <v>58</v>
      </c>
      <c r="O1092" t="s">
        <v>65</v>
      </c>
      <c r="P1092" t="s">
        <v>26</v>
      </c>
    </row>
    <row r="1093" spans="1:16" x14ac:dyDescent="0.3">
      <c r="A1093" t="s">
        <v>1440</v>
      </c>
      <c r="B1093" s="1">
        <v>45815</v>
      </c>
      <c r="C1093" t="s">
        <v>460</v>
      </c>
      <c r="D1093" t="s">
        <v>85</v>
      </c>
      <c r="E1093" t="s">
        <v>86</v>
      </c>
      <c r="F1093" t="s">
        <v>20</v>
      </c>
      <c r="G1093" t="s">
        <v>32</v>
      </c>
      <c r="H1093" t="s">
        <v>33</v>
      </c>
      <c r="I1093">
        <v>3</v>
      </c>
      <c r="J1093">
        <v>1850.73</v>
      </c>
      <c r="K1093">
        <v>0.15</v>
      </c>
      <c r="L1093">
        <v>4719.3599999999997</v>
      </c>
      <c r="M1093" t="s">
        <v>76</v>
      </c>
      <c r="N1093" t="s">
        <v>24</v>
      </c>
      <c r="O1093" t="s">
        <v>65</v>
      </c>
      <c r="P1093" t="s">
        <v>42</v>
      </c>
    </row>
    <row r="1094" spans="1:16" x14ac:dyDescent="0.3">
      <c r="A1094" t="s">
        <v>1441</v>
      </c>
      <c r="B1094" s="1">
        <v>45363</v>
      </c>
      <c r="C1094" t="s">
        <v>257</v>
      </c>
      <c r="D1094" t="s">
        <v>79</v>
      </c>
      <c r="E1094" t="s">
        <v>80</v>
      </c>
      <c r="F1094" t="s">
        <v>31</v>
      </c>
      <c r="G1094" t="s">
        <v>32</v>
      </c>
      <c r="H1094" t="s">
        <v>47</v>
      </c>
      <c r="I1094">
        <v>1</v>
      </c>
      <c r="J1094">
        <v>12012.23</v>
      </c>
      <c r="K1094">
        <v>0.15</v>
      </c>
      <c r="L1094">
        <v>10210.4</v>
      </c>
      <c r="M1094" t="s">
        <v>76</v>
      </c>
      <c r="N1094" t="s">
        <v>34</v>
      </c>
      <c r="O1094" t="s">
        <v>65</v>
      </c>
      <c r="P1094" t="s">
        <v>111</v>
      </c>
    </row>
    <row r="1095" spans="1:16" x14ac:dyDescent="0.3">
      <c r="A1095" t="s">
        <v>1442</v>
      </c>
      <c r="B1095" s="1">
        <v>45538</v>
      </c>
      <c r="C1095" t="s">
        <v>935</v>
      </c>
      <c r="D1095" t="s">
        <v>105</v>
      </c>
      <c r="E1095" t="s">
        <v>106</v>
      </c>
      <c r="F1095" t="s">
        <v>40</v>
      </c>
      <c r="G1095" t="s">
        <v>81</v>
      </c>
      <c r="H1095" t="s">
        <v>87</v>
      </c>
      <c r="I1095">
        <v>5</v>
      </c>
      <c r="J1095">
        <v>7278.55</v>
      </c>
      <c r="K1095">
        <v>0.1</v>
      </c>
      <c r="L1095">
        <v>32753.48</v>
      </c>
      <c r="M1095" t="s">
        <v>76</v>
      </c>
      <c r="N1095" t="s">
        <v>71</v>
      </c>
      <c r="O1095" t="s">
        <v>25</v>
      </c>
      <c r="P1095" t="s">
        <v>102</v>
      </c>
    </row>
    <row r="1096" spans="1:16" x14ac:dyDescent="0.3">
      <c r="A1096" t="s">
        <v>1443</v>
      </c>
      <c r="B1096" s="1">
        <v>45805</v>
      </c>
      <c r="C1096" t="s">
        <v>184</v>
      </c>
      <c r="D1096" t="s">
        <v>85</v>
      </c>
      <c r="E1096" t="s">
        <v>86</v>
      </c>
      <c r="F1096" t="s">
        <v>20</v>
      </c>
      <c r="G1096" t="s">
        <v>21</v>
      </c>
      <c r="H1096" t="s">
        <v>126</v>
      </c>
      <c r="I1096">
        <v>4</v>
      </c>
      <c r="J1096">
        <v>1888.28</v>
      </c>
      <c r="K1096">
        <v>0</v>
      </c>
      <c r="L1096">
        <v>7553.12</v>
      </c>
      <c r="M1096" t="s">
        <v>48</v>
      </c>
      <c r="N1096" t="s">
        <v>24</v>
      </c>
      <c r="O1096" t="s">
        <v>65</v>
      </c>
      <c r="P1096" t="s">
        <v>59</v>
      </c>
    </row>
    <row r="1097" spans="1:16" x14ac:dyDescent="0.3">
      <c r="A1097" t="s">
        <v>1444</v>
      </c>
      <c r="B1097" s="1">
        <v>45921</v>
      </c>
      <c r="C1097" t="s">
        <v>1269</v>
      </c>
      <c r="D1097" t="s">
        <v>62</v>
      </c>
      <c r="E1097" t="s">
        <v>63</v>
      </c>
      <c r="F1097" t="s">
        <v>31</v>
      </c>
      <c r="G1097" t="s">
        <v>81</v>
      </c>
      <c r="H1097" t="s">
        <v>98</v>
      </c>
      <c r="I1097">
        <v>2</v>
      </c>
      <c r="J1097">
        <v>2754.82</v>
      </c>
      <c r="K1097">
        <v>0.1</v>
      </c>
      <c r="L1097">
        <v>4958.68</v>
      </c>
      <c r="M1097" t="s">
        <v>23</v>
      </c>
      <c r="N1097" t="s">
        <v>34</v>
      </c>
      <c r="O1097" t="s">
        <v>65</v>
      </c>
      <c r="P1097" t="s">
        <v>111</v>
      </c>
    </row>
    <row r="1098" spans="1:16" x14ac:dyDescent="0.3">
      <c r="A1098" t="s">
        <v>1445</v>
      </c>
      <c r="B1098" s="1">
        <v>45490</v>
      </c>
      <c r="C1098" t="s">
        <v>227</v>
      </c>
      <c r="D1098" t="s">
        <v>131</v>
      </c>
      <c r="E1098" t="s">
        <v>132</v>
      </c>
      <c r="F1098" t="s">
        <v>40</v>
      </c>
      <c r="G1098" t="s">
        <v>32</v>
      </c>
      <c r="H1098" t="s">
        <v>47</v>
      </c>
      <c r="I1098">
        <v>5</v>
      </c>
      <c r="J1098">
        <v>9437.44</v>
      </c>
      <c r="K1098">
        <v>0.2</v>
      </c>
      <c r="L1098">
        <v>37749.760000000002</v>
      </c>
      <c r="M1098" t="s">
        <v>48</v>
      </c>
      <c r="N1098" t="s">
        <v>24</v>
      </c>
      <c r="O1098" t="s">
        <v>65</v>
      </c>
      <c r="P1098" t="s">
        <v>102</v>
      </c>
    </row>
    <row r="1099" spans="1:16" x14ac:dyDescent="0.3">
      <c r="A1099" t="s">
        <v>1446</v>
      </c>
      <c r="B1099" s="1">
        <v>45702</v>
      </c>
      <c r="C1099" t="s">
        <v>285</v>
      </c>
      <c r="D1099" t="s">
        <v>121</v>
      </c>
      <c r="E1099" t="s">
        <v>122</v>
      </c>
      <c r="F1099" t="s">
        <v>55</v>
      </c>
      <c r="G1099" t="s">
        <v>21</v>
      </c>
      <c r="H1099" t="s">
        <v>93</v>
      </c>
      <c r="I1099">
        <v>5</v>
      </c>
      <c r="J1099">
        <v>444.41</v>
      </c>
      <c r="K1099">
        <v>0</v>
      </c>
      <c r="L1099">
        <v>2222.0500000000002</v>
      </c>
      <c r="M1099" t="s">
        <v>76</v>
      </c>
      <c r="N1099" t="s">
        <v>49</v>
      </c>
      <c r="O1099" t="s">
        <v>65</v>
      </c>
      <c r="P1099" t="s">
        <v>50</v>
      </c>
    </row>
    <row r="1100" spans="1:16" x14ac:dyDescent="0.3">
      <c r="A1100" t="s">
        <v>1447</v>
      </c>
      <c r="B1100" s="1">
        <v>45737</v>
      </c>
      <c r="C1100" t="s">
        <v>52</v>
      </c>
      <c r="D1100" t="s">
        <v>79</v>
      </c>
      <c r="E1100" t="s">
        <v>80</v>
      </c>
      <c r="F1100" t="s">
        <v>31</v>
      </c>
      <c r="G1100" t="s">
        <v>56</v>
      </c>
      <c r="H1100" t="s">
        <v>123</v>
      </c>
      <c r="I1100">
        <v>4</v>
      </c>
      <c r="J1100">
        <v>12344.04</v>
      </c>
      <c r="K1100">
        <v>0.15</v>
      </c>
      <c r="L1100">
        <v>41969.74</v>
      </c>
      <c r="M1100" t="s">
        <v>48</v>
      </c>
      <c r="N1100" t="s">
        <v>58</v>
      </c>
      <c r="O1100" t="s">
        <v>35</v>
      </c>
      <c r="P1100" t="s">
        <v>59</v>
      </c>
    </row>
    <row r="1101" spans="1:16" x14ac:dyDescent="0.3">
      <c r="A1101" t="s">
        <v>1448</v>
      </c>
      <c r="B1101" s="1">
        <v>45378</v>
      </c>
      <c r="C1101" t="s">
        <v>313</v>
      </c>
      <c r="D1101" t="s">
        <v>18</v>
      </c>
      <c r="E1101" t="s">
        <v>19</v>
      </c>
      <c r="F1101" t="s">
        <v>20</v>
      </c>
      <c r="G1101" t="s">
        <v>32</v>
      </c>
      <c r="H1101" t="s">
        <v>47</v>
      </c>
      <c r="I1101">
        <v>3</v>
      </c>
      <c r="J1101">
        <v>828.14</v>
      </c>
      <c r="K1101">
        <v>0.15</v>
      </c>
      <c r="L1101">
        <v>2111.7600000000002</v>
      </c>
      <c r="M1101" t="s">
        <v>76</v>
      </c>
      <c r="N1101" t="s">
        <v>49</v>
      </c>
      <c r="O1101" t="s">
        <v>65</v>
      </c>
      <c r="P1101" t="s">
        <v>116</v>
      </c>
    </row>
    <row r="1102" spans="1:16" x14ac:dyDescent="0.3">
      <c r="A1102" t="s">
        <v>1449</v>
      </c>
      <c r="B1102" s="1">
        <v>45483</v>
      </c>
      <c r="C1102" t="s">
        <v>1156</v>
      </c>
      <c r="D1102" t="s">
        <v>85</v>
      </c>
      <c r="E1102" t="s">
        <v>86</v>
      </c>
      <c r="F1102" t="s">
        <v>20</v>
      </c>
      <c r="G1102" t="s">
        <v>81</v>
      </c>
      <c r="H1102" t="s">
        <v>135</v>
      </c>
      <c r="I1102">
        <v>4</v>
      </c>
      <c r="J1102">
        <v>1822.62</v>
      </c>
      <c r="K1102">
        <v>0</v>
      </c>
      <c r="L1102">
        <v>7290.48</v>
      </c>
      <c r="M1102" t="s">
        <v>48</v>
      </c>
      <c r="N1102" t="s">
        <v>71</v>
      </c>
      <c r="O1102" t="s">
        <v>35</v>
      </c>
      <c r="P1102" t="s">
        <v>59</v>
      </c>
    </row>
    <row r="1103" spans="1:16" x14ac:dyDescent="0.3">
      <c r="A1103" t="s">
        <v>1450</v>
      </c>
      <c r="B1103" s="1">
        <v>46072</v>
      </c>
      <c r="C1103" t="s">
        <v>453</v>
      </c>
      <c r="D1103" t="s">
        <v>38</v>
      </c>
      <c r="E1103" t="s">
        <v>39</v>
      </c>
      <c r="F1103" t="s">
        <v>40</v>
      </c>
      <c r="G1103" t="s">
        <v>32</v>
      </c>
      <c r="H1103" t="s">
        <v>75</v>
      </c>
      <c r="I1103">
        <v>3</v>
      </c>
      <c r="J1103">
        <v>1514.36</v>
      </c>
      <c r="K1103">
        <v>0.03</v>
      </c>
      <c r="L1103">
        <v>4406.79</v>
      </c>
      <c r="M1103" t="s">
        <v>76</v>
      </c>
      <c r="N1103" t="s">
        <v>24</v>
      </c>
      <c r="O1103" t="s">
        <v>65</v>
      </c>
      <c r="P1103" t="s">
        <v>116</v>
      </c>
    </row>
    <row r="1104" spans="1:16" x14ac:dyDescent="0.3">
      <c r="A1104" t="s">
        <v>1451</v>
      </c>
      <c r="B1104" s="1">
        <v>45680</v>
      </c>
      <c r="C1104" t="s">
        <v>259</v>
      </c>
      <c r="D1104" t="s">
        <v>18</v>
      </c>
      <c r="E1104" t="s">
        <v>19</v>
      </c>
      <c r="F1104" t="s">
        <v>20</v>
      </c>
      <c r="G1104" t="s">
        <v>81</v>
      </c>
      <c r="H1104" t="s">
        <v>82</v>
      </c>
      <c r="I1104">
        <v>5</v>
      </c>
      <c r="J1104">
        <v>879.64</v>
      </c>
      <c r="K1104">
        <v>0</v>
      </c>
      <c r="L1104">
        <v>4398.2</v>
      </c>
      <c r="M1104" t="s">
        <v>23</v>
      </c>
      <c r="N1104" t="s">
        <v>24</v>
      </c>
      <c r="O1104" t="s">
        <v>65</v>
      </c>
      <c r="P1104" t="s">
        <v>59</v>
      </c>
    </row>
    <row r="1105" spans="1:16" x14ac:dyDescent="0.3">
      <c r="A1105" t="s">
        <v>1452</v>
      </c>
      <c r="B1105" s="1">
        <v>45311</v>
      </c>
      <c r="C1105" t="s">
        <v>470</v>
      </c>
      <c r="D1105" t="s">
        <v>45</v>
      </c>
      <c r="E1105" t="s">
        <v>46</v>
      </c>
      <c r="F1105" t="s">
        <v>31</v>
      </c>
      <c r="G1105" t="s">
        <v>21</v>
      </c>
      <c r="H1105" t="s">
        <v>126</v>
      </c>
      <c r="I1105">
        <v>2</v>
      </c>
      <c r="J1105">
        <v>1867.81</v>
      </c>
      <c r="K1105">
        <v>0.08</v>
      </c>
      <c r="L1105">
        <v>3436.77</v>
      </c>
      <c r="M1105" t="s">
        <v>48</v>
      </c>
      <c r="N1105" t="s">
        <v>58</v>
      </c>
      <c r="O1105" t="s">
        <v>65</v>
      </c>
      <c r="P1105" t="s">
        <v>72</v>
      </c>
    </row>
    <row r="1106" spans="1:16" x14ac:dyDescent="0.3">
      <c r="A1106" t="s">
        <v>1453</v>
      </c>
      <c r="B1106" s="1">
        <v>45620</v>
      </c>
      <c r="C1106" t="s">
        <v>839</v>
      </c>
      <c r="D1106" t="s">
        <v>96</v>
      </c>
      <c r="E1106" t="s">
        <v>97</v>
      </c>
      <c r="F1106" t="s">
        <v>31</v>
      </c>
      <c r="G1106" t="s">
        <v>32</v>
      </c>
      <c r="H1106" t="s">
        <v>33</v>
      </c>
      <c r="I1106">
        <v>5</v>
      </c>
      <c r="J1106">
        <v>1166.42</v>
      </c>
      <c r="K1106">
        <v>0.2</v>
      </c>
      <c r="L1106">
        <v>4665.68</v>
      </c>
      <c r="M1106" t="s">
        <v>23</v>
      </c>
      <c r="N1106" t="s">
        <v>34</v>
      </c>
      <c r="O1106" t="s">
        <v>65</v>
      </c>
      <c r="P1106" t="s">
        <v>59</v>
      </c>
    </row>
    <row r="1107" spans="1:16" x14ac:dyDescent="0.3">
      <c r="A1107" t="s">
        <v>1454</v>
      </c>
      <c r="B1107" s="1">
        <v>45921</v>
      </c>
      <c r="C1107" t="s">
        <v>558</v>
      </c>
      <c r="D1107" t="s">
        <v>105</v>
      </c>
      <c r="E1107" t="s">
        <v>106</v>
      </c>
      <c r="F1107" t="s">
        <v>40</v>
      </c>
      <c r="G1107" t="s">
        <v>56</v>
      </c>
      <c r="H1107" t="s">
        <v>123</v>
      </c>
      <c r="I1107">
        <v>2</v>
      </c>
      <c r="J1107">
        <v>7088.02</v>
      </c>
      <c r="K1107">
        <v>0</v>
      </c>
      <c r="L1107">
        <v>14176.04</v>
      </c>
      <c r="M1107" t="s">
        <v>76</v>
      </c>
      <c r="N1107" t="s">
        <v>58</v>
      </c>
      <c r="O1107" t="s">
        <v>65</v>
      </c>
      <c r="P1107" t="s">
        <v>50</v>
      </c>
    </row>
    <row r="1108" spans="1:16" x14ac:dyDescent="0.3">
      <c r="A1108" t="s">
        <v>1455</v>
      </c>
      <c r="B1108" s="1">
        <v>45805</v>
      </c>
      <c r="C1108" t="s">
        <v>216</v>
      </c>
      <c r="D1108" t="s">
        <v>176</v>
      </c>
      <c r="E1108" t="s">
        <v>177</v>
      </c>
      <c r="F1108" t="s">
        <v>31</v>
      </c>
      <c r="G1108" t="s">
        <v>56</v>
      </c>
      <c r="H1108" t="s">
        <v>64</v>
      </c>
      <c r="I1108">
        <v>3</v>
      </c>
      <c r="J1108">
        <v>2218.96</v>
      </c>
      <c r="K1108">
        <v>0.08</v>
      </c>
      <c r="L1108">
        <v>6124.33</v>
      </c>
      <c r="M1108" t="s">
        <v>76</v>
      </c>
      <c r="N1108" t="s">
        <v>58</v>
      </c>
      <c r="O1108" t="s">
        <v>35</v>
      </c>
      <c r="P1108" t="s">
        <v>42</v>
      </c>
    </row>
    <row r="1109" spans="1:16" x14ac:dyDescent="0.3">
      <c r="A1109" t="s">
        <v>1456</v>
      </c>
      <c r="B1109" s="1">
        <v>46163</v>
      </c>
      <c r="C1109" t="s">
        <v>483</v>
      </c>
      <c r="D1109" t="s">
        <v>176</v>
      </c>
      <c r="E1109" t="s">
        <v>177</v>
      </c>
      <c r="F1109" t="s">
        <v>31</v>
      </c>
      <c r="G1109" t="s">
        <v>81</v>
      </c>
      <c r="H1109" t="s">
        <v>82</v>
      </c>
      <c r="I1109">
        <v>3</v>
      </c>
      <c r="J1109">
        <v>2272.09</v>
      </c>
      <c r="K1109">
        <v>0.2</v>
      </c>
      <c r="L1109">
        <v>5453.02</v>
      </c>
      <c r="M1109" t="s">
        <v>23</v>
      </c>
      <c r="N1109" t="s">
        <v>58</v>
      </c>
      <c r="O1109" t="s">
        <v>65</v>
      </c>
      <c r="P1109" t="s">
        <v>42</v>
      </c>
    </row>
    <row r="1110" spans="1:16" x14ac:dyDescent="0.3">
      <c r="A1110" t="s">
        <v>1457</v>
      </c>
      <c r="B1110" s="1">
        <v>46093</v>
      </c>
      <c r="C1110" t="s">
        <v>612</v>
      </c>
      <c r="D1110" t="s">
        <v>170</v>
      </c>
      <c r="E1110" t="s">
        <v>171</v>
      </c>
      <c r="F1110" t="s">
        <v>31</v>
      </c>
      <c r="G1110" t="s">
        <v>21</v>
      </c>
      <c r="H1110" t="s">
        <v>126</v>
      </c>
      <c r="I1110">
        <v>5</v>
      </c>
      <c r="J1110">
        <v>63984.22</v>
      </c>
      <c r="K1110">
        <v>0.2</v>
      </c>
      <c r="L1110">
        <v>255936.88</v>
      </c>
      <c r="M1110" t="s">
        <v>76</v>
      </c>
      <c r="N1110" t="s">
        <v>71</v>
      </c>
      <c r="O1110" t="s">
        <v>65</v>
      </c>
      <c r="P1110" t="s">
        <v>102</v>
      </c>
    </row>
    <row r="1111" spans="1:16" x14ac:dyDescent="0.3">
      <c r="A1111" t="s">
        <v>1458</v>
      </c>
      <c r="B1111" s="1">
        <v>45450</v>
      </c>
      <c r="C1111" t="s">
        <v>997</v>
      </c>
      <c r="D1111" t="s">
        <v>105</v>
      </c>
      <c r="E1111" t="s">
        <v>106</v>
      </c>
      <c r="F1111" t="s">
        <v>40</v>
      </c>
      <c r="G1111" t="s">
        <v>21</v>
      </c>
      <c r="H1111" t="s">
        <v>126</v>
      </c>
      <c r="I1111">
        <v>3</v>
      </c>
      <c r="J1111">
        <v>7530.71</v>
      </c>
      <c r="K1111">
        <v>0.08</v>
      </c>
      <c r="L1111">
        <v>20784.759999999998</v>
      </c>
      <c r="M1111" t="s">
        <v>48</v>
      </c>
      <c r="N1111" t="s">
        <v>49</v>
      </c>
      <c r="O1111" t="s">
        <v>65</v>
      </c>
      <c r="P1111" t="s">
        <v>111</v>
      </c>
    </row>
    <row r="1112" spans="1:16" x14ac:dyDescent="0.3">
      <c r="A1112" t="s">
        <v>1459</v>
      </c>
      <c r="B1112" s="1">
        <v>46084</v>
      </c>
      <c r="C1112" t="s">
        <v>95</v>
      </c>
      <c r="D1112" t="s">
        <v>96</v>
      </c>
      <c r="E1112" t="s">
        <v>97</v>
      </c>
      <c r="F1112" t="s">
        <v>31</v>
      </c>
      <c r="G1112" t="s">
        <v>32</v>
      </c>
      <c r="H1112" t="s">
        <v>68</v>
      </c>
      <c r="I1112">
        <v>4</v>
      </c>
      <c r="J1112">
        <v>1156.83</v>
      </c>
      <c r="K1112">
        <v>0.2</v>
      </c>
      <c r="L1112">
        <v>3701.86</v>
      </c>
      <c r="M1112" t="s">
        <v>23</v>
      </c>
      <c r="N1112" t="s">
        <v>58</v>
      </c>
      <c r="O1112" t="s">
        <v>65</v>
      </c>
      <c r="P1112" t="s">
        <v>59</v>
      </c>
    </row>
    <row r="1113" spans="1:16" x14ac:dyDescent="0.3">
      <c r="A1113" t="s">
        <v>1460</v>
      </c>
      <c r="B1113" s="1">
        <v>45472</v>
      </c>
      <c r="C1113" t="s">
        <v>74</v>
      </c>
      <c r="D1113" t="s">
        <v>45</v>
      </c>
      <c r="E1113" t="s">
        <v>46</v>
      </c>
      <c r="F1113" t="s">
        <v>31</v>
      </c>
      <c r="G1113" t="s">
        <v>21</v>
      </c>
      <c r="H1113" t="s">
        <v>22</v>
      </c>
      <c r="I1113">
        <v>4</v>
      </c>
      <c r="J1113">
        <v>1845.87</v>
      </c>
      <c r="K1113">
        <v>0</v>
      </c>
      <c r="L1113">
        <v>7383.48</v>
      </c>
      <c r="M1113" t="s">
        <v>48</v>
      </c>
      <c r="N1113" t="s">
        <v>71</v>
      </c>
      <c r="O1113" t="s">
        <v>65</v>
      </c>
      <c r="P1113" t="s">
        <v>42</v>
      </c>
    </row>
    <row r="1114" spans="1:16" x14ac:dyDescent="0.3">
      <c r="A1114" t="s">
        <v>1461</v>
      </c>
      <c r="B1114" s="1">
        <v>46069</v>
      </c>
      <c r="C1114" t="s">
        <v>128</v>
      </c>
      <c r="D1114" t="s">
        <v>45</v>
      </c>
      <c r="E1114" t="s">
        <v>46</v>
      </c>
      <c r="F1114" t="s">
        <v>31</v>
      </c>
      <c r="G1114" t="s">
        <v>32</v>
      </c>
      <c r="H1114" t="s">
        <v>47</v>
      </c>
      <c r="I1114">
        <v>5</v>
      </c>
      <c r="J1114">
        <v>1719.95</v>
      </c>
      <c r="K1114">
        <v>0.2</v>
      </c>
      <c r="L1114">
        <v>6879.8</v>
      </c>
      <c r="M1114" t="s">
        <v>23</v>
      </c>
      <c r="N1114" t="s">
        <v>49</v>
      </c>
      <c r="O1114" t="s">
        <v>65</v>
      </c>
      <c r="P1114" t="s">
        <v>111</v>
      </c>
    </row>
    <row r="1115" spans="1:16" x14ac:dyDescent="0.3">
      <c r="A1115" t="s">
        <v>1462</v>
      </c>
      <c r="B1115" s="1">
        <v>45844</v>
      </c>
      <c r="C1115" t="s">
        <v>685</v>
      </c>
      <c r="D1115" t="s">
        <v>85</v>
      </c>
      <c r="E1115" t="s">
        <v>86</v>
      </c>
      <c r="F1115" t="s">
        <v>20</v>
      </c>
      <c r="G1115" t="s">
        <v>32</v>
      </c>
      <c r="H1115" t="s">
        <v>33</v>
      </c>
      <c r="I1115">
        <v>5</v>
      </c>
      <c r="J1115">
        <v>1836.28</v>
      </c>
      <c r="K1115">
        <v>0.05</v>
      </c>
      <c r="L1115">
        <v>8722.33</v>
      </c>
      <c r="M1115" t="s">
        <v>76</v>
      </c>
      <c r="N1115" t="s">
        <v>34</v>
      </c>
      <c r="O1115" t="s">
        <v>25</v>
      </c>
      <c r="P1115" t="s">
        <v>116</v>
      </c>
    </row>
    <row r="1116" spans="1:16" x14ac:dyDescent="0.3">
      <c r="A1116" t="s">
        <v>1463</v>
      </c>
      <c r="B1116" s="1">
        <v>45386</v>
      </c>
      <c r="D1116" t="s">
        <v>131</v>
      </c>
      <c r="E1116" t="s">
        <v>132</v>
      </c>
      <c r="F1116" t="s">
        <v>40</v>
      </c>
      <c r="G1116" t="s">
        <v>56</v>
      </c>
      <c r="H1116" t="s">
        <v>101</v>
      </c>
      <c r="I1116">
        <v>4</v>
      </c>
      <c r="J1116">
        <v>9447.4699999999993</v>
      </c>
      <c r="K1116">
        <v>0.1</v>
      </c>
      <c r="L1116">
        <v>34010.89</v>
      </c>
      <c r="M1116" t="s">
        <v>48</v>
      </c>
      <c r="N1116" t="s">
        <v>71</v>
      </c>
      <c r="O1116" t="s">
        <v>25</v>
      </c>
      <c r="P1116" t="s">
        <v>72</v>
      </c>
    </row>
    <row r="1117" spans="1:16" x14ac:dyDescent="0.3">
      <c r="A1117" t="s">
        <v>1464</v>
      </c>
      <c r="B1117" s="1">
        <v>45471</v>
      </c>
      <c r="C1117" t="s">
        <v>137</v>
      </c>
      <c r="D1117" t="s">
        <v>38</v>
      </c>
      <c r="E1117" t="s">
        <v>39</v>
      </c>
      <c r="F1117" t="s">
        <v>40</v>
      </c>
      <c r="G1117" t="s">
        <v>32</v>
      </c>
      <c r="H1117" t="s">
        <v>75</v>
      </c>
      <c r="I1117">
        <v>5</v>
      </c>
      <c r="J1117">
        <v>1608.91</v>
      </c>
      <c r="K1117">
        <v>0.1</v>
      </c>
      <c r="L1117">
        <v>7240.1</v>
      </c>
      <c r="M1117" t="s">
        <v>23</v>
      </c>
      <c r="N1117" t="s">
        <v>34</v>
      </c>
      <c r="O1117" t="s">
        <v>65</v>
      </c>
      <c r="P1117" t="s">
        <v>116</v>
      </c>
    </row>
    <row r="1118" spans="1:16" x14ac:dyDescent="0.3">
      <c r="A1118" t="s">
        <v>1465</v>
      </c>
      <c r="B1118" s="1">
        <v>45902</v>
      </c>
      <c r="C1118" t="s">
        <v>108</v>
      </c>
      <c r="D1118" t="s">
        <v>85</v>
      </c>
      <c r="E1118" t="s">
        <v>86</v>
      </c>
      <c r="F1118" t="s">
        <v>20</v>
      </c>
      <c r="G1118" t="s">
        <v>21</v>
      </c>
      <c r="H1118" t="s">
        <v>41</v>
      </c>
      <c r="I1118">
        <v>1</v>
      </c>
      <c r="J1118">
        <v>1917.52</v>
      </c>
      <c r="K1118">
        <v>0.05</v>
      </c>
      <c r="L1118">
        <v>1821.64</v>
      </c>
      <c r="M1118" t="s">
        <v>48</v>
      </c>
      <c r="N1118" t="s">
        <v>58</v>
      </c>
      <c r="O1118" t="s">
        <v>65</v>
      </c>
      <c r="P1118" t="s">
        <v>111</v>
      </c>
    </row>
    <row r="1119" spans="1:16" x14ac:dyDescent="0.3">
      <c r="A1119" t="s">
        <v>1466</v>
      </c>
      <c r="B1119" s="1">
        <v>46098</v>
      </c>
      <c r="C1119" t="s">
        <v>245</v>
      </c>
      <c r="D1119" t="s">
        <v>53</v>
      </c>
      <c r="E1119" t="s">
        <v>54</v>
      </c>
      <c r="F1119" t="s">
        <v>55</v>
      </c>
      <c r="G1119" t="s">
        <v>32</v>
      </c>
      <c r="H1119" t="s">
        <v>75</v>
      </c>
      <c r="I1119">
        <v>5</v>
      </c>
      <c r="J1119">
        <v>203.19</v>
      </c>
      <c r="K1119">
        <v>0.08</v>
      </c>
      <c r="L1119">
        <v>934.67</v>
      </c>
      <c r="M1119" t="s">
        <v>23</v>
      </c>
      <c r="N1119" t="s">
        <v>71</v>
      </c>
      <c r="O1119" t="s">
        <v>25</v>
      </c>
      <c r="P1119" t="s">
        <v>42</v>
      </c>
    </row>
    <row r="1120" spans="1:16" x14ac:dyDescent="0.3">
      <c r="A1120" t="s">
        <v>1467</v>
      </c>
      <c r="B1120" s="1">
        <v>45590</v>
      </c>
      <c r="C1120" t="s">
        <v>325</v>
      </c>
      <c r="D1120" t="s">
        <v>176</v>
      </c>
      <c r="E1120" t="s">
        <v>177</v>
      </c>
      <c r="F1120" t="s">
        <v>31</v>
      </c>
      <c r="G1120" t="s">
        <v>56</v>
      </c>
      <c r="H1120" t="s">
        <v>101</v>
      </c>
      <c r="I1120">
        <v>5</v>
      </c>
      <c r="J1120">
        <v>2326.73</v>
      </c>
      <c r="K1120">
        <v>0.1</v>
      </c>
      <c r="L1120">
        <v>10470.280000000001</v>
      </c>
      <c r="M1120" t="s">
        <v>48</v>
      </c>
      <c r="N1120" t="s">
        <v>58</v>
      </c>
      <c r="O1120" t="s">
        <v>65</v>
      </c>
      <c r="P1120" t="s">
        <v>102</v>
      </c>
    </row>
    <row r="1121" spans="1:16" x14ac:dyDescent="0.3">
      <c r="A1121" t="s">
        <v>1468</v>
      </c>
      <c r="B1121" s="1">
        <v>45510</v>
      </c>
      <c r="D1121" t="s">
        <v>38</v>
      </c>
      <c r="E1121" t="s">
        <v>39</v>
      </c>
      <c r="F1121" t="s">
        <v>40</v>
      </c>
      <c r="G1121" t="s">
        <v>21</v>
      </c>
      <c r="H1121" t="s">
        <v>126</v>
      </c>
      <c r="I1121">
        <v>2</v>
      </c>
      <c r="J1121">
        <v>1572.46</v>
      </c>
      <c r="K1121">
        <v>0.15</v>
      </c>
      <c r="L1121">
        <v>2673.18</v>
      </c>
      <c r="M1121" t="s">
        <v>76</v>
      </c>
      <c r="N1121" t="s">
        <v>49</v>
      </c>
      <c r="O1121" t="s">
        <v>65</v>
      </c>
      <c r="P1121" t="s">
        <v>26</v>
      </c>
    </row>
    <row r="1122" spans="1:16" x14ac:dyDescent="0.3">
      <c r="A1122" t="s">
        <v>1469</v>
      </c>
      <c r="B1122" s="1">
        <v>45437</v>
      </c>
      <c r="C1122" t="s">
        <v>935</v>
      </c>
      <c r="D1122" t="s">
        <v>29</v>
      </c>
      <c r="E1122" t="s">
        <v>30</v>
      </c>
      <c r="F1122" t="s">
        <v>31</v>
      </c>
      <c r="G1122" t="s">
        <v>81</v>
      </c>
      <c r="H1122" t="s">
        <v>98</v>
      </c>
      <c r="I1122">
        <v>1</v>
      </c>
      <c r="J1122">
        <v>3011.96</v>
      </c>
      <c r="K1122">
        <v>0.15</v>
      </c>
      <c r="L1122">
        <v>2560.17</v>
      </c>
      <c r="M1122" t="s">
        <v>48</v>
      </c>
      <c r="N1122" t="s">
        <v>71</v>
      </c>
      <c r="O1122" t="s">
        <v>25</v>
      </c>
      <c r="P1122" t="s">
        <v>42</v>
      </c>
    </row>
    <row r="1123" spans="1:16" x14ac:dyDescent="0.3">
      <c r="A1123" t="s">
        <v>1470</v>
      </c>
      <c r="B1123" s="1">
        <v>46019</v>
      </c>
      <c r="C1123" t="s">
        <v>470</v>
      </c>
      <c r="D1123" t="s">
        <v>89</v>
      </c>
      <c r="E1123" t="s">
        <v>90</v>
      </c>
      <c r="F1123" t="s">
        <v>20</v>
      </c>
      <c r="G1123" t="s">
        <v>81</v>
      </c>
      <c r="H1123" t="s">
        <v>87</v>
      </c>
      <c r="I1123">
        <v>2</v>
      </c>
      <c r="J1123">
        <v>664.97</v>
      </c>
      <c r="K1123">
        <v>0.1</v>
      </c>
      <c r="L1123">
        <v>1196.95</v>
      </c>
      <c r="M1123" t="s">
        <v>23</v>
      </c>
      <c r="N1123" t="s">
        <v>58</v>
      </c>
      <c r="O1123" t="s">
        <v>65</v>
      </c>
      <c r="P1123" t="s">
        <v>111</v>
      </c>
    </row>
    <row r="1124" spans="1:16" x14ac:dyDescent="0.3">
      <c r="A1124" t="s">
        <v>1471</v>
      </c>
      <c r="B1124" s="1">
        <v>46018</v>
      </c>
      <c r="C1124" t="s">
        <v>266</v>
      </c>
      <c r="D1124" t="s">
        <v>45</v>
      </c>
      <c r="E1124" t="s">
        <v>46</v>
      </c>
      <c r="F1124" t="s">
        <v>31</v>
      </c>
      <c r="G1124" t="s">
        <v>21</v>
      </c>
      <c r="H1124" t="s">
        <v>22</v>
      </c>
      <c r="I1124">
        <v>4</v>
      </c>
      <c r="J1124">
        <v>1853.87</v>
      </c>
      <c r="K1124">
        <v>0.1</v>
      </c>
      <c r="L1124">
        <v>6673.93</v>
      </c>
      <c r="M1124" t="s">
        <v>23</v>
      </c>
      <c r="N1124" t="s">
        <v>49</v>
      </c>
      <c r="O1124" t="s">
        <v>25</v>
      </c>
      <c r="P1124" t="s">
        <v>59</v>
      </c>
    </row>
    <row r="1125" spans="1:16" x14ac:dyDescent="0.3">
      <c r="A1125" t="s">
        <v>1472</v>
      </c>
      <c r="B1125" s="1">
        <v>45878</v>
      </c>
      <c r="C1125" t="s">
        <v>599</v>
      </c>
      <c r="D1125" t="s">
        <v>79</v>
      </c>
      <c r="E1125" t="s">
        <v>80</v>
      </c>
      <c r="F1125" t="s">
        <v>31</v>
      </c>
      <c r="G1125" t="s">
        <v>56</v>
      </c>
      <c r="H1125" t="s">
        <v>123</v>
      </c>
      <c r="I1125">
        <v>4</v>
      </c>
      <c r="J1125">
        <v>13258.09</v>
      </c>
      <c r="K1125">
        <v>0.1</v>
      </c>
      <c r="L1125">
        <v>47729.120000000003</v>
      </c>
      <c r="M1125" t="s">
        <v>76</v>
      </c>
      <c r="N1125" t="s">
        <v>24</v>
      </c>
      <c r="O1125" t="s">
        <v>35</v>
      </c>
      <c r="P1125" t="s">
        <v>59</v>
      </c>
    </row>
    <row r="1126" spans="1:16" x14ac:dyDescent="0.3">
      <c r="A1126" t="s">
        <v>1473</v>
      </c>
      <c r="B1126" s="1">
        <v>45319</v>
      </c>
      <c r="C1126" t="s">
        <v>587</v>
      </c>
      <c r="D1126" t="s">
        <v>96</v>
      </c>
      <c r="E1126" t="s">
        <v>97</v>
      </c>
      <c r="F1126" t="s">
        <v>31</v>
      </c>
      <c r="G1126" t="s">
        <v>32</v>
      </c>
      <c r="H1126" t="s">
        <v>68</v>
      </c>
      <c r="I1126">
        <v>4</v>
      </c>
      <c r="J1126">
        <v>1179.76</v>
      </c>
      <c r="K1126">
        <v>0.15</v>
      </c>
      <c r="L1126">
        <v>4011.18</v>
      </c>
      <c r="M1126" t="s">
        <v>76</v>
      </c>
      <c r="N1126" t="s">
        <v>24</v>
      </c>
      <c r="O1126" t="s">
        <v>65</v>
      </c>
      <c r="P1126" t="s">
        <v>72</v>
      </c>
    </row>
    <row r="1127" spans="1:16" x14ac:dyDescent="0.3">
      <c r="A1127" t="s">
        <v>1474</v>
      </c>
      <c r="B1127" s="1">
        <v>45659</v>
      </c>
      <c r="C1127" t="s">
        <v>67</v>
      </c>
      <c r="D1127" t="s">
        <v>29</v>
      </c>
      <c r="E1127" t="s">
        <v>30</v>
      </c>
      <c r="F1127" t="s">
        <v>31</v>
      </c>
      <c r="G1127" t="s">
        <v>21</v>
      </c>
      <c r="H1127" t="s">
        <v>41</v>
      </c>
      <c r="I1127">
        <v>2</v>
      </c>
      <c r="J1127">
        <v>3032.33</v>
      </c>
      <c r="K1127">
        <v>0.05</v>
      </c>
      <c r="L1127">
        <v>5761.43</v>
      </c>
      <c r="M1127" t="s">
        <v>23</v>
      </c>
      <c r="N1127" t="s">
        <v>34</v>
      </c>
      <c r="O1127" t="s">
        <v>65</v>
      </c>
      <c r="P1127" t="s">
        <v>59</v>
      </c>
    </row>
    <row r="1128" spans="1:16" x14ac:dyDescent="0.3">
      <c r="A1128" t="s">
        <v>1475</v>
      </c>
      <c r="B1128" s="1">
        <v>45900</v>
      </c>
      <c r="C1128" t="s">
        <v>460</v>
      </c>
      <c r="D1128" t="s">
        <v>131</v>
      </c>
      <c r="E1128" t="s">
        <v>132</v>
      </c>
      <c r="F1128" t="s">
        <v>40</v>
      </c>
      <c r="G1128" t="s">
        <v>81</v>
      </c>
      <c r="H1128" t="s">
        <v>135</v>
      </c>
      <c r="I1128">
        <v>1</v>
      </c>
      <c r="J1128">
        <v>9337.18</v>
      </c>
      <c r="K1128">
        <v>0.15</v>
      </c>
      <c r="L1128">
        <v>7936.6</v>
      </c>
      <c r="M1128" t="s">
        <v>48</v>
      </c>
      <c r="N1128" t="s">
        <v>34</v>
      </c>
      <c r="O1128" t="s">
        <v>35</v>
      </c>
      <c r="P1128" t="s">
        <v>116</v>
      </c>
    </row>
    <row r="1129" spans="1:16" x14ac:dyDescent="0.3">
      <c r="A1129" t="s">
        <v>1476</v>
      </c>
      <c r="B1129" s="1">
        <v>45610</v>
      </c>
      <c r="C1129" t="s">
        <v>391</v>
      </c>
      <c r="D1129" t="s">
        <v>45</v>
      </c>
      <c r="E1129" t="s">
        <v>46</v>
      </c>
      <c r="F1129" t="s">
        <v>31</v>
      </c>
      <c r="G1129" t="s">
        <v>32</v>
      </c>
      <c r="H1129" t="s">
        <v>33</v>
      </c>
      <c r="I1129">
        <v>2</v>
      </c>
      <c r="J1129">
        <v>1735.72</v>
      </c>
      <c r="K1129">
        <v>0.08</v>
      </c>
      <c r="L1129">
        <v>3193.72</v>
      </c>
      <c r="M1129" t="s">
        <v>76</v>
      </c>
      <c r="N1129" t="s">
        <v>58</v>
      </c>
      <c r="O1129" t="s">
        <v>65</v>
      </c>
      <c r="P1129" t="s">
        <v>102</v>
      </c>
    </row>
    <row r="1130" spans="1:16" x14ac:dyDescent="0.3">
      <c r="A1130" t="s">
        <v>1477</v>
      </c>
      <c r="B1130" s="1">
        <v>45686</v>
      </c>
      <c r="C1130" t="s">
        <v>389</v>
      </c>
      <c r="D1130" t="s">
        <v>105</v>
      </c>
      <c r="E1130" t="s">
        <v>106</v>
      </c>
      <c r="F1130" t="s">
        <v>40</v>
      </c>
      <c r="G1130" t="s">
        <v>56</v>
      </c>
      <c r="H1130" t="s">
        <v>64</v>
      </c>
      <c r="I1130">
        <v>4</v>
      </c>
      <c r="J1130">
        <v>7662.79</v>
      </c>
      <c r="K1130">
        <v>0.08</v>
      </c>
      <c r="L1130">
        <v>28199.07</v>
      </c>
      <c r="M1130" t="s">
        <v>76</v>
      </c>
      <c r="N1130" t="s">
        <v>34</v>
      </c>
      <c r="O1130" t="s">
        <v>65</v>
      </c>
      <c r="P1130" t="s">
        <v>72</v>
      </c>
    </row>
    <row r="1131" spans="1:16" x14ac:dyDescent="0.3">
      <c r="A1131" t="s">
        <v>1478</v>
      </c>
      <c r="B1131" s="1">
        <v>45412</v>
      </c>
      <c r="D1131" t="s">
        <v>29</v>
      </c>
      <c r="E1131" t="s">
        <v>30</v>
      </c>
      <c r="F1131" t="s">
        <v>31</v>
      </c>
      <c r="G1131" t="s">
        <v>32</v>
      </c>
      <c r="H1131" t="s">
        <v>47</v>
      </c>
      <c r="I1131">
        <v>1</v>
      </c>
      <c r="J1131">
        <v>3089.95</v>
      </c>
      <c r="K1131">
        <v>0.08</v>
      </c>
      <c r="L1131">
        <v>2842.75</v>
      </c>
      <c r="M1131" t="s">
        <v>23</v>
      </c>
      <c r="N1131" t="s">
        <v>71</v>
      </c>
      <c r="O1131" t="s">
        <v>65</v>
      </c>
      <c r="P1131" t="s">
        <v>42</v>
      </c>
    </row>
    <row r="1132" spans="1:16" x14ac:dyDescent="0.3">
      <c r="A1132" t="s">
        <v>1479</v>
      </c>
      <c r="B1132" s="1">
        <v>45955</v>
      </c>
      <c r="C1132" t="s">
        <v>1480</v>
      </c>
      <c r="D1132" t="s">
        <v>85</v>
      </c>
      <c r="E1132" t="s">
        <v>86</v>
      </c>
      <c r="F1132" t="s">
        <v>20</v>
      </c>
      <c r="G1132" t="s">
        <v>81</v>
      </c>
      <c r="H1132" t="s">
        <v>87</v>
      </c>
      <c r="I1132">
        <v>2</v>
      </c>
      <c r="J1132">
        <v>1732.12</v>
      </c>
      <c r="K1132">
        <v>0.15</v>
      </c>
      <c r="L1132">
        <v>2944.6</v>
      </c>
      <c r="M1132" t="s">
        <v>23</v>
      </c>
      <c r="N1132" t="s">
        <v>71</v>
      </c>
      <c r="O1132" t="s">
        <v>65</v>
      </c>
      <c r="P1132" t="s">
        <v>116</v>
      </c>
    </row>
    <row r="1133" spans="1:16" x14ac:dyDescent="0.3">
      <c r="A1133" t="s">
        <v>1481</v>
      </c>
      <c r="B1133" s="1">
        <v>45435</v>
      </c>
      <c r="C1133" t="s">
        <v>490</v>
      </c>
      <c r="D1133" t="s">
        <v>85</v>
      </c>
      <c r="E1133" t="s">
        <v>86</v>
      </c>
      <c r="F1133" t="s">
        <v>20</v>
      </c>
      <c r="G1133" t="s">
        <v>32</v>
      </c>
      <c r="H1133" t="s">
        <v>33</v>
      </c>
      <c r="I1133">
        <v>4</v>
      </c>
      <c r="J1133">
        <v>1796.82</v>
      </c>
      <c r="K1133">
        <v>0.1</v>
      </c>
      <c r="L1133">
        <v>6468.55</v>
      </c>
      <c r="M1133" t="s">
        <v>48</v>
      </c>
      <c r="N1133" t="s">
        <v>49</v>
      </c>
      <c r="O1133" t="s">
        <v>65</v>
      </c>
      <c r="P1133" t="s">
        <v>50</v>
      </c>
    </row>
    <row r="1134" spans="1:16" x14ac:dyDescent="0.3">
      <c r="A1134" t="s">
        <v>1482</v>
      </c>
      <c r="B1134" s="1">
        <v>45307</v>
      </c>
      <c r="C1134" t="s">
        <v>262</v>
      </c>
      <c r="D1134" t="s">
        <v>131</v>
      </c>
      <c r="E1134" t="s">
        <v>132</v>
      </c>
      <c r="F1134" t="s">
        <v>40</v>
      </c>
      <c r="G1134" t="s">
        <v>56</v>
      </c>
      <c r="H1134" t="s">
        <v>101</v>
      </c>
      <c r="I1134">
        <v>4</v>
      </c>
      <c r="J1134">
        <v>9910.5400000000009</v>
      </c>
      <c r="K1134">
        <v>0.1</v>
      </c>
      <c r="L1134">
        <v>35677.94</v>
      </c>
      <c r="M1134" t="s">
        <v>48</v>
      </c>
      <c r="N1134" t="s">
        <v>58</v>
      </c>
      <c r="O1134" t="s">
        <v>35</v>
      </c>
      <c r="P1134" t="s">
        <v>59</v>
      </c>
    </row>
    <row r="1135" spans="1:16" x14ac:dyDescent="0.3">
      <c r="A1135" t="s">
        <v>1483</v>
      </c>
      <c r="B1135" s="1">
        <v>45459</v>
      </c>
      <c r="C1135" t="s">
        <v>836</v>
      </c>
      <c r="D1135" t="s">
        <v>45</v>
      </c>
      <c r="E1135" t="s">
        <v>46</v>
      </c>
      <c r="F1135" t="s">
        <v>31</v>
      </c>
      <c r="G1135" t="s">
        <v>81</v>
      </c>
      <c r="H1135" t="s">
        <v>135</v>
      </c>
      <c r="I1135">
        <v>5</v>
      </c>
      <c r="J1135">
        <v>1881.66</v>
      </c>
      <c r="K1135">
        <v>0.03</v>
      </c>
      <c r="L1135">
        <v>9126.0499999999993</v>
      </c>
      <c r="M1135" t="s">
        <v>48</v>
      </c>
      <c r="N1135" t="s">
        <v>34</v>
      </c>
      <c r="O1135" t="s">
        <v>65</v>
      </c>
      <c r="P1135" t="s">
        <v>42</v>
      </c>
    </row>
    <row r="1136" spans="1:16" x14ac:dyDescent="0.3">
      <c r="A1136" t="s">
        <v>1484</v>
      </c>
      <c r="B1136" s="1">
        <v>45331</v>
      </c>
      <c r="C1136" t="s">
        <v>685</v>
      </c>
      <c r="D1136" t="s">
        <v>38</v>
      </c>
      <c r="E1136" t="s">
        <v>39</v>
      </c>
      <c r="F1136" t="s">
        <v>40</v>
      </c>
      <c r="G1136" t="s">
        <v>32</v>
      </c>
      <c r="H1136" t="s">
        <v>75</v>
      </c>
      <c r="I1136">
        <v>3</v>
      </c>
      <c r="J1136">
        <v>1612.38</v>
      </c>
      <c r="K1136">
        <v>0</v>
      </c>
      <c r="L1136">
        <v>4837.1400000000003</v>
      </c>
      <c r="M1136" t="s">
        <v>23</v>
      </c>
      <c r="N1136" t="s">
        <v>71</v>
      </c>
      <c r="O1136" t="s">
        <v>65</v>
      </c>
      <c r="P1136" t="s">
        <v>102</v>
      </c>
    </row>
    <row r="1137" spans="1:16" x14ac:dyDescent="0.3">
      <c r="A1137" t="s">
        <v>1485</v>
      </c>
      <c r="B1137" s="1">
        <v>46164</v>
      </c>
      <c r="C1137" t="s">
        <v>542</v>
      </c>
      <c r="D1137" t="s">
        <v>121</v>
      </c>
      <c r="E1137" t="s">
        <v>122</v>
      </c>
      <c r="F1137" t="s">
        <v>55</v>
      </c>
      <c r="G1137" t="s">
        <v>56</v>
      </c>
      <c r="H1137" t="s">
        <v>123</v>
      </c>
      <c r="I1137">
        <v>3</v>
      </c>
      <c r="J1137">
        <v>439.65</v>
      </c>
      <c r="K1137">
        <v>0.05</v>
      </c>
      <c r="L1137">
        <v>1253</v>
      </c>
      <c r="M1137" t="s">
        <v>76</v>
      </c>
      <c r="N1137" t="s">
        <v>34</v>
      </c>
      <c r="O1137" t="s">
        <v>65</v>
      </c>
      <c r="P1137" t="s">
        <v>72</v>
      </c>
    </row>
    <row r="1138" spans="1:16" x14ac:dyDescent="0.3">
      <c r="A1138" t="s">
        <v>1486</v>
      </c>
      <c r="B1138" s="1">
        <v>45772</v>
      </c>
      <c r="C1138" t="s">
        <v>110</v>
      </c>
      <c r="D1138" t="s">
        <v>96</v>
      </c>
      <c r="E1138" t="s">
        <v>97</v>
      </c>
      <c r="F1138" t="s">
        <v>31</v>
      </c>
      <c r="G1138" t="s">
        <v>81</v>
      </c>
      <c r="H1138" t="s">
        <v>87</v>
      </c>
      <c r="I1138">
        <v>4</v>
      </c>
      <c r="J1138">
        <v>1128.68</v>
      </c>
      <c r="K1138">
        <v>0.05</v>
      </c>
      <c r="L1138">
        <v>4288.9799999999996</v>
      </c>
      <c r="M1138" t="s">
        <v>23</v>
      </c>
      <c r="N1138" t="s">
        <v>24</v>
      </c>
      <c r="O1138" t="s">
        <v>65</v>
      </c>
      <c r="P1138" t="s">
        <v>102</v>
      </c>
    </row>
    <row r="1139" spans="1:16" x14ac:dyDescent="0.3">
      <c r="A1139" t="s">
        <v>1487</v>
      </c>
      <c r="B1139" s="1">
        <v>45529</v>
      </c>
      <c r="C1139" t="s">
        <v>657</v>
      </c>
      <c r="D1139" t="s">
        <v>79</v>
      </c>
      <c r="E1139" t="s">
        <v>80</v>
      </c>
      <c r="F1139" t="s">
        <v>31</v>
      </c>
      <c r="G1139" t="s">
        <v>81</v>
      </c>
      <c r="H1139" t="s">
        <v>135</v>
      </c>
      <c r="I1139">
        <v>1</v>
      </c>
      <c r="J1139">
        <v>12976.64</v>
      </c>
      <c r="K1139">
        <v>0.03</v>
      </c>
      <c r="L1139">
        <v>12587.34</v>
      </c>
      <c r="M1139" t="s">
        <v>48</v>
      </c>
      <c r="N1139" t="s">
        <v>34</v>
      </c>
      <c r="O1139" t="s">
        <v>65</v>
      </c>
      <c r="P1139" t="s">
        <v>59</v>
      </c>
    </row>
    <row r="1140" spans="1:16" x14ac:dyDescent="0.3">
      <c r="A1140" t="s">
        <v>1488</v>
      </c>
      <c r="B1140" s="1">
        <v>45884</v>
      </c>
      <c r="C1140" t="s">
        <v>141</v>
      </c>
      <c r="D1140" t="s">
        <v>131</v>
      </c>
      <c r="E1140" t="s">
        <v>132</v>
      </c>
      <c r="F1140" t="s">
        <v>40</v>
      </c>
      <c r="G1140" t="s">
        <v>21</v>
      </c>
      <c r="H1140" t="s">
        <v>93</v>
      </c>
      <c r="I1140">
        <v>5</v>
      </c>
      <c r="J1140">
        <v>9556.7800000000007</v>
      </c>
      <c r="K1140">
        <v>0.03</v>
      </c>
      <c r="L1140">
        <v>46350.38</v>
      </c>
      <c r="M1140" t="s">
        <v>23</v>
      </c>
      <c r="N1140" t="s">
        <v>71</v>
      </c>
      <c r="O1140" t="s">
        <v>65</v>
      </c>
      <c r="P1140" t="s">
        <v>26</v>
      </c>
    </row>
    <row r="1141" spans="1:16" x14ac:dyDescent="0.3">
      <c r="A1141" t="s">
        <v>1489</v>
      </c>
      <c r="B1141" s="1">
        <v>45762</v>
      </c>
      <c r="C1141" t="s">
        <v>153</v>
      </c>
      <c r="D1141" t="s">
        <v>79</v>
      </c>
      <c r="E1141" t="s">
        <v>80</v>
      </c>
      <c r="F1141" t="s">
        <v>31</v>
      </c>
      <c r="G1141" t="s">
        <v>21</v>
      </c>
      <c r="H1141" t="s">
        <v>126</v>
      </c>
      <c r="I1141">
        <v>5</v>
      </c>
      <c r="J1141">
        <v>13418.8</v>
      </c>
      <c r="K1141">
        <v>0</v>
      </c>
      <c r="L1141">
        <v>67094</v>
      </c>
      <c r="M1141" t="s">
        <v>48</v>
      </c>
      <c r="N1141" t="s">
        <v>24</v>
      </c>
      <c r="O1141" t="s">
        <v>65</v>
      </c>
      <c r="P1141" t="s">
        <v>50</v>
      </c>
    </row>
    <row r="1142" spans="1:16" x14ac:dyDescent="0.3">
      <c r="A1142" t="s">
        <v>1490</v>
      </c>
      <c r="B1142" s="1">
        <v>46031</v>
      </c>
      <c r="C1142" t="s">
        <v>550</v>
      </c>
      <c r="D1142" t="s">
        <v>18</v>
      </c>
      <c r="E1142" t="s">
        <v>19</v>
      </c>
      <c r="F1142" t="s">
        <v>20</v>
      </c>
      <c r="G1142" t="s">
        <v>56</v>
      </c>
      <c r="H1142" t="s">
        <v>101</v>
      </c>
      <c r="I1142">
        <v>4</v>
      </c>
      <c r="J1142">
        <v>862.92</v>
      </c>
      <c r="K1142">
        <v>0.15</v>
      </c>
      <c r="L1142">
        <v>2933.93</v>
      </c>
      <c r="M1142" t="s">
        <v>76</v>
      </c>
      <c r="N1142" t="s">
        <v>58</v>
      </c>
      <c r="O1142" t="s">
        <v>25</v>
      </c>
      <c r="P1142" t="s">
        <v>59</v>
      </c>
    </row>
    <row r="1143" spans="1:16" x14ac:dyDescent="0.3">
      <c r="A1143" t="s">
        <v>1491</v>
      </c>
      <c r="B1143" s="1">
        <v>45479</v>
      </c>
      <c r="C1143" t="s">
        <v>238</v>
      </c>
      <c r="D1143" t="s">
        <v>96</v>
      </c>
      <c r="E1143" t="s">
        <v>97</v>
      </c>
      <c r="F1143" t="s">
        <v>31</v>
      </c>
      <c r="G1143" t="s">
        <v>32</v>
      </c>
      <c r="H1143" t="s">
        <v>68</v>
      </c>
      <c r="I1143">
        <v>4</v>
      </c>
      <c r="J1143">
        <v>1122.53</v>
      </c>
      <c r="K1143">
        <v>0.08</v>
      </c>
      <c r="L1143">
        <v>4130.91</v>
      </c>
      <c r="M1143" t="s">
        <v>76</v>
      </c>
      <c r="N1143" t="s">
        <v>71</v>
      </c>
      <c r="O1143" t="s">
        <v>65</v>
      </c>
      <c r="P1143" t="s">
        <v>42</v>
      </c>
    </row>
    <row r="1144" spans="1:16" x14ac:dyDescent="0.3">
      <c r="A1144" t="s">
        <v>1492</v>
      </c>
      <c r="B1144" s="1">
        <v>45929</v>
      </c>
      <c r="C1144" t="s">
        <v>470</v>
      </c>
      <c r="D1144" t="s">
        <v>53</v>
      </c>
      <c r="E1144" t="s">
        <v>54</v>
      </c>
      <c r="F1144" t="s">
        <v>55</v>
      </c>
      <c r="G1144" t="s">
        <v>81</v>
      </c>
      <c r="H1144" t="s">
        <v>82</v>
      </c>
      <c r="I1144">
        <v>4</v>
      </c>
      <c r="J1144">
        <v>237.34</v>
      </c>
      <c r="L1144">
        <v>873.41</v>
      </c>
      <c r="M1144" t="s">
        <v>23</v>
      </c>
      <c r="N1144" t="s">
        <v>58</v>
      </c>
      <c r="O1144" t="s">
        <v>65</v>
      </c>
      <c r="P1144" t="s">
        <v>102</v>
      </c>
    </row>
    <row r="1145" spans="1:16" x14ac:dyDescent="0.3">
      <c r="A1145" t="s">
        <v>1493</v>
      </c>
      <c r="B1145" s="1">
        <v>46139</v>
      </c>
      <c r="C1145" t="s">
        <v>946</v>
      </c>
      <c r="D1145" t="s">
        <v>62</v>
      </c>
      <c r="E1145" t="s">
        <v>63</v>
      </c>
      <c r="F1145" t="s">
        <v>31</v>
      </c>
      <c r="G1145" t="s">
        <v>32</v>
      </c>
      <c r="H1145" t="s">
        <v>68</v>
      </c>
      <c r="I1145">
        <v>3</v>
      </c>
      <c r="J1145">
        <v>2896.54</v>
      </c>
      <c r="K1145">
        <v>0.1</v>
      </c>
      <c r="L1145">
        <v>7820.66</v>
      </c>
      <c r="M1145" t="s">
        <v>48</v>
      </c>
      <c r="N1145" t="s">
        <v>71</v>
      </c>
      <c r="O1145" t="s">
        <v>65</v>
      </c>
      <c r="P1145" t="s">
        <v>59</v>
      </c>
    </row>
    <row r="1146" spans="1:16" x14ac:dyDescent="0.3">
      <c r="A1146" t="s">
        <v>1494</v>
      </c>
      <c r="B1146" s="1">
        <v>46200</v>
      </c>
      <c r="C1146" t="s">
        <v>493</v>
      </c>
      <c r="D1146" t="s">
        <v>96</v>
      </c>
      <c r="E1146" t="s">
        <v>97</v>
      </c>
      <c r="F1146" t="s">
        <v>31</v>
      </c>
      <c r="G1146" t="s">
        <v>56</v>
      </c>
      <c r="H1146" t="s">
        <v>123</v>
      </c>
      <c r="I1146">
        <v>2</v>
      </c>
      <c r="J1146">
        <v>1279.94</v>
      </c>
      <c r="K1146">
        <v>0</v>
      </c>
      <c r="L1146">
        <v>2559.88</v>
      </c>
      <c r="M1146" t="s">
        <v>48</v>
      </c>
      <c r="N1146" t="s">
        <v>49</v>
      </c>
      <c r="O1146" t="s">
        <v>35</v>
      </c>
      <c r="P1146" t="s">
        <v>111</v>
      </c>
    </row>
    <row r="1147" spans="1:16" x14ac:dyDescent="0.3">
      <c r="A1147" t="s">
        <v>1495</v>
      </c>
      <c r="B1147" s="1">
        <v>45943</v>
      </c>
      <c r="C1147" t="s">
        <v>245</v>
      </c>
      <c r="D1147" t="s">
        <v>18</v>
      </c>
      <c r="E1147" t="s">
        <v>19</v>
      </c>
      <c r="F1147" t="s">
        <v>20</v>
      </c>
      <c r="G1147" t="s">
        <v>81</v>
      </c>
      <c r="H1147" t="s">
        <v>82</v>
      </c>
      <c r="I1147">
        <v>4</v>
      </c>
      <c r="J1147">
        <v>870.93</v>
      </c>
      <c r="K1147">
        <v>0</v>
      </c>
      <c r="L1147">
        <v>3483.72</v>
      </c>
      <c r="M1147" t="s">
        <v>76</v>
      </c>
      <c r="N1147" t="s">
        <v>58</v>
      </c>
      <c r="O1147" t="s">
        <v>65</v>
      </c>
      <c r="P1147" t="s">
        <v>59</v>
      </c>
    </row>
    <row r="1148" spans="1:16" x14ac:dyDescent="0.3">
      <c r="A1148" t="s">
        <v>1496</v>
      </c>
      <c r="B1148" s="1">
        <v>45602</v>
      </c>
      <c r="C1148" t="s">
        <v>295</v>
      </c>
      <c r="D1148" t="s">
        <v>53</v>
      </c>
      <c r="E1148" t="s">
        <v>54</v>
      </c>
      <c r="F1148" t="s">
        <v>55</v>
      </c>
      <c r="G1148" t="s">
        <v>21</v>
      </c>
      <c r="H1148" t="s">
        <v>22</v>
      </c>
      <c r="I1148">
        <v>2</v>
      </c>
      <c r="J1148">
        <v>217.13</v>
      </c>
      <c r="K1148">
        <v>0.1</v>
      </c>
      <c r="L1148">
        <v>390.83</v>
      </c>
      <c r="M1148" t="s">
        <v>76</v>
      </c>
      <c r="N1148" t="s">
        <v>49</v>
      </c>
      <c r="O1148" t="s">
        <v>25</v>
      </c>
      <c r="P1148" t="s">
        <v>42</v>
      </c>
    </row>
    <row r="1149" spans="1:16" x14ac:dyDescent="0.3">
      <c r="A1149" t="s">
        <v>1497</v>
      </c>
      <c r="B1149" s="1">
        <v>45783</v>
      </c>
      <c r="C1149" t="s">
        <v>1498</v>
      </c>
      <c r="D1149" t="s">
        <v>53</v>
      </c>
      <c r="E1149" t="s">
        <v>54</v>
      </c>
      <c r="F1149" t="s">
        <v>55</v>
      </c>
      <c r="G1149" t="s">
        <v>21</v>
      </c>
      <c r="H1149" t="s">
        <v>126</v>
      </c>
      <c r="I1149">
        <v>4</v>
      </c>
      <c r="J1149">
        <v>206.4</v>
      </c>
      <c r="K1149">
        <v>0.15</v>
      </c>
      <c r="L1149">
        <v>701.76</v>
      </c>
      <c r="M1149" t="s">
        <v>76</v>
      </c>
      <c r="N1149" t="s">
        <v>24</v>
      </c>
      <c r="O1149" t="s">
        <v>65</v>
      </c>
      <c r="P1149" t="s">
        <v>116</v>
      </c>
    </row>
    <row r="1150" spans="1:16" x14ac:dyDescent="0.3">
      <c r="A1150" t="s">
        <v>1499</v>
      </c>
      <c r="B1150" s="1">
        <v>45967</v>
      </c>
      <c r="C1150" t="s">
        <v>186</v>
      </c>
      <c r="D1150" t="s">
        <v>170</v>
      </c>
      <c r="E1150" t="s">
        <v>171</v>
      </c>
      <c r="F1150" t="s">
        <v>31</v>
      </c>
      <c r="G1150" t="s">
        <v>21</v>
      </c>
      <c r="H1150" t="s">
        <v>126</v>
      </c>
      <c r="I1150">
        <v>5</v>
      </c>
      <c r="J1150">
        <v>59836.21</v>
      </c>
      <c r="L1150">
        <v>269262.95</v>
      </c>
      <c r="M1150" t="s">
        <v>23</v>
      </c>
      <c r="N1150" t="s">
        <v>71</v>
      </c>
      <c r="O1150" t="s">
        <v>65</v>
      </c>
      <c r="P1150" t="s">
        <v>102</v>
      </c>
    </row>
    <row r="1151" spans="1:16" x14ac:dyDescent="0.3">
      <c r="A1151" t="s">
        <v>1500</v>
      </c>
      <c r="B1151" s="1">
        <v>46004</v>
      </c>
      <c r="C1151" t="s">
        <v>488</v>
      </c>
      <c r="D1151" t="s">
        <v>131</v>
      </c>
      <c r="E1151" t="s">
        <v>132</v>
      </c>
      <c r="F1151" t="s">
        <v>40</v>
      </c>
      <c r="G1151" t="s">
        <v>21</v>
      </c>
      <c r="H1151" t="s">
        <v>93</v>
      </c>
      <c r="I1151">
        <v>2</v>
      </c>
      <c r="J1151">
        <v>9977.24</v>
      </c>
      <c r="K1151">
        <v>0.03</v>
      </c>
      <c r="L1151">
        <v>19355.849999999999</v>
      </c>
      <c r="M1151" t="s">
        <v>48</v>
      </c>
      <c r="N1151" t="s">
        <v>24</v>
      </c>
      <c r="O1151" t="s">
        <v>65</v>
      </c>
      <c r="P1151" t="s">
        <v>59</v>
      </c>
    </row>
    <row r="1152" spans="1:16" x14ac:dyDescent="0.3">
      <c r="A1152" t="s">
        <v>1501</v>
      </c>
      <c r="B1152" s="1">
        <v>45699</v>
      </c>
      <c r="C1152" t="s">
        <v>120</v>
      </c>
      <c r="D1152" t="s">
        <v>53</v>
      </c>
      <c r="E1152" t="s">
        <v>54</v>
      </c>
      <c r="F1152" t="s">
        <v>55</v>
      </c>
      <c r="G1152" t="s">
        <v>81</v>
      </c>
      <c r="H1152" t="s">
        <v>87</v>
      </c>
      <c r="I1152">
        <v>3</v>
      </c>
      <c r="J1152">
        <v>217.34</v>
      </c>
      <c r="K1152">
        <v>0.08</v>
      </c>
      <c r="L1152">
        <v>599.86</v>
      </c>
      <c r="M1152" t="s">
        <v>48</v>
      </c>
      <c r="N1152" t="s">
        <v>24</v>
      </c>
      <c r="O1152" t="s">
        <v>65</v>
      </c>
      <c r="P1152" t="s">
        <v>42</v>
      </c>
    </row>
    <row r="1153" spans="1:16" x14ac:dyDescent="0.3">
      <c r="A1153" t="s">
        <v>1502</v>
      </c>
      <c r="B1153" s="1">
        <v>46127</v>
      </c>
      <c r="C1153" t="s">
        <v>179</v>
      </c>
      <c r="D1153" t="s">
        <v>170</v>
      </c>
      <c r="E1153" t="s">
        <v>171</v>
      </c>
      <c r="F1153" t="s">
        <v>31</v>
      </c>
      <c r="G1153" t="s">
        <v>21</v>
      </c>
      <c r="H1153" t="s">
        <v>41</v>
      </c>
      <c r="I1153">
        <v>1</v>
      </c>
      <c r="J1153">
        <v>62853.35</v>
      </c>
      <c r="K1153">
        <v>0.15</v>
      </c>
      <c r="L1153">
        <v>53425.35</v>
      </c>
      <c r="M1153" t="s">
        <v>76</v>
      </c>
      <c r="N1153" t="s">
        <v>58</v>
      </c>
      <c r="O1153" t="s">
        <v>25</v>
      </c>
      <c r="P1153" t="s">
        <v>72</v>
      </c>
    </row>
    <row r="1154" spans="1:16" x14ac:dyDescent="0.3">
      <c r="A1154" t="s">
        <v>1503</v>
      </c>
      <c r="B1154" s="1">
        <v>45719</v>
      </c>
      <c r="C1154" t="s">
        <v>426</v>
      </c>
      <c r="D1154" t="s">
        <v>45</v>
      </c>
      <c r="E1154" t="s">
        <v>46</v>
      </c>
      <c r="F1154" t="s">
        <v>31</v>
      </c>
      <c r="G1154" t="s">
        <v>81</v>
      </c>
      <c r="H1154" t="s">
        <v>87</v>
      </c>
      <c r="I1154">
        <v>1</v>
      </c>
      <c r="J1154">
        <v>1943.99</v>
      </c>
      <c r="K1154">
        <v>0.03</v>
      </c>
      <c r="L1154">
        <v>1885.67</v>
      </c>
      <c r="M1154" t="s">
        <v>48</v>
      </c>
      <c r="N1154" t="s">
        <v>71</v>
      </c>
      <c r="O1154" t="s">
        <v>65</v>
      </c>
      <c r="P1154" t="s">
        <v>72</v>
      </c>
    </row>
    <row r="1155" spans="1:16" x14ac:dyDescent="0.3">
      <c r="A1155" t="s">
        <v>1504</v>
      </c>
      <c r="B1155" s="1">
        <v>46111</v>
      </c>
      <c r="C1155" t="s">
        <v>695</v>
      </c>
      <c r="D1155" t="s">
        <v>29</v>
      </c>
      <c r="E1155" t="s">
        <v>30</v>
      </c>
      <c r="F1155" t="s">
        <v>31</v>
      </c>
      <c r="G1155" t="s">
        <v>21</v>
      </c>
      <c r="H1155" t="s">
        <v>126</v>
      </c>
      <c r="I1155">
        <v>5</v>
      </c>
      <c r="J1155">
        <v>3201.17</v>
      </c>
      <c r="K1155">
        <v>0.05</v>
      </c>
      <c r="L1155">
        <v>15205.56</v>
      </c>
      <c r="M1155" t="s">
        <v>76</v>
      </c>
      <c r="N1155" t="s">
        <v>71</v>
      </c>
      <c r="O1155" t="s">
        <v>65</v>
      </c>
      <c r="P1155" t="s">
        <v>116</v>
      </c>
    </row>
    <row r="1156" spans="1:16" x14ac:dyDescent="0.3">
      <c r="A1156" t="s">
        <v>1505</v>
      </c>
      <c r="B1156" s="1">
        <v>45811</v>
      </c>
      <c r="C1156" t="s">
        <v>44</v>
      </c>
      <c r="D1156" t="s">
        <v>29</v>
      </c>
      <c r="E1156" t="s">
        <v>30</v>
      </c>
      <c r="F1156" t="s">
        <v>31</v>
      </c>
      <c r="G1156" t="s">
        <v>21</v>
      </c>
      <c r="H1156" t="s">
        <v>126</v>
      </c>
      <c r="I1156">
        <v>1</v>
      </c>
      <c r="J1156">
        <v>3216.66</v>
      </c>
      <c r="K1156">
        <v>0.05</v>
      </c>
      <c r="L1156">
        <v>3055.83</v>
      </c>
      <c r="M1156" t="s">
        <v>48</v>
      </c>
      <c r="N1156" t="s">
        <v>58</v>
      </c>
      <c r="O1156" t="s">
        <v>25</v>
      </c>
      <c r="P1156" t="s">
        <v>26</v>
      </c>
    </row>
    <row r="1157" spans="1:16" x14ac:dyDescent="0.3">
      <c r="A1157" t="s">
        <v>1506</v>
      </c>
      <c r="B1157" s="1">
        <v>46065</v>
      </c>
      <c r="C1157" t="s">
        <v>988</v>
      </c>
      <c r="D1157" t="s">
        <v>18</v>
      </c>
      <c r="E1157" t="s">
        <v>19</v>
      </c>
      <c r="F1157" t="s">
        <v>20</v>
      </c>
      <c r="G1157" t="s">
        <v>21</v>
      </c>
      <c r="H1157" t="s">
        <v>126</v>
      </c>
      <c r="I1157">
        <v>1</v>
      </c>
      <c r="J1157">
        <v>864.03</v>
      </c>
      <c r="K1157">
        <v>0.1</v>
      </c>
      <c r="L1157">
        <v>777.63</v>
      </c>
      <c r="M1157" t="s">
        <v>23</v>
      </c>
      <c r="N1157" t="s">
        <v>71</v>
      </c>
      <c r="O1157" t="s">
        <v>35</v>
      </c>
      <c r="P1157" t="s">
        <v>26</v>
      </c>
    </row>
    <row r="1158" spans="1:16" x14ac:dyDescent="0.3">
      <c r="A1158" t="s">
        <v>1507</v>
      </c>
      <c r="B1158" s="1">
        <v>45727</v>
      </c>
      <c r="C1158" t="s">
        <v>631</v>
      </c>
      <c r="D1158" t="s">
        <v>29</v>
      </c>
      <c r="E1158" t="s">
        <v>30</v>
      </c>
      <c r="F1158" t="s">
        <v>31</v>
      </c>
      <c r="G1158" t="s">
        <v>32</v>
      </c>
      <c r="H1158" t="s">
        <v>47</v>
      </c>
      <c r="I1158">
        <v>3</v>
      </c>
      <c r="J1158">
        <v>3288.29</v>
      </c>
      <c r="K1158">
        <v>0</v>
      </c>
      <c r="L1158">
        <v>9864.8700000000008</v>
      </c>
      <c r="M1158" t="s">
        <v>76</v>
      </c>
      <c r="N1158" t="s">
        <v>49</v>
      </c>
      <c r="O1158" t="s">
        <v>65</v>
      </c>
      <c r="P1158" t="s">
        <v>102</v>
      </c>
    </row>
    <row r="1159" spans="1:16" x14ac:dyDescent="0.3">
      <c r="A1159" t="s">
        <v>1508</v>
      </c>
      <c r="B1159" s="1">
        <v>45345</v>
      </c>
      <c r="C1159" t="s">
        <v>409</v>
      </c>
      <c r="D1159" t="s">
        <v>85</v>
      </c>
      <c r="E1159" t="s">
        <v>86</v>
      </c>
      <c r="F1159" t="s">
        <v>20</v>
      </c>
      <c r="G1159" t="s">
        <v>56</v>
      </c>
      <c r="H1159" t="s">
        <v>64</v>
      </c>
      <c r="I1159">
        <v>1</v>
      </c>
      <c r="J1159">
        <v>1704.06</v>
      </c>
      <c r="K1159">
        <v>0.08</v>
      </c>
      <c r="L1159">
        <v>1567.74</v>
      </c>
      <c r="M1159" t="s">
        <v>23</v>
      </c>
      <c r="N1159" t="s">
        <v>58</v>
      </c>
      <c r="O1159" t="s">
        <v>65</v>
      </c>
      <c r="P1159" t="s">
        <v>111</v>
      </c>
    </row>
    <row r="1160" spans="1:16" x14ac:dyDescent="0.3">
      <c r="A1160" t="s">
        <v>1509</v>
      </c>
      <c r="B1160" s="1">
        <v>45921</v>
      </c>
      <c r="C1160" t="s">
        <v>416</v>
      </c>
      <c r="D1160" t="s">
        <v>18</v>
      </c>
      <c r="E1160" t="s">
        <v>19</v>
      </c>
      <c r="F1160" t="s">
        <v>20</v>
      </c>
      <c r="G1160" t="s">
        <v>21</v>
      </c>
      <c r="H1160" t="s">
        <v>41</v>
      </c>
      <c r="I1160">
        <v>2</v>
      </c>
      <c r="J1160">
        <v>797.08</v>
      </c>
      <c r="K1160">
        <v>0.2</v>
      </c>
      <c r="L1160">
        <v>1275.33</v>
      </c>
      <c r="M1160" t="s">
        <v>23</v>
      </c>
      <c r="N1160" t="s">
        <v>58</v>
      </c>
      <c r="O1160" t="s">
        <v>65</v>
      </c>
      <c r="P1160" t="s">
        <v>26</v>
      </c>
    </row>
    <row r="1161" spans="1:16" x14ac:dyDescent="0.3">
      <c r="A1161" t="s">
        <v>1510</v>
      </c>
      <c r="B1161" s="1">
        <v>45333</v>
      </c>
      <c r="C1161" t="s">
        <v>627</v>
      </c>
      <c r="D1161" t="s">
        <v>79</v>
      </c>
      <c r="E1161" t="s">
        <v>80</v>
      </c>
      <c r="F1161" t="s">
        <v>31</v>
      </c>
      <c r="G1161" t="s">
        <v>56</v>
      </c>
      <c r="H1161" t="s">
        <v>57</v>
      </c>
      <c r="I1161">
        <v>4</v>
      </c>
      <c r="J1161">
        <v>12515.01</v>
      </c>
      <c r="K1161">
        <v>0.2</v>
      </c>
      <c r="L1161">
        <v>40048.03</v>
      </c>
      <c r="M1161" t="s">
        <v>23</v>
      </c>
      <c r="N1161" t="s">
        <v>71</v>
      </c>
      <c r="O1161" t="s">
        <v>65</v>
      </c>
      <c r="P1161" t="s">
        <v>42</v>
      </c>
    </row>
    <row r="1162" spans="1:16" x14ac:dyDescent="0.3">
      <c r="A1162" t="s">
        <v>1511</v>
      </c>
      <c r="B1162" s="1">
        <v>45712</v>
      </c>
      <c r="C1162" t="s">
        <v>404</v>
      </c>
      <c r="D1162" t="s">
        <v>89</v>
      </c>
      <c r="E1162" t="s">
        <v>90</v>
      </c>
      <c r="F1162" t="s">
        <v>20</v>
      </c>
      <c r="G1162" t="s">
        <v>21</v>
      </c>
      <c r="H1162" t="s">
        <v>93</v>
      </c>
      <c r="I1162">
        <v>2</v>
      </c>
      <c r="J1162">
        <v>753.33</v>
      </c>
      <c r="K1162">
        <v>0.03</v>
      </c>
      <c r="L1162">
        <v>1461.46</v>
      </c>
      <c r="M1162" t="s">
        <v>76</v>
      </c>
      <c r="N1162" t="s">
        <v>34</v>
      </c>
      <c r="O1162" t="s">
        <v>65</v>
      </c>
      <c r="P1162" t="s">
        <v>59</v>
      </c>
    </row>
    <row r="1163" spans="1:16" x14ac:dyDescent="0.3">
      <c r="A1163" t="s">
        <v>1512</v>
      </c>
      <c r="B1163" s="1">
        <v>45777</v>
      </c>
      <c r="C1163" t="s">
        <v>227</v>
      </c>
      <c r="D1163" t="s">
        <v>131</v>
      </c>
      <c r="E1163" t="s">
        <v>132</v>
      </c>
      <c r="F1163" t="s">
        <v>40</v>
      </c>
      <c r="G1163" t="s">
        <v>81</v>
      </c>
      <c r="H1163" t="s">
        <v>135</v>
      </c>
      <c r="I1163">
        <v>2</v>
      </c>
      <c r="J1163">
        <v>8750.9</v>
      </c>
      <c r="K1163">
        <v>0</v>
      </c>
      <c r="L1163">
        <v>17501.8</v>
      </c>
      <c r="M1163" t="s">
        <v>76</v>
      </c>
      <c r="N1163" t="s">
        <v>49</v>
      </c>
      <c r="O1163" t="s">
        <v>35</v>
      </c>
      <c r="P1163" t="s">
        <v>42</v>
      </c>
    </row>
    <row r="1164" spans="1:16" x14ac:dyDescent="0.3">
      <c r="A1164" t="s">
        <v>1513</v>
      </c>
      <c r="B1164" s="1">
        <v>45868</v>
      </c>
      <c r="C1164" t="s">
        <v>839</v>
      </c>
      <c r="D1164" t="s">
        <v>79</v>
      </c>
      <c r="E1164" t="s">
        <v>80</v>
      </c>
      <c r="F1164" t="s">
        <v>31</v>
      </c>
      <c r="G1164" t="s">
        <v>21</v>
      </c>
      <c r="H1164" t="s">
        <v>126</v>
      </c>
      <c r="I1164">
        <v>4</v>
      </c>
      <c r="J1164">
        <v>12098.28</v>
      </c>
      <c r="K1164">
        <v>0.2</v>
      </c>
      <c r="L1164">
        <v>38714.5</v>
      </c>
      <c r="M1164" t="s">
        <v>23</v>
      </c>
      <c r="N1164" t="s">
        <v>49</v>
      </c>
      <c r="O1164" t="s">
        <v>25</v>
      </c>
      <c r="P1164" t="s">
        <v>42</v>
      </c>
    </row>
    <row r="1165" spans="1:16" x14ac:dyDescent="0.3">
      <c r="A1165" t="s">
        <v>1514</v>
      </c>
      <c r="B1165" s="1">
        <v>46106</v>
      </c>
      <c r="C1165" t="s">
        <v>526</v>
      </c>
      <c r="D1165" t="s">
        <v>62</v>
      </c>
      <c r="E1165" t="s">
        <v>63</v>
      </c>
      <c r="F1165" t="s">
        <v>31</v>
      </c>
      <c r="G1165" t="s">
        <v>32</v>
      </c>
      <c r="H1165" t="s">
        <v>33</v>
      </c>
      <c r="I1165">
        <v>1</v>
      </c>
      <c r="J1165">
        <v>2629.9</v>
      </c>
      <c r="K1165">
        <v>0.05</v>
      </c>
      <c r="L1165">
        <v>2498.4</v>
      </c>
      <c r="M1165" t="s">
        <v>23</v>
      </c>
      <c r="N1165" t="s">
        <v>58</v>
      </c>
      <c r="O1165" t="s">
        <v>25</v>
      </c>
      <c r="P1165" t="s">
        <v>102</v>
      </c>
    </row>
    <row r="1166" spans="1:16" x14ac:dyDescent="0.3">
      <c r="A1166" t="s">
        <v>1515</v>
      </c>
      <c r="B1166" s="1">
        <v>46146</v>
      </c>
      <c r="C1166" t="s">
        <v>562</v>
      </c>
      <c r="D1166" t="s">
        <v>170</v>
      </c>
      <c r="E1166" t="s">
        <v>171</v>
      </c>
      <c r="F1166" t="s">
        <v>31</v>
      </c>
      <c r="G1166" t="s">
        <v>21</v>
      </c>
      <c r="H1166" t="s">
        <v>22</v>
      </c>
      <c r="I1166">
        <v>4</v>
      </c>
      <c r="J1166">
        <v>69957.37</v>
      </c>
      <c r="K1166">
        <v>0</v>
      </c>
      <c r="L1166">
        <v>279829.48</v>
      </c>
      <c r="M1166" t="s">
        <v>76</v>
      </c>
      <c r="N1166" t="s">
        <v>71</v>
      </c>
      <c r="O1166" t="s">
        <v>25</v>
      </c>
      <c r="P1166" t="s">
        <v>116</v>
      </c>
    </row>
    <row r="1167" spans="1:16" x14ac:dyDescent="0.3">
      <c r="A1167" t="s">
        <v>1516</v>
      </c>
      <c r="B1167" s="1">
        <v>45361</v>
      </c>
      <c r="C1167" t="s">
        <v>221</v>
      </c>
      <c r="D1167" t="s">
        <v>79</v>
      </c>
      <c r="E1167" t="s">
        <v>80</v>
      </c>
      <c r="F1167" t="s">
        <v>31</v>
      </c>
      <c r="G1167" t="s">
        <v>56</v>
      </c>
      <c r="H1167" t="s">
        <v>57</v>
      </c>
      <c r="I1167">
        <v>1</v>
      </c>
      <c r="J1167">
        <v>13462.37</v>
      </c>
      <c r="K1167">
        <v>0</v>
      </c>
      <c r="L1167">
        <v>13462.37</v>
      </c>
      <c r="M1167" t="s">
        <v>76</v>
      </c>
      <c r="O1167" t="s">
        <v>35</v>
      </c>
      <c r="P1167" t="s">
        <v>72</v>
      </c>
    </row>
    <row r="1168" spans="1:16" x14ac:dyDescent="0.3">
      <c r="A1168" t="s">
        <v>1517</v>
      </c>
      <c r="B1168" s="1">
        <v>46036</v>
      </c>
      <c r="C1168" t="s">
        <v>200</v>
      </c>
      <c r="D1168" t="s">
        <v>105</v>
      </c>
      <c r="E1168" t="s">
        <v>106</v>
      </c>
      <c r="F1168" t="s">
        <v>40</v>
      </c>
      <c r="G1168" t="s">
        <v>81</v>
      </c>
      <c r="H1168" t="s">
        <v>135</v>
      </c>
      <c r="I1168">
        <v>2</v>
      </c>
      <c r="J1168">
        <v>6808.88</v>
      </c>
      <c r="K1168">
        <v>0.1</v>
      </c>
      <c r="L1168">
        <v>12255.98</v>
      </c>
      <c r="M1168" t="s">
        <v>48</v>
      </c>
      <c r="N1168" t="s">
        <v>24</v>
      </c>
      <c r="O1168" t="s">
        <v>65</v>
      </c>
      <c r="P1168" t="s">
        <v>102</v>
      </c>
    </row>
    <row r="1169" spans="1:16" x14ac:dyDescent="0.3">
      <c r="A1169" t="s">
        <v>1518</v>
      </c>
      <c r="B1169" s="1">
        <v>45636</v>
      </c>
      <c r="C1169" t="s">
        <v>672</v>
      </c>
      <c r="D1169" t="s">
        <v>170</v>
      </c>
      <c r="E1169" t="s">
        <v>171</v>
      </c>
      <c r="F1169" t="s">
        <v>31</v>
      </c>
      <c r="G1169" t="s">
        <v>81</v>
      </c>
      <c r="H1169" t="s">
        <v>87</v>
      </c>
      <c r="I1169">
        <v>4</v>
      </c>
      <c r="J1169">
        <v>66227.06</v>
      </c>
      <c r="K1169">
        <v>0.2</v>
      </c>
      <c r="L1169">
        <v>211926.59</v>
      </c>
      <c r="M1169" t="s">
        <v>23</v>
      </c>
      <c r="N1169" t="s">
        <v>58</v>
      </c>
      <c r="O1169" t="s">
        <v>65</v>
      </c>
      <c r="P1169" t="s">
        <v>102</v>
      </c>
    </row>
    <row r="1170" spans="1:16" x14ac:dyDescent="0.3">
      <c r="A1170" t="s">
        <v>1519</v>
      </c>
      <c r="B1170" s="1">
        <v>46133</v>
      </c>
      <c r="C1170" t="s">
        <v>542</v>
      </c>
      <c r="D1170" t="s">
        <v>38</v>
      </c>
      <c r="E1170" t="s">
        <v>39</v>
      </c>
      <c r="F1170" t="s">
        <v>40</v>
      </c>
      <c r="G1170" t="s">
        <v>81</v>
      </c>
      <c r="H1170" t="s">
        <v>82</v>
      </c>
      <c r="I1170">
        <v>5</v>
      </c>
      <c r="J1170">
        <v>1699.32</v>
      </c>
      <c r="K1170">
        <v>0.03</v>
      </c>
      <c r="L1170">
        <v>8241.7000000000007</v>
      </c>
      <c r="M1170" t="s">
        <v>23</v>
      </c>
      <c r="N1170" t="s">
        <v>24</v>
      </c>
      <c r="O1170" t="s">
        <v>35</v>
      </c>
      <c r="P1170" t="s">
        <v>116</v>
      </c>
    </row>
    <row r="1171" spans="1:16" x14ac:dyDescent="0.3">
      <c r="A1171" t="s">
        <v>1520</v>
      </c>
      <c r="B1171" s="1">
        <v>45660</v>
      </c>
      <c r="C1171" t="s">
        <v>460</v>
      </c>
      <c r="D1171" t="s">
        <v>121</v>
      </c>
      <c r="E1171" t="s">
        <v>122</v>
      </c>
      <c r="F1171" t="s">
        <v>55</v>
      </c>
      <c r="G1171" t="s">
        <v>21</v>
      </c>
      <c r="H1171" t="s">
        <v>126</v>
      </c>
      <c r="I1171">
        <v>1</v>
      </c>
      <c r="J1171">
        <v>484.89</v>
      </c>
      <c r="K1171">
        <v>0.2</v>
      </c>
      <c r="L1171">
        <v>387.91</v>
      </c>
      <c r="M1171" t="s">
        <v>76</v>
      </c>
      <c r="N1171" t="s">
        <v>24</v>
      </c>
      <c r="O1171" t="s">
        <v>65</v>
      </c>
      <c r="P1171" t="s">
        <v>102</v>
      </c>
    </row>
    <row r="1172" spans="1:16" x14ac:dyDescent="0.3">
      <c r="A1172" t="s">
        <v>1521</v>
      </c>
      <c r="B1172" s="1">
        <v>45307</v>
      </c>
      <c r="C1172" t="s">
        <v>776</v>
      </c>
      <c r="D1172" t="s">
        <v>89</v>
      </c>
      <c r="E1172" t="s">
        <v>90</v>
      </c>
      <c r="F1172" t="s">
        <v>20</v>
      </c>
      <c r="G1172" t="s">
        <v>21</v>
      </c>
      <c r="H1172" t="s">
        <v>41</v>
      </c>
      <c r="I1172">
        <v>4</v>
      </c>
      <c r="J1172">
        <v>680.14</v>
      </c>
      <c r="K1172">
        <v>0</v>
      </c>
      <c r="L1172">
        <v>2720.56</v>
      </c>
      <c r="M1172" t="s">
        <v>48</v>
      </c>
      <c r="N1172" t="s">
        <v>24</v>
      </c>
      <c r="O1172" t="s">
        <v>35</v>
      </c>
      <c r="P1172" t="s">
        <v>72</v>
      </c>
    </row>
    <row r="1173" spans="1:16" x14ac:dyDescent="0.3">
      <c r="A1173" t="s">
        <v>1522</v>
      </c>
      <c r="B1173" s="1">
        <v>45968</v>
      </c>
      <c r="C1173" t="s">
        <v>443</v>
      </c>
      <c r="D1173" t="s">
        <v>96</v>
      </c>
      <c r="E1173" t="s">
        <v>97</v>
      </c>
      <c r="F1173" t="s">
        <v>31</v>
      </c>
      <c r="G1173" t="s">
        <v>21</v>
      </c>
      <c r="H1173" t="s">
        <v>41</v>
      </c>
      <c r="I1173">
        <v>2</v>
      </c>
      <c r="J1173">
        <v>1181.42</v>
      </c>
      <c r="K1173">
        <v>0.05</v>
      </c>
      <c r="L1173">
        <v>2244.6999999999998</v>
      </c>
      <c r="M1173" t="s">
        <v>76</v>
      </c>
      <c r="N1173" t="s">
        <v>58</v>
      </c>
      <c r="O1173" t="s">
        <v>65</v>
      </c>
      <c r="P1173" t="s">
        <v>26</v>
      </c>
    </row>
    <row r="1174" spans="1:16" x14ac:dyDescent="0.3">
      <c r="A1174" t="s">
        <v>1523</v>
      </c>
      <c r="B1174" s="1">
        <v>45458</v>
      </c>
      <c r="C1174" t="s">
        <v>672</v>
      </c>
      <c r="D1174" t="s">
        <v>29</v>
      </c>
      <c r="E1174" t="s">
        <v>30</v>
      </c>
      <c r="F1174" t="s">
        <v>31</v>
      </c>
      <c r="G1174" t="s">
        <v>32</v>
      </c>
      <c r="H1174" t="s">
        <v>33</v>
      </c>
      <c r="I1174">
        <v>5</v>
      </c>
      <c r="J1174">
        <v>3323.85</v>
      </c>
      <c r="K1174">
        <v>0.08</v>
      </c>
      <c r="L1174">
        <v>15289.71</v>
      </c>
      <c r="M1174" t="s">
        <v>23</v>
      </c>
      <c r="N1174" t="s">
        <v>49</v>
      </c>
      <c r="O1174" t="s">
        <v>65</v>
      </c>
      <c r="P1174" t="s">
        <v>102</v>
      </c>
    </row>
    <row r="1175" spans="1:16" x14ac:dyDescent="0.3">
      <c r="A1175" t="s">
        <v>1524</v>
      </c>
      <c r="B1175" s="1">
        <v>45672</v>
      </c>
      <c r="C1175" t="s">
        <v>151</v>
      </c>
      <c r="D1175" t="s">
        <v>105</v>
      </c>
      <c r="E1175" t="s">
        <v>106</v>
      </c>
      <c r="F1175" t="s">
        <v>40</v>
      </c>
      <c r="G1175" t="s">
        <v>81</v>
      </c>
      <c r="H1175" t="s">
        <v>98</v>
      </c>
      <c r="I1175">
        <v>25</v>
      </c>
      <c r="J1175">
        <v>7662.98</v>
      </c>
      <c r="K1175">
        <v>0.2</v>
      </c>
      <c r="L1175">
        <v>6130.38</v>
      </c>
      <c r="M1175" t="s">
        <v>76</v>
      </c>
      <c r="N1175" t="s">
        <v>34</v>
      </c>
      <c r="O1175" t="s">
        <v>65</v>
      </c>
      <c r="P1175" t="s">
        <v>116</v>
      </c>
    </row>
    <row r="1176" spans="1:16" x14ac:dyDescent="0.3">
      <c r="A1176" t="s">
        <v>1525</v>
      </c>
      <c r="B1176" s="1">
        <v>45811</v>
      </c>
      <c r="C1176" t="s">
        <v>535</v>
      </c>
      <c r="D1176" t="s">
        <v>29</v>
      </c>
      <c r="E1176" t="s">
        <v>30</v>
      </c>
      <c r="F1176" t="s">
        <v>31</v>
      </c>
      <c r="G1176" t="s">
        <v>32</v>
      </c>
      <c r="H1176" t="s">
        <v>75</v>
      </c>
      <c r="I1176">
        <v>5</v>
      </c>
      <c r="J1176">
        <v>3003.56</v>
      </c>
      <c r="K1176">
        <v>0.1</v>
      </c>
      <c r="L1176">
        <v>13516.02</v>
      </c>
      <c r="M1176" t="s">
        <v>23</v>
      </c>
      <c r="N1176" t="s">
        <v>49</v>
      </c>
      <c r="O1176" t="s">
        <v>65</v>
      </c>
      <c r="P1176" t="s">
        <v>111</v>
      </c>
    </row>
    <row r="1177" spans="1:16" x14ac:dyDescent="0.3">
      <c r="A1177" t="s">
        <v>1526</v>
      </c>
      <c r="B1177" s="1">
        <v>46157</v>
      </c>
      <c r="C1177" t="s">
        <v>190</v>
      </c>
      <c r="D1177" t="s">
        <v>85</v>
      </c>
      <c r="E1177" t="s">
        <v>86</v>
      </c>
      <c r="F1177" t="s">
        <v>20</v>
      </c>
      <c r="G1177" t="s">
        <v>21</v>
      </c>
      <c r="H1177" t="s">
        <v>41</v>
      </c>
      <c r="I1177">
        <v>3</v>
      </c>
      <c r="J1177">
        <v>1664.91</v>
      </c>
      <c r="K1177">
        <v>0.05</v>
      </c>
      <c r="L1177">
        <v>4744.99</v>
      </c>
      <c r="M1177" t="s">
        <v>23</v>
      </c>
      <c r="N1177" t="s">
        <v>58</v>
      </c>
      <c r="O1177" t="s">
        <v>65</v>
      </c>
      <c r="P1177" t="s">
        <v>26</v>
      </c>
    </row>
    <row r="1178" spans="1:16" x14ac:dyDescent="0.3">
      <c r="A1178" t="s">
        <v>1527</v>
      </c>
      <c r="B1178" s="1">
        <v>45962</v>
      </c>
      <c r="C1178" t="s">
        <v>776</v>
      </c>
      <c r="D1178" t="s">
        <v>29</v>
      </c>
      <c r="E1178" t="s">
        <v>30</v>
      </c>
      <c r="F1178" t="s">
        <v>31</v>
      </c>
      <c r="G1178" t="s">
        <v>81</v>
      </c>
      <c r="H1178" t="s">
        <v>135</v>
      </c>
      <c r="I1178">
        <v>2</v>
      </c>
      <c r="J1178">
        <v>3141.12</v>
      </c>
      <c r="K1178">
        <v>0.08</v>
      </c>
      <c r="L1178">
        <v>5779.66</v>
      </c>
      <c r="M1178" t="s">
        <v>23</v>
      </c>
      <c r="N1178" t="s">
        <v>34</v>
      </c>
      <c r="O1178" t="s">
        <v>35</v>
      </c>
      <c r="P1178" t="s">
        <v>26</v>
      </c>
    </row>
    <row r="1179" spans="1:16" x14ac:dyDescent="0.3">
      <c r="A1179" t="s">
        <v>1528</v>
      </c>
      <c r="B1179" s="1">
        <v>46039</v>
      </c>
      <c r="C1179" t="s">
        <v>1480</v>
      </c>
      <c r="D1179" t="s">
        <v>38</v>
      </c>
      <c r="E1179" t="s">
        <v>39</v>
      </c>
      <c r="F1179" t="s">
        <v>40</v>
      </c>
      <c r="G1179" t="s">
        <v>81</v>
      </c>
      <c r="H1179" t="s">
        <v>98</v>
      </c>
      <c r="I1179">
        <v>3</v>
      </c>
      <c r="J1179">
        <v>1482.4</v>
      </c>
      <c r="K1179">
        <v>0.08</v>
      </c>
      <c r="L1179">
        <v>4091.42</v>
      </c>
      <c r="M1179" t="s">
        <v>23</v>
      </c>
      <c r="N1179" t="s">
        <v>49</v>
      </c>
      <c r="O1179" t="s">
        <v>65</v>
      </c>
      <c r="P1179" t="s">
        <v>111</v>
      </c>
    </row>
    <row r="1180" spans="1:16" x14ac:dyDescent="0.3">
      <c r="A1180" t="s">
        <v>1529</v>
      </c>
      <c r="B1180" s="1">
        <v>46198</v>
      </c>
      <c r="C1180" t="s">
        <v>365</v>
      </c>
      <c r="D1180" t="s">
        <v>18</v>
      </c>
      <c r="E1180" t="s">
        <v>19</v>
      </c>
      <c r="F1180" t="s">
        <v>20</v>
      </c>
      <c r="G1180" t="s">
        <v>81</v>
      </c>
      <c r="H1180" t="s">
        <v>98</v>
      </c>
      <c r="I1180">
        <v>40</v>
      </c>
      <c r="J1180">
        <v>839.49</v>
      </c>
      <c r="K1180">
        <v>0.08</v>
      </c>
      <c r="L1180">
        <v>772.33</v>
      </c>
      <c r="M1180" t="s">
        <v>48</v>
      </c>
      <c r="N1180" t="s">
        <v>34</v>
      </c>
      <c r="O1180" t="s">
        <v>65</v>
      </c>
      <c r="P1180" t="s">
        <v>26</v>
      </c>
    </row>
    <row r="1181" spans="1:16" x14ac:dyDescent="0.3">
      <c r="A1181" t="s">
        <v>1530</v>
      </c>
      <c r="B1181" s="1">
        <v>46144</v>
      </c>
      <c r="C1181" t="s">
        <v>339</v>
      </c>
      <c r="D1181" t="s">
        <v>53</v>
      </c>
      <c r="E1181" t="s">
        <v>54</v>
      </c>
      <c r="F1181" t="s">
        <v>55</v>
      </c>
      <c r="G1181" t="s">
        <v>81</v>
      </c>
      <c r="H1181" t="s">
        <v>87</v>
      </c>
      <c r="I1181">
        <v>4</v>
      </c>
      <c r="J1181">
        <v>229.56</v>
      </c>
      <c r="K1181">
        <v>0.08</v>
      </c>
      <c r="L1181">
        <v>844.78</v>
      </c>
      <c r="M1181" t="s">
        <v>76</v>
      </c>
      <c r="N1181" t="s">
        <v>49</v>
      </c>
      <c r="O1181" t="s">
        <v>65</v>
      </c>
      <c r="P1181" t="s">
        <v>116</v>
      </c>
    </row>
    <row r="1182" spans="1:16" x14ac:dyDescent="0.3">
      <c r="A1182" t="s">
        <v>1531</v>
      </c>
      <c r="B1182" s="1">
        <v>45777</v>
      </c>
      <c r="C1182" t="s">
        <v>581</v>
      </c>
      <c r="D1182" t="s">
        <v>89</v>
      </c>
      <c r="E1182" t="s">
        <v>90</v>
      </c>
      <c r="F1182" t="s">
        <v>20</v>
      </c>
      <c r="G1182" t="s">
        <v>56</v>
      </c>
      <c r="H1182" t="s">
        <v>123</v>
      </c>
      <c r="I1182">
        <v>1</v>
      </c>
      <c r="J1182">
        <v>688.98</v>
      </c>
      <c r="K1182">
        <v>0.15</v>
      </c>
      <c r="L1182">
        <v>585.63</v>
      </c>
      <c r="M1182" t="s">
        <v>76</v>
      </c>
      <c r="N1182" t="s">
        <v>71</v>
      </c>
      <c r="O1182" t="s">
        <v>65</v>
      </c>
      <c r="P1182" t="s">
        <v>42</v>
      </c>
    </row>
    <row r="1183" spans="1:16" x14ac:dyDescent="0.3">
      <c r="A1183" t="s">
        <v>1532</v>
      </c>
      <c r="B1183" s="1">
        <v>45534</v>
      </c>
      <c r="C1183" t="s">
        <v>100</v>
      </c>
      <c r="D1183" t="s">
        <v>85</v>
      </c>
      <c r="E1183" t="s">
        <v>86</v>
      </c>
      <c r="F1183" t="s">
        <v>20</v>
      </c>
      <c r="G1183" t="s">
        <v>32</v>
      </c>
      <c r="H1183" t="s">
        <v>47</v>
      </c>
      <c r="I1183">
        <v>2</v>
      </c>
      <c r="J1183">
        <v>1936.2</v>
      </c>
      <c r="K1183">
        <v>0.2</v>
      </c>
      <c r="L1183">
        <v>3097.92</v>
      </c>
      <c r="M1183" t="s">
        <v>76</v>
      </c>
      <c r="N1183" t="s">
        <v>49</v>
      </c>
      <c r="O1183" t="s">
        <v>65</v>
      </c>
      <c r="P1183" t="s">
        <v>59</v>
      </c>
    </row>
    <row r="1184" spans="1:16" x14ac:dyDescent="0.3">
      <c r="A1184" t="s">
        <v>1533</v>
      </c>
      <c r="B1184" s="1">
        <v>45770</v>
      </c>
      <c r="C1184" t="s">
        <v>67</v>
      </c>
      <c r="D1184" t="s">
        <v>38</v>
      </c>
      <c r="E1184" t="s">
        <v>39</v>
      </c>
      <c r="F1184" t="s">
        <v>40</v>
      </c>
      <c r="G1184" t="s">
        <v>32</v>
      </c>
      <c r="H1184" t="s">
        <v>33</v>
      </c>
      <c r="I1184">
        <v>1</v>
      </c>
      <c r="J1184">
        <v>1599.31</v>
      </c>
      <c r="K1184">
        <v>0.1</v>
      </c>
      <c r="L1184">
        <v>1439.38</v>
      </c>
      <c r="M1184" t="s">
        <v>48</v>
      </c>
      <c r="N1184" t="s">
        <v>49</v>
      </c>
      <c r="O1184" t="s">
        <v>65</v>
      </c>
      <c r="P1184" t="s">
        <v>59</v>
      </c>
    </row>
    <row r="1185" spans="1:16" x14ac:dyDescent="0.3">
      <c r="A1185" t="s">
        <v>1534</v>
      </c>
      <c r="B1185" s="1">
        <v>45628</v>
      </c>
      <c r="C1185" t="s">
        <v>151</v>
      </c>
      <c r="D1185" t="s">
        <v>170</v>
      </c>
      <c r="E1185" t="s">
        <v>171</v>
      </c>
      <c r="F1185" t="s">
        <v>31</v>
      </c>
      <c r="G1185" t="s">
        <v>81</v>
      </c>
      <c r="H1185" t="s">
        <v>98</v>
      </c>
      <c r="I1185">
        <v>1</v>
      </c>
      <c r="J1185">
        <v>64046.879999999997</v>
      </c>
      <c r="K1185">
        <v>0.05</v>
      </c>
      <c r="L1185">
        <v>60844.54</v>
      </c>
      <c r="M1185" t="s">
        <v>76</v>
      </c>
      <c r="N1185" t="s">
        <v>58</v>
      </c>
      <c r="O1185" t="s">
        <v>65</v>
      </c>
      <c r="P1185" t="s">
        <v>116</v>
      </c>
    </row>
    <row r="1186" spans="1:16" x14ac:dyDescent="0.3">
      <c r="A1186" t="s">
        <v>1535</v>
      </c>
      <c r="B1186" s="1">
        <v>45574</v>
      </c>
      <c r="C1186" t="s">
        <v>350</v>
      </c>
      <c r="D1186" t="s">
        <v>131</v>
      </c>
      <c r="E1186" t="s">
        <v>132</v>
      </c>
      <c r="F1186" t="s">
        <v>40</v>
      </c>
      <c r="G1186" t="s">
        <v>21</v>
      </c>
      <c r="H1186" t="s">
        <v>41</v>
      </c>
      <c r="I1186">
        <v>5</v>
      </c>
      <c r="J1186">
        <v>9618.02</v>
      </c>
      <c r="K1186">
        <v>0.03</v>
      </c>
      <c r="L1186">
        <v>46647.4</v>
      </c>
      <c r="M1186" t="s">
        <v>23</v>
      </c>
      <c r="N1186" t="s">
        <v>71</v>
      </c>
      <c r="O1186" t="s">
        <v>65</v>
      </c>
      <c r="P1186" t="s">
        <v>102</v>
      </c>
    </row>
    <row r="1187" spans="1:16" x14ac:dyDescent="0.3">
      <c r="A1187" t="s">
        <v>1536</v>
      </c>
      <c r="B1187" s="1">
        <v>45795</v>
      </c>
      <c r="C1187" t="s">
        <v>247</v>
      </c>
      <c r="D1187" t="s">
        <v>62</v>
      </c>
      <c r="E1187" t="s">
        <v>63</v>
      </c>
      <c r="F1187" t="s">
        <v>31</v>
      </c>
      <c r="G1187" t="s">
        <v>21</v>
      </c>
      <c r="H1187" t="s">
        <v>22</v>
      </c>
      <c r="I1187">
        <v>1</v>
      </c>
      <c r="J1187">
        <v>2804.24</v>
      </c>
      <c r="K1187">
        <v>0.05</v>
      </c>
      <c r="L1187">
        <v>2664.03</v>
      </c>
      <c r="M1187" t="s">
        <v>76</v>
      </c>
      <c r="N1187" t="s">
        <v>24</v>
      </c>
      <c r="O1187" t="s">
        <v>65</v>
      </c>
      <c r="P1187" t="s">
        <v>42</v>
      </c>
    </row>
    <row r="1188" spans="1:16" x14ac:dyDescent="0.3">
      <c r="A1188" t="s">
        <v>1537</v>
      </c>
      <c r="B1188" s="1">
        <v>45601</v>
      </c>
      <c r="C1188" t="s">
        <v>1257</v>
      </c>
      <c r="D1188" t="s">
        <v>176</v>
      </c>
      <c r="E1188" t="s">
        <v>177</v>
      </c>
      <c r="F1188" t="s">
        <v>31</v>
      </c>
      <c r="G1188" t="s">
        <v>81</v>
      </c>
      <c r="H1188" t="s">
        <v>87</v>
      </c>
      <c r="I1188">
        <v>3</v>
      </c>
      <c r="J1188">
        <v>2173.9499999999998</v>
      </c>
      <c r="K1188">
        <v>0.05</v>
      </c>
      <c r="L1188">
        <v>6195.76</v>
      </c>
      <c r="M1188" t="s">
        <v>23</v>
      </c>
      <c r="N1188" t="s">
        <v>58</v>
      </c>
      <c r="O1188" t="s">
        <v>65</v>
      </c>
      <c r="P1188" t="s">
        <v>111</v>
      </c>
    </row>
    <row r="1189" spans="1:16" x14ac:dyDescent="0.3">
      <c r="A1189" t="s">
        <v>1538</v>
      </c>
      <c r="B1189" s="1">
        <v>45333</v>
      </c>
      <c r="C1189" t="s">
        <v>309</v>
      </c>
      <c r="D1189" t="s">
        <v>170</v>
      </c>
      <c r="E1189" t="s">
        <v>171</v>
      </c>
      <c r="F1189" t="s">
        <v>31</v>
      </c>
      <c r="G1189" t="s">
        <v>21</v>
      </c>
      <c r="H1189" t="s">
        <v>93</v>
      </c>
      <c r="I1189">
        <v>2</v>
      </c>
      <c r="J1189">
        <v>67798.759999999995</v>
      </c>
      <c r="K1189">
        <v>0.15</v>
      </c>
      <c r="L1189">
        <v>115257.89</v>
      </c>
      <c r="M1189" t="s">
        <v>76</v>
      </c>
      <c r="N1189" t="s">
        <v>71</v>
      </c>
      <c r="O1189" t="s">
        <v>65</v>
      </c>
      <c r="P1189" t="s">
        <v>111</v>
      </c>
    </row>
    <row r="1190" spans="1:16" x14ac:dyDescent="0.3">
      <c r="A1190" t="s">
        <v>1539</v>
      </c>
      <c r="B1190" s="1">
        <v>45526</v>
      </c>
      <c r="C1190" t="s">
        <v>78</v>
      </c>
      <c r="D1190" t="s">
        <v>170</v>
      </c>
      <c r="E1190" t="s">
        <v>171</v>
      </c>
      <c r="F1190" t="s">
        <v>31</v>
      </c>
      <c r="G1190" t="s">
        <v>21</v>
      </c>
      <c r="H1190" t="s">
        <v>41</v>
      </c>
      <c r="I1190">
        <v>2</v>
      </c>
      <c r="J1190">
        <v>63889.04</v>
      </c>
      <c r="K1190">
        <v>0.15</v>
      </c>
      <c r="L1190">
        <v>108611.37</v>
      </c>
      <c r="M1190" t="s">
        <v>23</v>
      </c>
      <c r="N1190" t="s">
        <v>58</v>
      </c>
      <c r="O1190" t="s">
        <v>65</v>
      </c>
      <c r="P1190" t="s">
        <v>102</v>
      </c>
    </row>
    <row r="1191" spans="1:16" x14ac:dyDescent="0.3">
      <c r="A1191" t="s">
        <v>1540</v>
      </c>
      <c r="B1191" s="1">
        <v>45839</v>
      </c>
      <c r="C1191" t="s">
        <v>315</v>
      </c>
      <c r="D1191" t="s">
        <v>105</v>
      </c>
      <c r="E1191" t="s">
        <v>106</v>
      </c>
      <c r="F1191" t="s">
        <v>40</v>
      </c>
      <c r="G1191" t="s">
        <v>81</v>
      </c>
      <c r="H1191" t="s">
        <v>87</v>
      </c>
      <c r="I1191">
        <v>4</v>
      </c>
      <c r="J1191">
        <v>7128.76</v>
      </c>
      <c r="K1191">
        <v>0.1</v>
      </c>
      <c r="L1191">
        <v>25663.54</v>
      </c>
      <c r="M1191" t="s">
        <v>76</v>
      </c>
      <c r="N1191" t="s">
        <v>58</v>
      </c>
      <c r="O1191" t="s">
        <v>65</v>
      </c>
      <c r="P1191" t="s">
        <v>111</v>
      </c>
    </row>
    <row r="1192" spans="1:16" x14ac:dyDescent="0.3">
      <c r="A1192" t="s">
        <v>1541</v>
      </c>
      <c r="B1192" s="1">
        <v>45775</v>
      </c>
      <c r="C1192" t="s">
        <v>836</v>
      </c>
      <c r="D1192" t="s">
        <v>105</v>
      </c>
      <c r="E1192" t="s">
        <v>106</v>
      </c>
      <c r="F1192" t="s">
        <v>40</v>
      </c>
      <c r="G1192" t="s">
        <v>21</v>
      </c>
      <c r="H1192" t="s">
        <v>22</v>
      </c>
      <c r="I1192">
        <v>4</v>
      </c>
      <c r="J1192">
        <v>6729.83</v>
      </c>
      <c r="K1192">
        <v>0</v>
      </c>
      <c r="L1192">
        <v>26919.32</v>
      </c>
      <c r="M1192" t="s">
        <v>76</v>
      </c>
      <c r="N1192" t="s">
        <v>24</v>
      </c>
      <c r="O1192" t="s">
        <v>65</v>
      </c>
      <c r="P1192" t="s">
        <v>111</v>
      </c>
    </row>
    <row r="1193" spans="1:16" x14ac:dyDescent="0.3">
      <c r="A1193" t="s">
        <v>1542</v>
      </c>
      <c r="B1193" s="1">
        <v>45709</v>
      </c>
      <c r="C1193" t="s">
        <v>373</v>
      </c>
      <c r="D1193" t="s">
        <v>85</v>
      </c>
      <c r="E1193" t="s">
        <v>86</v>
      </c>
      <c r="F1193" t="s">
        <v>20</v>
      </c>
      <c r="G1193" t="s">
        <v>32</v>
      </c>
      <c r="H1193" t="s">
        <v>75</v>
      </c>
      <c r="I1193">
        <v>4</v>
      </c>
      <c r="J1193">
        <v>1882.59</v>
      </c>
      <c r="K1193">
        <v>0.2</v>
      </c>
      <c r="L1193">
        <v>6024.29</v>
      </c>
      <c r="M1193" t="s">
        <v>23</v>
      </c>
      <c r="N1193" t="s">
        <v>24</v>
      </c>
      <c r="O1193" t="s">
        <v>25</v>
      </c>
      <c r="P1193" t="s">
        <v>26</v>
      </c>
    </row>
    <row r="1194" spans="1:16" x14ac:dyDescent="0.3">
      <c r="A1194" t="s">
        <v>1543</v>
      </c>
      <c r="B1194" s="1">
        <v>45296</v>
      </c>
      <c r="C1194" t="s">
        <v>78</v>
      </c>
      <c r="D1194" t="s">
        <v>131</v>
      </c>
      <c r="E1194" t="s">
        <v>132</v>
      </c>
      <c r="F1194" t="s">
        <v>40</v>
      </c>
      <c r="G1194" t="s">
        <v>21</v>
      </c>
      <c r="H1194" t="s">
        <v>22</v>
      </c>
      <c r="I1194">
        <v>5</v>
      </c>
      <c r="J1194">
        <v>9146.17</v>
      </c>
      <c r="K1194">
        <v>0.08</v>
      </c>
      <c r="L1194">
        <v>42072.38</v>
      </c>
      <c r="M1194" t="s">
        <v>48</v>
      </c>
      <c r="N1194" t="s">
        <v>24</v>
      </c>
      <c r="O1194" t="s">
        <v>25</v>
      </c>
      <c r="P1194" t="s">
        <v>102</v>
      </c>
    </row>
    <row r="1195" spans="1:16" x14ac:dyDescent="0.3">
      <c r="A1195" t="s">
        <v>1544</v>
      </c>
      <c r="B1195" s="1">
        <v>45679</v>
      </c>
      <c r="C1195" t="s">
        <v>409</v>
      </c>
      <c r="D1195" t="s">
        <v>170</v>
      </c>
      <c r="E1195" t="s">
        <v>171</v>
      </c>
      <c r="F1195" t="s">
        <v>31</v>
      </c>
      <c r="G1195" t="s">
        <v>32</v>
      </c>
      <c r="H1195" t="s">
        <v>33</v>
      </c>
      <c r="I1195">
        <v>3</v>
      </c>
      <c r="J1195">
        <v>60091.06</v>
      </c>
      <c r="K1195">
        <v>0</v>
      </c>
      <c r="L1195">
        <v>180273.18</v>
      </c>
      <c r="M1195" t="s">
        <v>76</v>
      </c>
      <c r="N1195" t="s">
        <v>24</v>
      </c>
      <c r="O1195" t="s">
        <v>25</v>
      </c>
      <c r="P1195" t="s">
        <v>42</v>
      </c>
    </row>
    <row r="1196" spans="1:16" x14ac:dyDescent="0.3">
      <c r="A1196" t="s">
        <v>1545</v>
      </c>
      <c r="B1196" s="1">
        <v>45962</v>
      </c>
      <c r="C1196" t="s">
        <v>287</v>
      </c>
      <c r="D1196" t="s">
        <v>89</v>
      </c>
      <c r="E1196" t="s">
        <v>90</v>
      </c>
      <c r="F1196" t="s">
        <v>20</v>
      </c>
      <c r="G1196" t="s">
        <v>21</v>
      </c>
      <c r="H1196" t="s">
        <v>93</v>
      </c>
      <c r="I1196">
        <v>2</v>
      </c>
      <c r="J1196">
        <v>715.1</v>
      </c>
      <c r="K1196">
        <v>0.1</v>
      </c>
      <c r="L1196">
        <v>1287.18</v>
      </c>
      <c r="M1196" t="s">
        <v>23</v>
      </c>
      <c r="N1196" t="s">
        <v>34</v>
      </c>
      <c r="O1196" t="s">
        <v>35</v>
      </c>
      <c r="P1196" t="s">
        <v>72</v>
      </c>
    </row>
    <row r="1197" spans="1:16" x14ac:dyDescent="0.3">
      <c r="A1197" t="s">
        <v>1546</v>
      </c>
      <c r="B1197" s="1">
        <v>45636</v>
      </c>
      <c r="C1197" t="s">
        <v>355</v>
      </c>
      <c r="D1197" t="s">
        <v>79</v>
      </c>
      <c r="E1197" t="s">
        <v>80</v>
      </c>
      <c r="F1197" t="s">
        <v>31</v>
      </c>
      <c r="G1197" t="s">
        <v>32</v>
      </c>
      <c r="H1197" t="s">
        <v>68</v>
      </c>
      <c r="I1197">
        <v>5</v>
      </c>
      <c r="J1197">
        <v>11604.43</v>
      </c>
      <c r="K1197">
        <v>0.1</v>
      </c>
      <c r="L1197">
        <v>52219.94</v>
      </c>
      <c r="M1197" t="s">
        <v>48</v>
      </c>
      <c r="N1197" t="s">
        <v>71</v>
      </c>
      <c r="O1197" t="s">
        <v>35</v>
      </c>
      <c r="P1197" t="s">
        <v>102</v>
      </c>
    </row>
    <row r="1198" spans="1:16" x14ac:dyDescent="0.3">
      <c r="A1198" t="s">
        <v>1547</v>
      </c>
      <c r="B1198" s="1">
        <v>45572</v>
      </c>
      <c r="C1198" t="s">
        <v>828</v>
      </c>
      <c r="D1198" t="s">
        <v>29</v>
      </c>
      <c r="E1198" t="s">
        <v>30</v>
      </c>
      <c r="F1198" t="s">
        <v>31</v>
      </c>
      <c r="G1198" t="s">
        <v>32</v>
      </c>
      <c r="H1198" t="s">
        <v>75</v>
      </c>
      <c r="I1198">
        <v>3</v>
      </c>
      <c r="J1198">
        <v>3391.3</v>
      </c>
      <c r="K1198">
        <v>0.08</v>
      </c>
      <c r="L1198">
        <v>9359.99</v>
      </c>
      <c r="M1198" t="s">
        <v>23</v>
      </c>
      <c r="N1198" t="s">
        <v>24</v>
      </c>
      <c r="O1198" t="s">
        <v>35</v>
      </c>
      <c r="P1198" t="s">
        <v>72</v>
      </c>
    </row>
    <row r="1199" spans="1:16" x14ac:dyDescent="0.3">
      <c r="A1199" t="s">
        <v>1548</v>
      </c>
      <c r="B1199" s="1">
        <v>45988</v>
      </c>
      <c r="C1199" t="s">
        <v>289</v>
      </c>
      <c r="D1199" t="s">
        <v>79</v>
      </c>
      <c r="E1199" t="s">
        <v>80</v>
      </c>
      <c r="F1199" t="s">
        <v>31</v>
      </c>
      <c r="G1199" t="s">
        <v>56</v>
      </c>
      <c r="H1199" t="s">
        <v>123</v>
      </c>
      <c r="I1199">
        <v>3</v>
      </c>
      <c r="J1199">
        <v>11945.98</v>
      </c>
      <c r="K1199">
        <v>0.08</v>
      </c>
      <c r="L1199">
        <v>32970.9</v>
      </c>
      <c r="M1199" t="s">
        <v>48</v>
      </c>
      <c r="O1199" t="s">
        <v>65</v>
      </c>
      <c r="P1199" t="s">
        <v>26</v>
      </c>
    </row>
    <row r="1200" spans="1:16" x14ac:dyDescent="0.3">
      <c r="A1200" t="s">
        <v>1549</v>
      </c>
      <c r="B1200" s="1">
        <v>46128</v>
      </c>
      <c r="C1200" t="s">
        <v>173</v>
      </c>
      <c r="D1200" t="s">
        <v>38</v>
      </c>
      <c r="E1200" t="s">
        <v>39</v>
      </c>
      <c r="F1200" t="s">
        <v>40</v>
      </c>
      <c r="G1200" t="s">
        <v>21</v>
      </c>
      <c r="H1200" t="s">
        <v>22</v>
      </c>
      <c r="I1200">
        <v>3</v>
      </c>
      <c r="J1200">
        <v>1654.5</v>
      </c>
      <c r="K1200">
        <v>0.2</v>
      </c>
      <c r="L1200">
        <v>3970.8</v>
      </c>
      <c r="M1200" t="s">
        <v>76</v>
      </c>
      <c r="N1200" t="s">
        <v>34</v>
      </c>
      <c r="O1200" t="s">
        <v>65</v>
      </c>
      <c r="P1200" t="s">
        <v>111</v>
      </c>
    </row>
    <row r="1201" spans="1:16" x14ac:dyDescent="0.3">
      <c r="A1201" t="s">
        <v>1550</v>
      </c>
      <c r="B1201" s="1">
        <v>45668</v>
      </c>
      <c r="C1201" t="s">
        <v>657</v>
      </c>
      <c r="D1201" t="s">
        <v>38</v>
      </c>
      <c r="E1201" t="s">
        <v>39</v>
      </c>
      <c r="F1201" t="s">
        <v>40</v>
      </c>
      <c r="G1201" t="s">
        <v>21</v>
      </c>
      <c r="H1201" t="s">
        <v>41</v>
      </c>
      <c r="I1201">
        <v>1</v>
      </c>
      <c r="J1201">
        <v>1534.26</v>
      </c>
      <c r="K1201">
        <v>0.15</v>
      </c>
      <c r="L1201">
        <v>1304.1199999999999</v>
      </c>
      <c r="M1201" t="s">
        <v>23</v>
      </c>
      <c r="N1201" t="s">
        <v>58</v>
      </c>
      <c r="O1201" t="s">
        <v>65</v>
      </c>
      <c r="P1201" t="s">
        <v>42</v>
      </c>
    </row>
    <row r="1202" spans="1:16" x14ac:dyDescent="0.3">
      <c r="A1202" t="s">
        <v>1551</v>
      </c>
      <c r="B1202" s="1">
        <v>46174</v>
      </c>
      <c r="C1202" t="s">
        <v>1498</v>
      </c>
      <c r="D1202" t="s">
        <v>45</v>
      </c>
      <c r="E1202" t="s">
        <v>46</v>
      </c>
      <c r="F1202" t="s">
        <v>31</v>
      </c>
      <c r="G1202" t="s">
        <v>21</v>
      </c>
      <c r="H1202" t="s">
        <v>22</v>
      </c>
      <c r="I1202">
        <v>5</v>
      </c>
      <c r="J1202">
        <v>1795.22</v>
      </c>
      <c r="K1202">
        <v>0.2</v>
      </c>
      <c r="L1202">
        <v>7180.88</v>
      </c>
      <c r="M1202" t="s">
        <v>23</v>
      </c>
      <c r="N1202" t="s">
        <v>49</v>
      </c>
      <c r="O1202" t="s">
        <v>35</v>
      </c>
      <c r="P1202" t="s">
        <v>116</v>
      </c>
    </row>
    <row r="1203" spans="1:16" x14ac:dyDescent="0.3">
      <c r="A1203" t="s">
        <v>1552</v>
      </c>
      <c r="B1203" s="1">
        <v>46004</v>
      </c>
      <c r="C1203" t="s">
        <v>445</v>
      </c>
      <c r="D1203" t="s">
        <v>29</v>
      </c>
      <c r="E1203" t="s">
        <v>30</v>
      </c>
      <c r="F1203" t="s">
        <v>31</v>
      </c>
      <c r="G1203" t="s">
        <v>56</v>
      </c>
      <c r="H1203" t="s">
        <v>64</v>
      </c>
      <c r="I1203">
        <v>2</v>
      </c>
      <c r="J1203">
        <v>2959.67</v>
      </c>
      <c r="K1203">
        <v>0.2</v>
      </c>
      <c r="L1203">
        <v>4735.47</v>
      </c>
      <c r="M1203" t="s">
        <v>48</v>
      </c>
      <c r="N1203" t="s">
        <v>24</v>
      </c>
      <c r="O1203" t="s">
        <v>35</v>
      </c>
      <c r="P1203" t="s">
        <v>26</v>
      </c>
    </row>
    <row r="1204" spans="1:16" x14ac:dyDescent="0.3">
      <c r="A1204" t="s">
        <v>1553</v>
      </c>
      <c r="B1204" s="1">
        <v>45843</v>
      </c>
      <c r="C1204" t="s">
        <v>227</v>
      </c>
      <c r="D1204" t="s">
        <v>79</v>
      </c>
      <c r="E1204" t="s">
        <v>80</v>
      </c>
      <c r="F1204" t="s">
        <v>31</v>
      </c>
      <c r="G1204" t="s">
        <v>32</v>
      </c>
      <c r="H1204" t="s">
        <v>33</v>
      </c>
      <c r="I1204">
        <v>3</v>
      </c>
      <c r="J1204">
        <v>12608.18</v>
      </c>
      <c r="K1204">
        <v>0.08</v>
      </c>
      <c r="L1204">
        <v>34798.58</v>
      </c>
      <c r="M1204" t="s">
        <v>76</v>
      </c>
      <c r="N1204" t="s">
        <v>58</v>
      </c>
      <c r="O1204" t="s">
        <v>25</v>
      </c>
      <c r="P1204" t="s">
        <v>26</v>
      </c>
    </row>
    <row r="1205" spans="1:16" x14ac:dyDescent="0.3">
      <c r="A1205" t="s">
        <v>1554</v>
      </c>
      <c r="B1205" s="1">
        <v>45707</v>
      </c>
      <c r="C1205" t="s">
        <v>230</v>
      </c>
      <c r="D1205" t="s">
        <v>29</v>
      </c>
      <c r="E1205" t="s">
        <v>30</v>
      </c>
      <c r="F1205" t="s">
        <v>31</v>
      </c>
      <c r="G1205" t="s">
        <v>21</v>
      </c>
      <c r="H1205" t="s">
        <v>93</v>
      </c>
      <c r="I1205">
        <v>4</v>
      </c>
      <c r="J1205">
        <v>3106.59</v>
      </c>
      <c r="K1205">
        <v>0.1</v>
      </c>
      <c r="L1205">
        <v>11183.72</v>
      </c>
      <c r="M1205" t="s">
        <v>76</v>
      </c>
      <c r="N1205" t="s">
        <v>34</v>
      </c>
      <c r="O1205" t="s">
        <v>65</v>
      </c>
      <c r="P1205" t="s">
        <v>50</v>
      </c>
    </row>
    <row r="1206" spans="1:16" x14ac:dyDescent="0.3">
      <c r="A1206" t="s">
        <v>1555</v>
      </c>
      <c r="B1206" s="1">
        <v>46132</v>
      </c>
      <c r="C1206" t="s">
        <v>556</v>
      </c>
      <c r="D1206" t="s">
        <v>18</v>
      </c>
      <c r="E1206" t="s">
        <v>19</v>
      </c>
      <c r="F1206" t="s">
        <v>20</v>
      </c>
      <c r="G1206" t="s">
        <v>56</v>
      </c>
      <c r="H1206" t="s">
        <v>64</v>
      </c>
      <c r="I1206">
        <v>1</v>
      </c>
      <c r="J1206">
        <v>807.26</v>
      </c>
      <c r="K1206">
        <v>0.05</v>
      </c>
      <c r="L1206">
        <v>766.9</v>
      </c>
      <c r="M1206" t="s">
        <v>48</v>
      </c>
      <c r="N1206" t="s">
        <v>24</v>
      </c>
      <c r="O1206" t="s">
        <v>35</v>
      </c>
      <c r="P1206" t="s">
        <v>42</v>
      </c>
    </row>
    <row r="1207" spans="1:16" x14ac:dyDescent="0.3">
      <c r="A1207" t="s">
        <v>1556</v>
      </c>
      <c r="B1207" s="1">
        <v>45374</v>
      </c>
      <c r="C1207" t="s">
        <v>289</v>
      </c>
      <c r="D1207" t="s">
        <v>121</v>
      </c>
      <c r="E1207" t="s">
        <v>122</v>
      </c>
      <c r="F1207" t="s">
        <v>55</v>
      </c>
      <c r="G1207" t="s">
        <v>21</v>
      </c>
      <c r="H1207" t="s">
        <v>93</v>
      </c>
      <c r="I1207">
        <v>2</v>
      </c>
      <c r="J1207">
        <v>438.3</v>
      </c>
      <c r="K1207">
        <v>0.1</v>
      </c>
      <c r="L1207">
        <v>788.94</v>
      </c>
      <c r="M1207" t="s">
        <v>23</v>
      </c>
      <c r="N1207" t="s">
        <v>49</v>
      </c>
      <c r="O1207" t="s">
        <v>65</v>
      </c>
      <c r="P1207" t="s">
        <v>26</v>
      </c>
    </row>
    <row r="1208" spans="1:16" x14ac:dyDescent="0.3">
      <c r="A1208" t="s">
        <v>1557</v>
      </c>
      <c r="B1208" s="1">
        <v>45575</v>
      </c>
      <c r="C1208" t="s">
        <v>125</v>
      </c>
      <c r="D1208" t="s">
        <v>131</v>
      </c>
      <c r="E1208" t="s">
        <v>132</v>
      </c>
      <c r="F1208" t="s">
        <v>40</v>
      </c>
      <c r="G1208" t="s">
        <v>32</v>
      </c>
      <c r="H1208" t="s">
        <v>33</v>
      </c>
      <c r="I1208">
        <v>5</v>
      </c>
      <c r="J1208">
        <v>8846.19</v>
      </c>
      <c r="K1208">
        <v>0.05</v>
      </c>
      <c r="L1208">
        <v>42019.4</v>
      </c>
      <c r="M1208" t="s">
        <v>76</v>
      </c>
      <c r="N1208" t="s">
        <v>49</v>
      </c>
      <c r="O1208" t="s">
        <v>65</v>
      </c>
      <c r="P1208" t="s">
        <v>72</v>
      </c>
    </row>
    <row r="1209" spans="1:16" x14ac:dyDescent="0.3">
      <c r="A1209" t="s">
        <v>1558</v>
      </c>
      <c r="B1209" s="1">
        <v>45544</v>
      </c>
      <c r="C1209" t="s">
        <v>576</v>
      </c>
      <c r="D1209" t="s">
        <v>96</v>
      </c>
      <c r="E1209" t="s">
        <v>97</v>
      </c>
      <c r="F1209" t="s">
        <v>31</v>
      </c>
      <c r="G1209" t="s">
        <v>21</v>
      </c>
      <c r="H1209" t="s">
        <v>126</v>
      </c>
      <c r="I1209">
        <v>5</v>
      </c>
      <c r="J1209">
        <v>1145.28</v>
      </c>
      <c r="K1209">
        <v>0.05</v>
      </c>
      <c r="L1209">
        <v>5440.08</v>
      </c>
      <c r="M1209" t="s">
        <v>23</v>
      </c>
      <c r="N1209" t="s">
        <v>24</v>
      </c>
      <c r="O1209" t="s">
        <v>35</v>
      </c>
      <c r="P1209" t="s">
        <v>111</v>
      </c>
    </row>
    <row r="1210" spans="1:16" x14ac:dyDescent="0.3">
      <c r="A1210" t="s">
        <v>1559</v>
      </c>
      <c r="B1210" s="1">
        <v>45461</v>
      </c>
      <c r="C1210" t="s">
        <v>949</v>
      </c>
      <c r="D1210" t="s">
        <v>85</v>
      </c>
      <c r="E1210" t="s">
        <v>86</v>
      </c>
      <c r="F1210" t="s">
        <v>20</v>
      </c>
      <c r="G1210" t="s">
        <v>32</v>
      </c>
      <c r="H1210" t="s">
        <v>33</v>
      </c>
      <c r="I1210">
        <v>3</v>
      </c>
      <c r="J1210">
        <v>1884.11</v>
      </c>
      <c r="K1210">
        <v>0</v>
      </c>
      <c r="L1210">
        <v>5652.33</v>
      </c>
      <c r="M1210" t="s">
        <v>23</v>
      </c>
      <c r="N1210" t="s">
        <v>58</v>
      </c>
      <c r="O1210" t="s">
        <v>65</v>
      </c>
      <c r="P1210" t="s">
        <v>26</v>
      </c>
    </row>
    <row r="1211" spans="1:16" x14ac:dyDescent="0.3">
      <c r="A1211" t="s">
        <v>1560</v>
      </c>
      <c r="B1211" s="1">
        <v>46059</v>
      </c>
      <c r="D1211" t="s">
        <v>170</v>
      </c>
      <c r="E1211" t="s">
        <v>171</v>
      </c>
      <c r="F1211" t="s">
        <v>31</v>
      </c>
      <c r="G1211" t="s">
        <v>21</v>
      </c>
      <c r="H1211" t="s">
        <v>22</v>
      </c>
      <c r="I1211">
        <v>4</v>
      </c>
      <c r="J1211">
        <v>60204.77</v>
      </c>
      <c r="K1211">
        <v>0.1</v>
      </c>
      <c r="L1211">
        <v>216737.17</v>
      </c>
      <c r="M1211" t="s">
        <v>48</v>
      </c>
      <c r="N1211" t="s">
        <v>24</v>
      </c>
      <c r="O1211" t="s">
        <v>65</v>
      </c>
      <c r="P1211" t="s">
        <v>26</v>
      </c>
    </row>
    <row r="1212" spans="1:16" x14ac:dyDescent="0.3">
      <c r="A1212" t="s">
        <v>1561</v>
      </c>
      <c r="B1212" s="1">
        <v>45975</v>
      </c>
      <c r="C1212" t="s">
        <v>1211</v>
      </c>
      <c r="D1212" t="s">
        <v>121</v>
      </c>
      <c r="E1212" t="s">
        <v>122</v>
      </c>
      <c r="F1212" t="s">
        <v>55</v>
      </c>
      <c r="G1212" t="s">
        <v>56</v>
      </c>
      <c r="H1212" t="s">
        <v>101</v>
      </c>
      <c r="I1212">
        <v>1</v>
      </c>
      <c r="J1212">
        <v>456.39</v>
      </c>
      <c r="K1212">
        <v>0.2</v>
      </c>
      <c r="L1212">
        <v>365.11</v>
      </c>
      <c r="M1212" t="s">
        <v>48</v>
      </c>
      <c r="N1212" t="s">
        <v>34</v>
      </c>
      <c r="O1212" t="s">
        <v>65</v>
      </c>
      <c r="P1212" t="s">
        <v>102</v>
      </c>
    </row>
    <row r="1213" spans="1:16" x14ac:dyDescent="0.3">
      <c r="A1213" t="s">
        <v>1562</v>
      </c>
      <c r="B1213" s="1">
        <v>45331</v>
      </c>
      <c r="C1213" t="s">
        <v>151</v>
      </c>
      <c r="D1213" t="s">
        <v>89</v>
      </c>
      <c r="E1213" t="s">
        <v>90</v>
      </c>
      <c r="F1213" t="s">
        <v>20</v>
      </c>
      <c r="G1213" t="s">
        <v>56</v>
      </c>
      <c r="H1213" t="s">
        <v>64</v>
      </c>
      <c r="I1213">
        <v>5</v>
      </c>
      <c r="J1213">
        <v>704.7</v>
      </c>
      <c r="K1213">
        <v>0</v>
      </c>
      <c r="L1213">
        <v>3523.5</v>
      </c>
      <c r="M1213" t="s">
        <v>23</v>
      </c>
      <c r="N1213" t="s">
        <v>49</v>
      </c>
      <c r="O1213" t="s">
        <v>65</v>
      </c>
      <c r="P1213" t="s">
        <v>111</v>
      </c>
    </row>
    <row r="1214" spans="1:16" x14ac:dyDescent="0.3">
      <c r="A1214" t="s">
        <v>1563</v>
      </c>
      <c r="B1214" s="1">
        <v>45326</v>
      </c>
      <c r="C1214" t="s">
        <v>120</v>
      </c>
      <c r="D1214" t="s">
        <v>89</v>
      </c>
      <c r="E1214" t="s">
        <v>90</v>
      </c>
      <c r="F1214" t="s">
        <v>20</v>
      </c>
      <c r="G1214" t="s">
        <v>21</v>
      </c>
      <c r="H1214" t="s">
        <v>22</v>
      </c>
      <c r="I1214">
        <v>5</v>
      </c>
      <c r="J1214">
        <v>647.29</v>
      </c>
      <c r="K1214">
        <v>0</v>
      </c>
      <c r="L1214">
        <v>3236.45</v>
      </c>
      <c r="M1214" t="s">
        <v>23</v>
      </c>
      <c r="N1214" t="s">
        <v>49</v>
      </c>
      <c r="O1214" t="s">
        <v>35</v>
      </c>
      <c r="P1214" t="s">
        <v>72</v>
      </c>
    </row>
    <row r="1215" spans="1:16" x14ac:dyDescent="0.3">
      <c r="A1215" t="s">
        <v>1564</v>
      </c>
      <c r="B1215" s="1">
        <v>45346</v>
      </c>
      <c r="C1215" t="s">
        <v>125</v>
      </c>
      <c r="D1215" t="s">
        <v>176</v>
      </c>
      <c r="E1215" t="s">
        <v>177</v>
      </c>
      <c r="F1215" t="s">
        <v>31</v>
      </c>
      <c r="G1215" t="s">
        <v>56</v>
      </c>
      <c r="H1215" t="s">
        <v>101</v>
      </c>
      <c r="I1215">
        <v>4</v>
      </c>
      <c r="J1215">
        <v>2101.21</v>
      </c>
      <c r="K1215">
        <v>0.05</v>
      </c>
      <c r="L1215">
        <v>7984.6</v>
      </c>
      <c r="M1215" t="s">
        <v>76</v>
      </c>
      <c r="N1215" t="s">
        <v>49</v>
      </c>
      <c r="O1215" t="s">
        <v>65</v>
      </c>
    </row>
    <row r="1216" spans="1:16" x14ac:dyDescent="0.3">
      <c r="A1216" t="s">
        <v>1565</v>
      </c>
      <c r="B1216" s="1">
        <v>45710</v>
      </c>
      <c r="C1216" t="s">
        <v>315</v>
      </c>
      <c r="D1216" t="s">
        <v>62</v>
      </c>
      <c r="E1216" t="s">
        <v>63</v>
      </c>
      <c r="F1216" t="s">
        <v>31</v>
      </c>
      <c r="G1216" t="s">
        <v>56</v>
      </c>
      <c r="H1216" t="s">
        <v>57</v>
      </c>
      <c r="I1216">
        <v>1</v>
      </c>
      <c r="J1216">
        <v>2747.79</v>
      </c>
      <c r="K1216">
        <v>0.1</v>
      </c>
      <c r="L1216">
        <v>2473.0100000000002</v>
      </c>
      <c r="M1216" t="s">
        <v>76</v>
      </c>
      <c r="N1216" t="s">
        <v>24</v>
      </c>
      <c r="O1216" t="s">
        <v>65</v>
      </c>
      <c r="P1216" t="s">
        <v>50</v>
      </c>
    </row>
    <row r="1217" spans="1:16" x14ac:dyDescent="0.3">
      <c r="A1217" t="s">
        <v>1566</v>
      </c>
      <c r="B1217" s="1">
        <v>45359</v>
      </c>
      <c r="C1217" t="s">
        <v>988</v>
      </c>
      <c r="D1217" t="s">
        <v>18</v>
      </c>
      <c r="E1217" t="s">
        <v>19</v>
      </c>
      <c r="F1217" t="s">
        <v>20</v>
      </c>
      <c r="G1217" t="s">
        <v>32</v>
      </c>
      <c r="H1217" t="s">
        <v>75</v>
      </c>
      <c r="I1217">
        <v>5</v>
      </c>
      <c r="J1217">
        <v>830.82</v>
      </c>
      <c r="K1217">
        <v>0.05</v>
      </c>
      <c r="L1217">
        <v>3946.39</v>
      </c>
      <c r="M1217" t="s">
        <v>48</v>
      </c>
      <c r="N1217" t="s">
        <v>34</v>
      </c>
      <c r="O1217" t="s">
        <v>65</v>
      </c>
      <c r="P1217" t="s">
        <v>26</v>
      </c>
    </row>
    <row r="1218" spans="1:16" x14ac:dyDescent="0.3">
      <c r="A1218" t="s">
        <v>1567</v>
      </c>
      <c r="B1218" s="1">
        <v>45748</v>
      </c>
      <c r="C1218" t="s">
        <v>542</v>
      </c>
      <c r="D1218" t="s">
        <v>89</v>
      </c>
      <c r="E1218" t="s">
        <v>90</v>
      </c>
      <c r="F1218" t="s">
        <v>20</v>
      </c>
      <c r="G1218" t="s">
        <v>56</v>
      </c>
      <c r="H1218" t="s">
        <v>64</v>
      </c>
      <c r="I1218">
        <v>1</v>
      </c>
      <c r="J1218">
        <v>736.83</v>
      </c>
      <c r="K1218">
        <v>0.05</v>
      </c>
      <c r="L1218">
        <v>699.99</v>
      </c>
      <c r="M1218" t="s">
        <v>76</v>
      </c>
      <c r="N1218" t="s">
        <v>71</v>
      </c>
      <c r="O1218" t="s">
        <v>65</v>
      </c>
      <c r="P1218" t="s">
        <v>102</v>
      </c>
    </row>
    <row r="1219" spans="1:16" x14ac:dyDescent="0.3">
      <c r="A1219" t="s">
        <v>1568</v>
      </c>
      <c r="B1219" s="1">
        <v>46190</v>
      </c>
      <c r="C1219" t="s">
        <v>839</v>
      </c>
      <c r="D1219" t="s">
        <v>45</v>
      </c>
      <c r="E1219" t="s">
        <v>46</v>
      </c>
      <c r="F1219" t="s">
        <v>31</v>
      </c>
      <c r="G1219" t="s">
        <v>81</v>
      </c>
      <c r="H1219" t="s">
        <v>135</v>
      </c>
      <c r="I1219">
        <v>4</v>
      </c>
      <c r="J1219">
        <v>1907.53</v>
      </c>
      <c r="K1219">
        <v>0.05</v>
      </c>
      <c r="L1219">
        <v>7248.61</v>
      </c>
      <c r="M1219" t="s">
        <v>48</v>
      </c>
      <c r="N1219" t="s">
        <v>34</v>
      </c>
      <c r="O1219" t="s">
        <v>35</v>
      </c>
      <c r="P1219" t="s">
        <v>102</v>
      </c>
    </row>
    <row r="1220" spans="1:16" x14ac:dyDescent="0.3">
      <c r="A1220" t="s">
        <v>1569</v>
      </c>
      <c r="B1220" s="1">
        <v>45784</v>
      </c>
      <c r="C1220" t="s">
        <v>848</v>
      </c>
      <c r="D1220" t="s">
        <v>170</v>
      </c>
      <c r="E1220" t="s">
        <v>171</v>
      </c>
      <c r="F1220" t="s">
        <v>31</v>
      </c>
      <c r="G1220" t="s">
        <v>32</v>
      </c>
      <c r="H1220" t="s">
        <v>75</v>
      </c>
      <c r="I1220">
        <v>5</v>
      </c>
      <c r="J1220">
        <v>66576.84</v>
      </c>
      <c r="K1220">
        <v>0.05</v>
      </c>
      <c r="L1220">
        <v>316239.99</v>
      </c>
      <c r="M1220" t="s">
        <v>76</v>
      </c>
      <c r="N1220" t="s">
        <v>34</v>
      </c>
      <c r="O1220" t="s">
        <v>35</v>
      </c>
      <c r="P1220" t="s">
        <v>102</v>
      </c>
    </row>
    <row r="1221" spans="1:16" x14ac:dyDescent="0.3">
      <c r="A1221" t="s">
        <v>1570</v>
      </c>
      <c r="B1221" s="1">
        <v>45817</v>
      </c>
      <c r="C1221" t="s">
        <v>323</v>
      </c>
      <c r="D1221" t="s">
        <v>96</v>
      </c>
      <c r="E1221" t="s">
        <v>97</v>
      </c>
      <c r="F1221" t="s">
        <v>31</v>
      </c>
      <c r="G1221" t="s">
        <v>32</v>
      </c>
      <c r="H1221" t="s">
        <v>33</v>
      </c>
      <c r="I1221">
        <v>1</v>
      </c>
      <c r="J1221">
        <v>1139.52</v>
      </c>
      <c r="K1221">
        <v>0.03</v>
      </c>
      <c r="L1221">
        <v>1105.33</v>
      </c>
      <c r="M1221" t="s">
        <v>23</v>
      </c>
      <c r="N1221" t="s">
        <v>71</v>
      </c>
      <c r="O1221" t="s">
        <v>65</v>
      </c>
      <c r="P1221" t="s">
        <v>26</v>
      </c>
    </row>
    <row r="1222" spans="1:16" x14ac:dyDescent="0.3">
      <c r="A1222" t="s">
        <v>1571</v>
      </c>
      <c r="B1222" s="1">
        <v>46016</v>
      </c>
      <c r="C1222" t="s">
        <v>715</v>
      </c>
      <c r="D1222" t="s">
        <v>131</v>
      </c>
      <c r="E1222" t="s">
        <v>132</v>
      </c>
      <c r="F1222" t="s">
        <v>40</v>
      </c>
      <c r="G1222" t="s">
        <v>81</v>
      </c>
      <c r="H1222" t="s">
        <v>87</v>
      </c>
      <c r="I1222">
        <v>3</v>
      </c>
      <c r="J1222">
        <v>8999.3799999999992</v>
      </c>
      <c r="K1222">
        <v>0.15</v>
      </c>
      <c r="L1222">
        <v>22948.42</v>
      </c>
      <c r="M1222" t="s">
        <v>76</v>
      </c>
      <c r="N1222" t="s">
        <v>71</v>
      </c>
      <c r="O1222" t="s">
        <v>65</v>
      </c>
      <c r="P1222" t="s">
        <v>50</v>
      </c>
    </row>
    <row r="1223" spans="1:16" x14ac:dyDescent="0.3">
      <c r="A1223" t="s">
        <v>1572</v>
      </c>
      <c r="B1223" s="1">
        <v>45487</v>
      </c>
      <c r="C1223" t="s">
        <v>457</v>
      </c>
      <c r="D1223" t="s">
        <v>18</v>
      </c>
      <c r="E1223" t="s">
        <v>19</v>
      </c>
      <c r="F1223" t="s">
        <v>20</v>
      </c>
      <c r="G1223" t="s">
        <v>81</v>
      </c>
      <c r="H1223" t="s">
        <v>98</v>
      </c>
      <c r="I1223">
        <v>1</v>
      </c>
      <c r="J1223">
        <v>866.71</v>
      </c>
      <c r="K1223">
        <v>0.03</v>
      </c>
      <c r="L1223">
        <v>840.71</v>
      </c>
      <c r="M1223" t="s">
        <v>48</v>
      </c>
      <c r="N1223" t="s">
        <v>58</v>
      </c>
      <c r="O1223" t="s">
        <v>65</v>
      </c>
      <c r="P1223" t="s">
        <v>26</v>
      </c>
    </row>
    <row r="1224" spans="1:16" x14ac:dyDescent="0.3">
      <c r="A1224" t="s">
        <v>1573</v>
      </c>
      <c r="B1224" s="1">
        <v>45483</v>
      </c>
      <c r="C1224" t="s">
        <v>348</v>
      </c>
      <c r="D1224" t="s">
        <v>53</v>
      </c>
      <c r="E1224" t="s">
        <v>54</v>
      </c>
      <c r="F1224" t="s">
        <v>55</v>
      </c>
      <c r="G1224" t="s">
        <v>21</v>
      </c>
      <c r="H1224" t="s">
        <v>22</v>
      </c>
      <c r="I1224">
        <v>3</v>
      </c>
      <c r="J1224">
        <v>235.23</v>
      </c>
      <c r="K1224">
        <v>0</v>
      </c>
      <c r="L1224">
        <v>705.69</v>
      </c>
      <c r="M1224" t="s">
        <v>76</v>
      </c>
      <c r="N1224" t="s">
        <v>34</v>
      </c>
      <c r="O1224" t="s">
        <v>65</v>
      </c>
      <c r="P1224" t="s">
        <v>59</v>
      </c>
    </row>
    <row r="1225" spans="1:16" x14ac:dyDescent="0.3">
      <c r="A1225" t="s">
        <v>1574</v>
      </c>
      <c r="B1225" s="1">
        <v>46116</v>
      </c>
      <c r="C1225" t="s">
        <v>143</v>
      </c>
      <c r="D1225" t="s">
        <v>89</v>
      </c>
      <c r="E1225" t="s">
        <v>90</v>
      </c>
      <c r="F1225" t="s">
        <v>20</v>
      </c>
      <c r="G1225" t="s">
        <v>21</v>
      </c>
      <c r="H1225" t="s">
        <v>22</v>
      </c>
      <c r="I1225">
        <v>4</v>
      </c>
      <c r="J1225">
        <v>743.31</v>
      </c>
      <c r="K1225">
        <v>0.1</v>
      </c>
      <c r="L1225">
        <v>2675.92</v>
      </c>
      <c r="M1225" t="s">
        <v>76</v>
      </c>
      <c r="N1225" t="s">
        <v>34</v>
      </c>
      <c r="O1225" t="s">
        <v>35</v>
      </c>
      <c r="P1225" t="s">
        <v>26</v>
      </c>
    </row>
    <row r="1226" spans="1:16" x14ac:dyDescent="0.3">
      <c r="A1226" t="s">
        <v>1575</v>
      </c>
      <c r="B1226" s="1">
        <v>45635</v>
      </c>
      <c r="C1226" t="s">
        <v>552</v>
      </c>
      <c r="D1226" t="s">
        <v>105</v>
      </c>
      <c r="E1226" t="s">
        <v>106</v>
      </c>
      <c r="F1226" t="s">
        <v>40</v>
      </c>
      <c r="G1226" t="s">
        <v>56</v>
      </c>
      <c r="H1226" t="s">
        <v>101</v>
      </c>
      <c r="I1226">
        <v>2</v>
      </c>
      <c r="J1226">
        <v>7708.12</v>
      </c>
      <c r="K1226">
        <v>0.05</v>
      </c>
      <c r="L1226">
        <v>14645.43</v>
      </c>
      <c r="M1226" t="s">
        <v>23</v>
      </c>
      <c r="N1226" t="s">
        <v>58</v>
      </c>
      <c r="O1226" t="s">
        <v>65</v>
      </c>
      <c r="P1226" t="s">
        <v>42</v>
      </c>
    </row>
    <row r="1227" spans="1:16" x14ac:dyDescent="0.3">
      <c r="A1227" t="s">
        <v>1576</v>
      </c>
      <c r="B1227" s="1">
        <v>45922</v>
      </c>
      <c r="C1227" t="s">
        <v>208</v>
      </c>
      <c r="D1227" t="s">
        <v>62</v>
      </c>
      <c r="E1227" t="s">
        <v>63</v>
      </c>
      <c r="F1227" t="s">
        <v>31</v>
      </c>
      <c r="G1227" t="s">
        <v>21</v>
      </c>
      <c r="H1227" t="s">
        <v>126</v>
      </c>
      <c r="I1227">
        <v>3</v>
      </c>
      <c r="J1227">
        <v>2940.73</v>
      </c>
      <c r="K1227">
        <v>0.03</v>
      </c>
      <c r="L1227">
        <v>8557.52</v>
      </c>
      <c r="M1227" t="s">
        <v>76</v>
      </c>
      <c r="N1227" t="s">
        <v>34</v>
      </c>
      <c r="O1227" t="s">
        <v>35</v>
      </c>
      <c r="P1227" t="s">
        <v>72</v>
      </c>
    </row>
    <row r="1228" spans="1:16" x14ac:dyDescent="0.3">
      <c r="A1228" t="s">
        <v>1577</v>
      </c>
      <c r="B1228" s="1">
        <v>45652</v>
      </c>
      <c r="C1228" t="s">
        <v>238</v>
      </c>
      <c r="D1228" t="s">
        <v>170</v>
      </c>
      <c r="E1228" t="s">
        <v>171</v>
      </c>
      <c r="F1228" t="s">
        <v>31</v>
      </c>
      <c r="G1228" t="s">
        <v>56</v>
      </c>
      <c r="H1228" t="s">
        <v>101</v>
      </c>
      <c r="I1228">
        <v>4</v>
      </c>
      <c r="J1228">
        <v>65259.47</v>
      </c>
      <c r="K1228">
        <v>0.03</v>
      </c>
      <c r="L1228">
        <v>253206.74</v>
      </c>
      <c r="M1228" t="s">
        <v>23</v>
      </c>
      <c r="N1228" t="s">
        <v>58</v>
      </c>
      <c r="O1228" t="s">
        <v>35</v>
      </c>
      <c r="P1228" t="s">
        <v>26</v>
      </c>
    </row>
    <row r="1229" spans="1:16" x14ac:dyDescent="0.3">
      <c r="A1229" t="s">
        <v>1578</v>
      </c>
      <c r="B1229" s="1">
        <v>46112</v>
      </c>
      <c r="C1229" t="s">
        <v>389</v>
      </c>
      <c r="D1229" t="s">
        <v>38</v>
      </c>
      <c r="E1229" t="s">
        <v>39</v>
      </c>
      <c r="F1229" t="s">
        <v>40</v>
      </c>
      <c r="G1229" t="s">
        <v>32</v>
      </c>
      <c r="H1229" t="s">
        <v>33</v>
      </c>
      <c r="I1229">
        <v>3</v>
      </c>
      <c r="J1229">
        <v>1703.19</v>
      </c>
      <c r="K1229">
        <v>0.2</v>
      </c>
      <c r="L1229">
        <v>4087.66</v>
      </c>
      <c r="M1229" t="s">
        <v>48</v>
      </c>
      <c r="N1229" t="s">
        <v>58</v>
      </c>
      <c r="O1229" t="s">
        <v>65</v>
      </c>
      <c r="P1229" t="s">
        <v>102</v>
      </c>
    </row>
    <row r="1230" spans="1:16" x14ac:dyDescent="0.3">
      <c r="A1230" t="s">
        <v>1579</v>
      </c>
      <c r="B1230" s="1">
        <v>45705</v>
      </c>
      <c r="C1230" t="s">
        <v>1195</v>
      </c>
      <c r="D1230" t="s">
        <v>62</v>
      </c>
      <c r="E1230" t="s">
        <v>63</v>
      </c>
      <c r="F1230" t="s">
        <v>31</v>
      </c>
      <c r="G1230" t="s">
        <v>56</v>
      </c>
      <c r="H1230" t="s">
        <v>57</v>
      </c>
      <c r="I1230">
        <v>5</v>
      </c>
      <c r="J1230">
        <v>2666.49</v>
      </c>
      <c r="K1230">
        <v>0.1</v>
      </c>
      <c r="L1230">
        <v>11999.2</v>
      </c>
      <c r="M1230" t="s">
        <v>48</v>
      </c>
      <c r="N1230" t="s">
        <v>49</v>
      </c>
      <c r="O1230" t="s">
        <v>25</v>
      </c>
      <c r="P1230" t="s">
        <v>111</v>
      </c>
    </row>
    <row r="1231" spans="1:16" x14ac:dyDescent="0.3">
      <c r="A1231" t="s">
        <v>1580</v>
      </c>
      <c r="B1231" s="1">
        <v>45899</v>
      </c>
      <c r="C1231" t="s">
        <v>125</v>
      </c>
      <c r="D1231" t="s">
        <v>53</v>
      </c>
      <c r="E1231" t="s">
        <v>54</v>
      </c>
      <c r="F1231" t="s">
        <v>55</v>
      </c>
      <c r="G1231" t="s">
        <v>32</v>
      </c>
      <c r="H1231" t="s">
        <v>68</v>
      </c>
      <c r="I1231">
        <v>1</v>
      </c>
      <c r="J1231">
        <v>235.63</v>
      </c>
      <c r="K1231">
        <v>0.08</v>
      </c>
      <c r="L1231">
        <v>216.78</v>
      </c>
      <c r="M1231" t="s">
        <v>76</v>
      </c>
      <c r="N1231" t="s">
        <v>34</v>
      </c>
      <c r="O1231" t="s">
        <v>65</v>
      </c>
      <c r="P1231" t="s">
        <v>72</v>
      </c>
    </row>
    <row r="1232" spans="1:16" x14ac:dyDescent="0.3">
      <c r="A1232" t="s">
        <v>1581</v>
      </c>
      <c r="B1232" s="1">
        <v>45400</v>
      </c>
      <c r="C1232" t="s">
        <v>262</v>
      </c>
      <c r="D1232" t="s">
        <v>105</v>
      </c>
      <c r="E1232" t="s">
        <v>106</v>
      </c>
      <c r="F1232" t="s">
        <v>40</v>
      </c>
      <c r="G1232" t="s">
        <v>56</v>
      </c>
      <c r="H1232" t="s">
        <v>101</v>
      </c>
      <c r="I1232">
        <v>1</v>
      </c>
      <c r="J1232">
        <v>6891.55</v>
      </c>
      <c r="K1232">
        <v>0.08</v>
      </c>
      <c r="L1232">
        <v>6340.23</v>
      </c>
      <c r="M1232" t="s">
        <v>48</v>
      </c>
      <c r="N1232" t="s">
        <v>34</v>
      </c>
      <c r="O1232" t="s">
        <v>65</v>
      </c>
      <c r="P1232" t="s">
        <v>72</v>
      </c>
    </row>
    <row r="1233" spans="1:16" x14ac:dyDescent="0.3">
      <c r="A1233" t="s">
        <v>1582</v>
      </c>
      <c r="B1233" s="1">
        <v>46110</v>
      </c>
      <c r="C1233" t="s">
        <v>304</v>
      </c>
      <c r="D1233" t="s">
        <v>89</v>
      </c>
      <c r="E1233" t="s">
        <v>90</v>
      </c>
      <c r="F1233" t="s">
        <v>20</v>
      </c>
      <c r="G1233" t="s">
        <v>56</v>
      </c>
      <c r="H1233" t="s">
        <v>101</v>
      </c>
      <c r="I1233">
        <v>3</v>
      </c>
      <c r="J1233">
        <v>730.87</v>
      </c>
      <c r="K1233">
        <v>0</v>
      </c>
      <c r="L1233">
        <v>2192.61</v>
      </c>
      <c r="M1233" t="s">
        <v>76</v>
      </c>
      <c r="N1233" t="s">
        <v>24</v>
      </c>
      <c r="O1233" t="s">
        <v>65</v>
      </c>
      <c r="P1233" t="s">
        <v>111</v>
      </c>
    </row>
    <row r="1234" spans="1:16" x14ac:dyDescent="0.3">
      <c r="A1234" t="s">
        <v>1583</v>
      </c>
      <c r="B1234" s="1">
        <v>45660</v>
      </c>
      <c r="C1234" t="s">
        <v>683</v>
      </c>
      <c r="D1234" t="s">
        <v>38</v>
      </c>
      <c r="E1234" t="s">
        <v>39</v>
      </c>
      <c r="F1234" t="s">
        <v>40</v>
      </c>
      <c r="G1234" t="s">
        <v>81</v>
      </c>
      <c r="H1234" t="s">
        <v>98</v>
      </c>
      <c r="I1234">
        <v>3</v>
      </c>
      <c r="J1234">
        <v>1656.25</v>
      </c>
      <c r="K1234">
        <v>0.05</v>
      </c>
      <c r="L1234">
        <v>4720.3100000000004</v>
      </c>
      <c r="M1234" t="s">
        <v>48</v>
      </c>
      <c r="N1234" t="s">
        <v>71</v>
      </c>
      <c r="O1234" t="s">
        <v>65</v>
      </c>
      <c r="P1234" t="s">
        <v>50</v>
      </c>
    </row>
    <row r="1235" spans="1:16" x14ac:dyDescent="0.3">
      <c r="A1235" t="s">
        <v>1584</v>
      </c>
      <c r="B1235" s="1">
        <v>45294</v>
      </c>
      <c r="C1235" t="s">
        <v>311</v>
      </c>
      <c r="D1235" t="s">
        <v>85</v>
      </c>
      <c r="E1235" t="s">
        <v>86</v>
      </c>
      <c r="F1235" t="s">
        <v>20</v>
      </c>
      <c r="G1235" t="s">
        <v>81</v>
      </c>
      <c r="H1235" t="s">
        <v>87</v>
      </c>
      <c r="I1235">
        <v>3</v>
      </c>
      <c r="J1235">
        <v>1860.44</v>
      </c>
      <c r="K1235">
        <v>0.15</v>
      </c>
      <c r="L1235">
        <v>4744.12</v>
      </c>
      <c r="M1235" t="s">
        <v>76</v>
      </c>
      <c r="N1235" t="s">
        <v>49</v>
      </c>
      <c r="O1235" t="s">
        <v>65</v>
      </c>
      <c r="P1235" t="s">
        <v>50</v>
      </c>
    </row>
    <row r="1236" spans="1:16" x14ac:dyDescent="0.3">
      <c r="A1236" t="s">
        <v>1585</v>
      </c>
      <c r="B1236" s="1">
        <v>45820</v>
      </c>
      <c r="C1236" t="s">
        <v>554</v>
      </c>
      <c r="D1236" t="s">
        <v>79</v>
      </c>
      <c r="E1236" t="s">
        <v>80</v>
      </c>
      <c r="F1236" t="s">
        <v>31</v>
      </c>
      <c r="G1236" t="s">
        <v>56</v>
      </c>
      <c r="H1236" t="s">
        <v>57</v>
      </c>
      <c r="I1236">
        <v>5</v>
      </c>
      <c r="J1236">
        <v>11989.98</v>
      </c>
      <c r="K1236">
        <v>0</v>
      </c>
      <c r="L1236">
        <v>59949.9</v>
      </c>
      <c r="M1236" t="s">
        <v>76</v>
      </c>
      <c r="N1236" t="s">
        <v>49</v>
      </c>
      <c r="O1236" t="s">
        <v>65</v>
      </c>
      <c r="P1236" t="s">
        <v>102</v>
      </c>
    </row>
    <row r="1237" spans="1:16" x14ac:dyDescent="0.3">
      <c r="A1237" t="s">
        <v>1586</v>
      </c>
      <c r="B1237" s="1">
        <v>45957</v>
      </c>
      <c r="C1237" t="s">
        <v>424</v>
      </c>
      <c r="D1237" t="s">
        <v>131</v>
      </c>
      <c r="E1237" t="s">
        <v>132</v>
      </c>
      <c r="F1237" t="s">
        <v>40</v>
      </c>
      <c r="G1237" t="s">
        <v>32</v>
      </c>
      <c r="H1237" t="s">
        <v>33</v>
      </c>
      <c r="I1237">
        <v>5</v>
      </c>
      <c r="J1237">
        <v>9638.5400000000009</v>
      </c>
      <c r="K1237">
        <v>0.1</v>
      </c>
      <c r="L1237">
        <v>43373.43</v>
      </c>
      <c r="M1237" t="s">
        <v>23</v>
      </c>
      <c r="N1237" t="s">
        <v>24</v>
      </c>
      <c r="O1237" t="s">
        <v>35</v>
      </c>
      <c r="P1237" t="s">
        <v>42</v>
      </c>
    </row>
    <row r="1238" spans="1:16" x14ac:dyDescent="0.3">
      <c r="A1238" t="s">
        <v>1587</v>
      </c>
      <c r="B1238" s="1">
        <v>45708</v>
      </c>
      <c r="C1238" t="s">
        <v>848</v>
      </c>
      <c r="D1238" t="s">
        <v>170</v>
      </c>
      <c r="E1238" t="s">
        <v>171</v>
      </c>
      <c r="F1238" t="s">
        <v>31</v>
      </c>
      <c r="G1238" t="s">
        <v>21</v>
      </c>
      <c r="H1238" t="s">
        <v>41</v>
      </c>
      <c r="I1238">
        <v>5</v>
      </c>
      <c r="J1238">
        <v>64917.72</v>
      </c>
      <c r="K1238">
        <v>0.15</v>
      </c>
      <c r="L1238">
        <v>275900.31</v>
      </c>
      <c r="M1238" t="s">
        <v>23</v>
      </c>
      <c r="N1238" t="s">
        <v>58</v>
      </c>
      <c r="O1238" t="s">
        <v>25</v>
      </c>
      <c r="P1238" t="s">
        <v>116</v>
      </c>
    </row>
    <row r="1239" spans="1:16" x14ac:dyDescent="0.3">
      <c r="A1239" t="s">
        <v>1588</v>
      </c>
      <c r="B1239" s="1">
        <v>45447</v>
      </c>
      <c r="C1239" t="s">
        <v>419</v>
      </c>
      <c r="D1239" t="s">
        <v>170</v>
      </c>
      <c r="E1239" t="s">
        <v>171</v>
      </c>
      <c r="F1239" t="s">
        <v>31</v>
      </c>
      <c r="G1239" t="s">
        <v>56</v>
      </c>
      <c r="H1239" t="s">
        <v>57</v>
      </c>
      <c r="J1239">
        <v>64560.94</v>
      </c>
      <c r="K1239">
        <v>0.15</v>
      </c>
      <c r="L1239">
        <v>164630.39999999999</v>
      </c>
      <c r="M1239" t="s">
        <v>48</v>
      </c>
      <c r="N1239" t="s">
        <v>58</v>
      </c>
      <c r="O1239" t="s">
        <v>35</v>
      </c>
      <c r="P1239" t="s">
        <v>26</v>
      </c>
    </row>
    <row r="1240" spans="1:16" x14ac:dyDescent="0.3">
      <c r="A1240" t="s">
        <v>1589</v>
      </c>
      <c r="B1240" s="1">
        <v>45505</v>
      </c>
      <c r="C1240" t="s">
        <v>424</v>
      </c>
      <c r="D1240" t="s">
        <v>89</v>
      </c>
      <c r="E1240" t="s">
        <v>90</v>
      </c>
      <c r="F1240" t="s">
        <v>20</v>
      </c>
      <c r="G1240" t="s">
        <v>56</v>
      </c>
      <c r="H1240" t="s">
        <v>123</v>
      </c>
      <c r="I1240">
        <v>3</v>
      </c>
      <c r="J1240">
        <v>688.04</v>
      </c>
      <c r="K1240">
        <v>0.08</v>
      </c>
      <c r="L1240">
        <v>1898.99</v>
      </c>
      <c r="M1240" t="s">
        <v>48</v>
      </c>
      <c r="N1240" t="s">
        <v>34</v>
      </c>
      <c r="O1240" t="s">
        <v>25</v>
      </c>
      <c r="P1240" t="s">
        <v>111</v>
      </c>
    </row>
    <row r="1241" spans="1:16" x14ac:dyDescent="0.3">
      <c r="A1241" t="s">
        <v>1590</v>
      </c>
      <c r="B1241" s="1">
        <v>45933</v>
      </c>
      <c r="C1241" t="s">
        <v>166</v>
      </c>
      <c r="D1241" t="s">
        <v>18</v>
      </c>
      <c r="E1241" t="s">
        <v>19</v>
      </c>
      <c r="F1241" t="s">
        <v>20</v>
      </c>
      <c r="G1241" t="s">
        <v>32</v>
      </c>
      <c r="H1241" t="s">
        <v>33</v>
      </c>
      <c r="I1241">
        <v>1</v>
      </c>
      <c r="J1241">
        <v>860.49</v>
      </c>
      <c r="K1241">
        <v>0.1</v>
      </c>
      <c r="L1241">
        <v>774.44</v>
      </c>
      <c r="M1241" t="s">
        <v>48</v>
      </c>
      <c r="N1241" t="s">
        <v>49</v>
      </c>
      <c r="O1241" t="s">
        <v>65</v>
      </c>
      <c r="P1241" t="s">
        <v>102</v>
      </c>
    </row>
    <row r="1242" spans="1:16" x14ac:dyDescent="0.3">
      <c r="A1242" t="s">
        <v>1591</v>
      </c>
      <c r="B1242" s="1">
        <v>45381</v>
      </c>
      <c r="C1242" t="s">
        <v>695</v>
      </c>
      <c r="D1242" t="s">
        <v>176</v>
      </c>
      <c r="E1242" t="s">
        <v>177</v>
      </c>
      <c r="F1242" t="s">
        <v>31</v>
      </c>
      <c r="G1242" t="s">
        <v>81</v>
      </c>
      <c r="H1242" t="s">
        <v>87</v>
      </c>
      <c r="I1242">
        <v>2</v>
      </c>
      <c r="J1242">
        <v>2290.09</v>
      </c>
      <c r="K1242">
        <v>0.03</v>
      </c>
      <c r="L1242">
        <v>4442.7700000000004</v>
      </c>
      <c r="M1242" t="s">
        <v>48</v>
      </c>
      <c r="N1242" t="s">
        <v>58</v>
      </c>
      <c r="O1242" t="s">
        <v>65</v>
      </c>
      <c r="P1242" t="s">
        <v>72</v>
      </c>
    </row>
    <row r="1243" spans="1:16" x14ac:dyDescent="0.3">
      <c r="A1243" t="s">
        <v>1592</v>
      </c>
      <c r="B1243" s="1">
        <v>45408</v>
      </c>
      <c r="C1243" t="s">
        <v>723</v>
      </c>
      <c r="D1243" t="s">
        <v>121</v>
      </c>
      <c r="E1243" t="s">
        <v>122</v>
      </c>
      <c r="F1243" t="s">
        <v>55</v>
      </c>
      <c r="G1243" t="s">
        <v>56</v>
      </c>
      <c r="H1243" t="s">
        <v>123</v>
      </c>
      <c r="I1243">
        <v>5</v>
      </c>
      <c r="J1243">
        <v>484.59</v>
      </c>
      <c r="K1243">
        <v>0</v>
      </c>
      <c r="L1243">
        <v>2422.9499999999998</v>
      </c>
      <c r="M1243" t="s">
        <v>23</v>
      </c>
      <c r="N1243" t="s">
        <v>24</v>
      </c>
      <c r="O1243" t="s">
        <v>25</v>
      </c>
      <c r="P1243" t="s">
        <v>50</v>
      </c>
    </row>
    <row r="1244" spans="1:16" x14ac:dyDescent="0.3">
      <c r="A1244" t="s">
        <v>1593</v>
      </c>
      <c r="B1244" s="1">
        <v>45629</v>
      </c>
      <c r="C1244" t="s">
        <v>297</v>
      </c>
      <c r="D1244" t="s">
        <v>121</v>
      </c>
      <c r="E1244" t="s">
        <v>122</v>
      </c>
      <c r="F1244" t="s">
        <v>55</v>
      </c>
      <c r="G1244" t="s">
        <v>32</v>
      </c>
      <c r="H1244" t="s">
        <v>47</v>
      </c>
      <c r="I1244">
        <v>5</v>
      </c>
      <c r="J1244">
        <v>414.64</v>
      </c>
      <c r="K1244">
        <v>0</v>
      </c>
      <c r="L1244">
        <v>2073.1999999999998</v>
      </c>
      <c r="M1244" t="s">
        <v>23</v>
      </c>
      <c r="N1244" t="s">
        <v>24</v>
      </c>
      <c r="O1244" t="s">
        <v>25</v>
      </c>
      <c r="P1244" t="s">
        <v>26</v>
      </c>
    </row>
    <row r="1245" spans="1:16" x14ac:dyDescent="0.3">
      <c r="A1245" t="s">
        <v>1594</v>
      </c>
      <c r="B1245" s="1">
        <v>46194</v>
      </c>
      <c r="C1245" t="s">
        <v>404</v>
      </c>
      <c r="D1245" t="s">
        <v>176</v>
      </c>
      <c r="E1245" t="s">
        <v>177</v>
      </c>
      <c r="F1245" t="s">
        <v>31</v>
      </c>
      <c r="G1245" t="s">
        <v>81</v>
      </c>
      <c r="H1245" t="s">
        <v>82</v>
      </c>
      <c r="I1245">
        <v>4</v>
      </c>
      <c r="J1245">
        <v>2051.0700000000002</v>
      </c>
      <c r="K1245">
        <v>0.1</v>
      </c>
      <c r="L1245">
        <v>7383.85</v>
      </c>
      <c r="M1245" t="s">
        <v>48</v>
      </c>
      <c r="N1245" t="s">
        <v>71</v>
      </c>
      <c r="O1245" t="s">
        <v>65</v>
      </c>
      <c r="P1245" t="s">
        <v>111</v>
      </c>
    </row>
    <row r="1246" spans="1:16" x14ac:dyDescent="0.3">
      <c r="A1246" t="s">
        <v>1595</v>
      </c>
      <c r="B1246" s="1">
        <v>46104</v>
      </c>
      <c r="C1246" t="s">
        <v>61</v>
      </c>
      <c r="D1246" t="s">
        <v>89</v>
      </c>
      <c r="E1246" t="s">
        <v>90</v>
      </c>
      <c r="F1246" t="s">
        <v>20</v>
      </c>
      <c r="G1246" t="s">
        <v>81</v>
      </c>
      <c r="H1246" t="s">
        <v>98</v>
      </c>
      <c r="I1246">
        <v>1</v>
      </c>
      <c r="J1246">
        <v>655.43</v>
      </c>
      <c r="K1246">
        <v>0.1</v>
      </c>
      <c r="L1246">
        <v>589.89</v>
      </c>
      <c r="M1246" t="s">
        <v>76</v>
      </c>
      <c r="N1246" t="s">
        <v>49</v>
      </c>
      <c r="O1246" t="s">
        <v>65</v>
      </c>
      <c r="P1246" t="s">
        <v>72</v>
      </c>
    </row>
    <row r="1247" spans="1:16" x14ac:dyDescent="0.3">
      <c r="A1247" t="s">
        <v>1596</v>
      </c>
      <c r="B1247" s="1">
        <v>45533</v>
      </c>
      <c r="C1247" t="s">
        <v>44</v>
      </c>
      <c r="D1247" t="s">
        <v>62</v>
      </c>
      <c r="E1247" t="s">
        <v>63</v>
      </c>
      <c r="F1247" t="s">
        <v>31</v>
      </c>
      <c r="G1247" t="s">
        <v>32</v>
      </c>
      <c r="H1247" t="s">
        <v>68</v>
      </c>
      <c r="I1247">
        <v>3</v>
      </c>
      <c r="J1247">
        <v>2960.82</v>
      </c>
      <c r="K1247">
        <v>0</v>
      </c>
      <c r="L1247">
        <v>8882.4599999999991</v>
      </c>
      <c r="M1247" t="s">
        <v>48</v>
      </c>
      <c r="N1247" t="s">
        <v>24</v>
      </c>
      <c r="O1247" t="s">
        <v>65</v>
      </c>
      <c r="P1247" t="s">
        <v>59</v>
      </c>
    </row>
    <row r="1248" spans="1:16" x14ac:dyDescent="0.3">
      <c r="A1248" t="s">
        <v>1597</v>
      </c>
      <c r="B1248" s="1">
        <v>45497</v>
      </c>
      <c r="C1248" t="s">
        <v>1008</v>
      </c>
      <c r="D1248" t="s">
        <v>62</v>
      </c>
      <c r="E1248" t="s">
        <v>63</v>
      </c>
      <c r="F1248" t="s">
        <v>31</v>
      </c>
      <c r="G1248" t="s">
        <v>32</v>
      </c>
      <c r="H1248" t="s">
        <v>68</v>
      </c>
      <c r="I1248">
        <v>1</v>
      </c>
      <c r="J1248">
        <v>2911.42</v>
      </c>
      <c r="K1248">
        <v>0.15</v>
      </c>
      <c r="L1248">
        <v>2474.71</v>
      </c>
      <c r="M1248" t="s">
        <v>48</v>
      </c>
      <c r="N1248" t="s">
        <v>58</v>
      </c>
      <c r="O1248" t="s">
        <v>35</v>
      </c>
      <c r="P1248" t="s">
        <v>59</v>
      </c>
    </row>
    <row r="1249" spans="1:16" x14ac:dyDescent="0.3">
      <c r="A1249" t="s">
        <v>1598</v>
      </c>
      <c r="B1249" s="1">
        <v>45315</v>
      </c>
      <c r="C1249" t="s">
        <v>488</v>
      </c>
      <c r="D1249" t="s">
        <v>18</v>
      </c>
      <c r="E1249" t="s">
        <v>19</v>
      </c>
      <c r="F1249" t="s">
        <v>20</v>
      </c>
      <c r="G1249" t="s">
        <v>56</v>
      </c>
      <c r="H1249" t="s">
        <v>101</v>
      </c>
      <c r="I1249">
        <v>5</v>
      </c>
      <c r="J1249">
        <v>863.72</v>
      </c>
      <c r="K1249">
        <v>0.15</v>
      </c>
      <c r="L1249">
        <v>3670.81</v>
      </c>
      <c r="M1249" t="s">
        <v>76</v>
      </c>
      <c r="N1249" t="s">
        <v>58</v>
      </c>
      <c r="O1249" t="s">
        <v>65</v>
      </c>
      <c r="P1249" t="s">
        <v>42</v>
      </c>
    </row>
    <row r="1250" spans="1:16" x14ac:dyDescent="0.3">
      <c r="A1250" t="s">
        <v>1599</v>
      </c>
      <c r="B1250" s="1">
        <v>46119</v>
      </c>
      <c r="C1250" t="s">
        <v>587</v>
      </c>
      <c r="D1250" t="s">
        <v>89</v>
      </c>
      <c r="E1250" t="s">
        <v>90</v>
      </c>
      <c r="F1250" t="s">
        <v>20</v>
      </c>
      <c r="G1250" t="s">
        <v>81</v>
      </c>
      <c r="H1250" t="s">
        <v>98</v>
      </c>
      <c r="I1250">
        <v>4</v>
      </c>
      <c r="J1250">
        <v>749.02</v>
      </c>
      <c r="K1250">
        <v>0.2</v>
      </c>
      <c r="L1250">
        <v>2396.86</v>
      </c>
      <c r="M1250" t="s">
        <v>76</v>
      </c>
      <c r="N1250" t="s">
        <v>49</v>
      </c>
      <c r="O1250" t="s">
        <v>65</v>
      </c>
      <c r="P1250" t="s">
        <v>50</v>
      </c>
    </row>
    <row r="1251" spans="1:16" x14ac:dyDescent="0.3">
      <c r="A1251" t="s">
        <v>1600</v>
      </c>
      <c r="B1251" s="1">
        <v>45654</v>
      </c>
      <c r="C1251" t="s">
        <v>599</v>
      </c>
      <c r="D1251" t="s">
        <v>105</v>
      </c>
      <c r="E1251" t="s">
        <v>106</v>
      </c>
      <c r="F1251" t="s">
        <v>40</v>
      </c>
      <c r="G1251" t="s">
        <v>21</v>
      </c>
      <c r="H1251" t="s">
        <v>126</v>
      </c>
      <c r="I1251">
        <v>2</v>
      </c>
      <c r="J1251">
        <v>7290.71</v>
      </c>
      <c r="K1251">
        <v>0.05</v>
      </c>
      <c r="L1251">
        <v>13852.35</v>
      </c>
      <c r="M1251" t="s">
        <v>48</v>
      </c>
      <c r="N1251" t="s">
        <v>71</v>
      </c>
      <c r="O1251" t="s">
        <v>25</v>
      </c>
      <c r="P1251" t="s">
        <v>102</v>
      </c>
    </row>
    <row r="1252" spans="1:16" x14ac:dyDescent="0.3">
      <c r="A1252" t="s">
        <v>1601</v>
      </c>
      <c r="B1252" s="1">
        <v>45329</v>
      </c>
      <c r="C1252" t="s">
        <v>373</v>
      </c>
      <c r="D1252" t="s">
        <v>105</v>
      </c>
      <c r="E1252" t="s">
        <v>106</v>
      </c>
      <c r="F1252" t="s">
        <v>40</v>
      </c>
      <c r="G1252" t="s">
        <v>56</v>
      </c>
      <c r="H1252" t="s">
        <v>57</v>
      </c>
      <c r="I1252">
        <v>3</v>
      </c>
      <c r="J1252">
        <v>7325.32</v>
      </c>
      <c r="K1252">
        <v>0.15</v>
      </c>
      <c r="L1252">
        <v>18679.57</v>
      </c>
      <c r="M1252" t="s">
        <v>76</v>
      </c>
      <c r="N1252" t="s">
        <v>34</v>
      </c>
      <c r="O1252" t="s">
        <v>65</v>
      </c>
      <c r="P1252" t="s">
        <v>102</v>
      </c>
    </row>
    <row r="1253" spans="1:16" x14ac:dyDescent="0.3">
      <c r="A1253" t="s">
        <v>1602</v>
      </c>
      <c r="B1253" s="1">
        <v>46115</v>
      </c>
      <c r="C1253" t="s">
        <v>236</v>
      </c>
      <c r="D1253" t="s">
        <v>170</v>
      </c>
      <c r="E1253" t="s">
        <v>171</v>
      </c>
      <c r="F1253" t="s">
        <v>31</v>
      </c>
      <c r="G1253" t="s">
        <v>32</v>
      </c>
      <c r="H1253" t="s">
        <v>33</v>
      </c>
      <c r="I1253">
        <v>1</v>
      </c>
      <c r="J1253">
        <v>62487.45</v>
      </c>
      <c r="K1253">
        <v>0.15</v>
      </c>
      <c r="L1253">
        <v>53114.33</v>
      </c>
      <c r="M1253" t="s">
        <v>23</v>
      </c>
      <c r="N1253" t="s">
        <v>24</v>
      </c>
      <c r="O1253" t="s">
        <v>65</v>
      </c>
      <c r="P1253" t="s">
        <v>72</v>
      </c>
    </row>
    <row r="1254" spans="1:16" x14ac:dyDescent="0.3">
      <c r="A1254" t="s">
        <v>1603</v>
      </c>
      <c r="B1254" s="1">
        <v>45690</v>
      </c>
      <c r="C1254" t="s">
        <v>287</v>
      </c>
      <c r="D1254" t="s">
        <v>18</v>
      </c>
      <c r="E1254" t="s">
        <v>19</v>
      </c>
      <c r="F1254" t="s">
        <v>20</v>
      </c>
      <c r="G1254" t="s">
        <v>56</v>
      </c>
      <c r="H1254" t="s">
        <v>123</v>
      </c>
      <c r="I1254">
        <v>2</v>
      </c>
      <c r="J1254">
        <v>817.26</v>
      </c>
      <c r="K1254">
        <v>0.03</v>
      </c>
      <c r="L1254">
        <v>1585.48</v>
      </c>
      <c r="M1254" t="s">
        <v>23</v>
      </c>
      <c r="N1254" t="s">
        <v>49</v>
      </c>
      <c r="O1254" t="s">
        <v>65</v>
      </c>
      <c r="P1254" t="s">
        <v>111</v>
      </c>
    </row>
    <row r="1255" spans="1:16" x14ac:dyDescent="0.3">
      <c r="A1255" t="s">
        <v>1604</v>
      </c>
      <c r="B1255" s="1">
        <v>45843</v>
      </c>
      <c r="C1255" t="s">
        <v>188</v>
      </c>
      <c r="D1255" t="s">
        <v>176</v>
      </c>
      <c r="E1255" t="s">
        <v>177</v>
      </c>
      <c r="F1255" t="s">
        <v>31</v>
      </c>
      <c r="G1255" t="s">
        <v>21</v>
      </c>
      <c r="H1255" t="s">
        <v>41</v>
      </c>
      <c r="I1255">
        <v>5</v>
      </c>
      <c r="J1255">
        <v>2096.66</v>
      </c>
      <c r="K1255">
        <v>0.03</v>
      </c>
      <c r="L1255">
        <v>10168.799999999999</v>
      </c>
      <c r="M1255" t="s">
        <v>48</v>
      </c>
      <c r="N1255" t="s">
        <v>71</v>
      </c>
      <c r="O1255" t="s">
        <v>65</v>
      </c>
      <c r="P1255" t="s">
        <v>116</v>
      </c>
    </row>
    <row r="1256" spans="1:16" x14ac:dyDescent="0.3">
      <c r="A1256" t="s">
        <v>1605</v>
      </c>
      <c r="B1256" s="1">
        <v>45492</v>
      </c>
      <c r="C1256" t="s">
        <v>657</v>
      </c>
      <c r="D1256" t="s">
        <v>53</v>
      </c>
      <c r="E1256" t="s">
        <v>54</v>
      </c>
      <c r="F1256" t="s">
        <v>55</v>
      </c>
      <c r="G1256" t="s">
        <v>21</v>
      </c>
      <c r="H1256" t="s">
        <v>93</v>
      </c>
      <c r="I1256">
        <v>3</v>
      </c>
      <c r="J1256">
        <v>224.36</v>
      </c>
      <c r="K1256">
        <v>0.08</v>
      </c>
      <c r="L1256">
        <v>619.23</v>
      </c>
      <c r="M1256" t="s">
        <v>48</v>
      </c>
      <c r="N1256" t="s">
        <v>58</v>
      </c>
      <c r="O1256" t="s">
        <v>25</v>
      </c>
      <c r="P1256" t="s">
        <v>26</v>
      </c>
    </row>
    <row r="1257" spans="1:16" x14ac:dyDescent="0.3">
      <c r="A1257" t="s">
        <v>1606</v>
      </c>
      <c r="B1257" s="1">
        <v>45487</v>
      </c>
      <c r="C1257" t="s">
        <v>149</v>
      </c>
      <c r="D1257" t="s">
        <v>18</v>
      </c>
      <c r="E1257" t="s">
        <v>19</v>
      </c>
      <c r="F1257" t="s">
        <v>20</v>
      </c>
      <c r="G1257" t="s">
        <v>81</v>
      </c>
      <c r="H1257" t="s">
        <v>82</v>
      </c>
      <c r="I1257">
        <v>2</v>
      </c>
      <c r="J1257">
        <v>835.25</v>
      </c>
      <c r="K1257">
        <v>0.05</v>
      </c>
      <c r="L1257">
        <v>1586.97</v>
      </c>
      <c r="M1257" t="s">
        <v>23</v>
      </c>
      <c r="N1257" t="s">
        <v>58</v>
      </c>
      <c r="O1257" t="s">
        <v>65</v>
      </c>
      <c r="P1257" t="s">
        <v>50</v>
      </c>
    </row>
    <row r="1258" spans="1:16" x14ac:dyDescent="0.3">
      <c r="A1258" t="s">
        <v>1607</v>
      </c>
      <c r="B1258" s="1">
        <v>46129</v>
      </c>
      <c r="C1258" t="s">
        <v>1241</v>
      </c>
      <c r="D1258" t="s">
        <v>105</v>
      </c>
      <c r="E1258" t="s">
        <v>106</v>
      </c>
      <c r="F1258" t="s">
        <v>40</v>
      </c>
      <c r="G1258" t="s">
        <v>56</v>
      </c>
      <c r="H1258" t="s">
        <v>57</v>
      </c>
      <c r="I1258">
        <v>4</v>
      </c>
      <c r="J1258">
        <v>7748.49</v>
      </c>
      <c r="K1258">
        <v>0.15</v>
      </c>
      <c r="L1258">
        <v>26344.87</v>
      </c>
      <c r="M1258" t="s">
        <v>23</v>
      </c>
      <c r="N1258" t="s">
        <v>71</v>
      </c>
      <c r="O1258" t="s">
        <v>65</v>
      </c>
      <c r="P1258" t="s">
        <v>111</v>
      </c>
    </row>
    <row r="1259" spans="1:16" x14ac:dyDescent="0.3">
      <c r="A1259" t="s">
        <v>1608</v>
      </c>
      <c r="B1259" s="1">
        <v>46171</v>
      </c>
      <c r="C1259" t="s">
        <v>247</v>
      </c>
      <c r="D1259" t="s">
        <v>29</v>
      </c>
      <c r="E1259" t="s">
        <v>30</v>
      </c>
      <c r="F1259" t="s">
        <v>31</v>
      </c>
      <c r="G1259" t="s">
        <v>21</v>
      </c>
      <c r="H1259" t="s">
        <v>22</v>
      </c>
      <c r="I1259">
        <v>2</v>
      </c>
      <c r="J1259">
        <v>3220.3</v>
      </c>
      <c r="K1259">
        <v>0.1</v>
      </c>
      <c r="L1259">
        <v>5796.54</v>
      </c>
      <c r="M1259" t="s">
        <v>48</v>
      </c>
      <c r="N1259" t="s">
        <v>34</v>
      </c>
      <c r="O1259" t="s">
        <v>35</v>
      </c>
      <c r="P1259" t="s">
        <v>26</v>
      </c>
    </row>
    <row r="1260" spans="1:16" x14ac:dyDescent="0.3">
      <c r="A1260" t="s">
        <v>1609</v>
      </c>
      <c r="B1260" s="1">
        <v>45510</v>
      </c>
      <c r="C1260" t="s">
        <v>389</v>
      </c>
      <c r="D1260" t="s">
        <v>85</v>
      </c>
      <c r="E1260" t="s">
        <v>86</v>
      </c>
      <c r="F1260" t="s">
        <v>20</v>
      </c>
      <c r="G1260" t="s">
        <v>21</v>
      </c>
      <c r="H1260" t="s">
        <v>41</v>
      </c>
      <c r="I1260">
        <v>3</v>
      </c>
      <c r="J1260">
        <v>1729.34</v>
      </c>
      <c r="K1260">
        <v>0.03</v>
      </c>
      <c r="L1260">
        <v>5032.38</v>
      </c>
      <c r="M1260" t="s">
        <v>48</v>
      </c>
      <c r="N1260" t="s">
        <v>34</v>
      </c>
      <c r="O1260" t="s">
        <v>65</v>
      </c>
      <c r="P1260" t="s">
        <v>50</v>
      </c>
    </row>
    <row r="1261" spans="1:16" x14ac:dyDescent="0.3">
      <c r="A1261" t="s">
        <v>1610</v>
      </c>
      <c r="B1261" s="1">
        <v>45322</v>
      </c>
      <c r="C1261" t="s">
        <v>560</v>
      </c>
      <c r="D1261" t="s">
        <v>85</v>
      </c>
      <c r="E1261" t="s">
        <v>86</v>
      </c>
      <c r="F1261" t="s">
        <v>20</v>
      </c>
      <c r="G1261" t="s">
        <v>56</v>
      </c>
      <c r="H1261" t="s">
        <v>123</v>
      </c>
      <c r="I1261">
        <v>1</v>
      </c>
      <c r="J1261">
        <v>1763.68</v>
      </c>
      <c r="K1261">
        <v>0.2</v>
      </c>
      <c r="L1261">
        <v>1410.94</v>
      </c>
      <c r="M1261" t="s">
        <v>76</v>
      </c>
      <c r="N1261" t="s">
        <v>49</v>
      </c>
      <c r="O1261" t="s">
        <v>65</v>
      </c>
      <c r="P1261" t="s">
        <v>111</v>
      </c>
    </row>
    <row r="1262" spans="1:16" x14ac:dyDescent="0.3">
      <c r="A1262" t="s">
        <v>1611</v>
      </c>
      <c r="B1262" s="1">
        <v>45464</v>
      </c>
      <c r="C1262" t="s">
        <v>277</v>
      </c>
      <c r="D1262" t="s">
        <v>29</v>
      </c>
      <c r="E1262" t="s">
        <v>30</v>
      </c>
      <c r="F1262" t="s">
        <v>31</v>
      </c>
      <c r="G1262" t="s">
        <v>32</v>
      </c>
      <c r="H1262" t="s">
        <v>47</v>
      </c>
      <c r="I1262">
        <v>5</v>
      </c>
      <c r="J1262">
        <v>3417.39</v>
      </c>
      <c r="K1262">
        <v>0</v>
      </c>
      <c r="L1262">
        <v>17086.95</v>
      </c>
      <c r="M1262" t="s">
        <v>48</v>
      </c>
      <c r="N1262" t="s">
        <v>71</v>
      </c>
      <c r="O1262" t="s">
        <v>65</v>
      </c>
      <c r="P1262" t="s">
        <v>26</v>
      </c>
    </row>
    <row r="1263" spans="1:16" x14ac:dyDescent="0.3">
      <c r="A1263" t="s">
        <v>1612</v>
      </c>
      <c r="B1263" s="1">
        <v>45861</v>
      </c>
      <c r="C1263" t="s">
        <v>397</v>
      </c>
      <c r="D1263" t="s">
        <v>18</v>
      </c>
      <c r="E1263" t="s">
        <v>19</v>
      </c>
      <c r="F1263" t="s">
        <v>20</v>
      </c>
      <c r="G1263" t="s">
        <v>81</v>
      </c>
      <c r="H1263" t="s">
        <v>98</v>
      </c>
      <c r="I1263">
        <v>3</v>
      </c>
      <c r="J1263">
        <v>809.57</v>
      </c>
      <c r="K1263">
        <v>0.08</v>
      </c>
      <c r="L1263">
        <v>2234.41</v>
      </c>
      <c r="M1263" t="s">
        <v>23</v>
      </c>
      <c r="N1263" t="s">
        <v>34</v>
      </c>
      <c r="O1263" t="s">
        <v>25</v>
      </c>
      <c r="P1263" t="s">
        <v>42</v>
      </c>
    </row>
    <row r="1264" spans="1:16" x14ac:dyDescent="0.3">
      <c r="A1264" t="s">
        <v>1613</v>
      </c>
      <c r="B1264" s="1">
        <v>45932</v>
      </c>
      <c r="C1264" t="s">
        <v>476</v>
      </c>
      <c r="D1264" t="s">
        <v>85</v>
      </c>
      <c r="E1264" t="s">
        <v>86</v>
      </c>
      <c r="F1264" t="s">
        <v>20</v>
      </c>
      <c r="G1264" t="s">
        <v>32</v>
      </c>
      <c r="H1264" t="s">
        <v>75</v>
      </c>
      <c r="I1264">
        <v>2</v>
      </c>
      <c r="J1264">
        <v>1770.56</v>
      </c>
      <c r="K1264">
        <v>0.2</v>
      </c>
      <c r="L1264">
        <v>2832.9</v>
      </c>
      <c r="M1264" t="s">
        <v>76</v>
      </c>
      <c r="N1264" t="s">
        <v>34</v>
      </c>
      <c r="O1264" t="s">
        <v>65</v>
      </c>
      <c r="P1264" t="s">
        <v>42</v>
      </c>
    </row>
    <row r="1265" spans="1:16" x14ac:dyDescent="0.3">
      <c r="A1265" t="s">
        <v>1614</v>
      </c>
      <c r="B1265" s="1">
        <v>46168</v>
      </c>
      <c r="C1265" t="s">
        <v>67</v>
      </c>
      <c r="D1265" t="s">
        <v>29</v>
      </c>
      <c r="E1265" t="s">
        <v>30</v>
      </c>
      <c r="F1265" t="s">
        <v>31</v>
      </c>
      <c r="G1265" t="s">
        <v>56</v>
      </c>
      <c r="H1265" t="s">
        <v>101</v>
      </c>
      <c r="I1265">
        <v>1</v>
      </c>
      <c r="J1265">
        <v>3285.91</v>
      </c>
      <c r="K1265">
        <v>0.2</v>
      </c>
      <c r="L1265">
        <v>2628.73</v>
      </c>
      <c r="M1265" t="s">
        <v>23</v>
      </c>
      <c r="N1265" t="s">
        <v>58</v>
      </c>
      <c r="O1265" t="s">
        <v>65</v>
      </c>
      <c r="P1265" t="s">
        <v>72</v>
      </c>
    </row>
    <row r="1266" spans="1:16" x14ac:dyDescent="0.3">
      <c r="A1266" t="s">
        <v>1615</v>
      </c>
      <c r="B1266" s="1">
        <v>45956</v>
      </c>
      <c r="C1266" t="s">
        <v>554</v>
      </c>
      <c r="D1266" t="s">
        <v>38</v>
      </c>
      <c r="E1266" t="s">
        <v>39</v>
      </c>
      <c r="F1266" t="s">
        <v>40</v>
      </c>
      <c r="G1266" t="s">
        <v>81</v>
      </c>
      <c r="H1266" t="s">
        <v>135</v>
      </c>
      <c r="I1266">
        <v>3</v>
      </c>
      <c r="J1266">
        <v>1679.86</v>
      </c>
      <c r="K1266">
        <v>0</v>
      </c>
      <c r="L1266">
        <v>5039.58</v>
      </c>
      <c r="M1266" t="s">
        <v>23</v>
      </c>
      <c r="N1266" t="s">
        <v>34</v>
      </c>
      <c r="O1266" t="s">
        <v>35</v>
      </c>
      <c r="P1266" t="s">
        <v>42</v>
      </c>
    </row>
    <row r="1267" spans="1:16" x14ac:dyDescent="0.3">
      <c r="A1267" t="s">
        <v>1616</v>
      </c>
      <c r="B1267" s="1">
        <v>45591</v>
      </c>
      <c r="C1267" t="s">
        <v>556</v>
      </c>
      <c r="D1267" t="s">
        <v>96</v>
      </c>
      <c r="E1267" t="s">
        <v>97</v>
      </c>
      <c r="F1267" t="s">
        <v>31</v>
      </c>
      <c r="G1267" t="s">
        <v>32</v>
      </c>
      <c r="H1267" t="s">
        <v>75</v>
      </c>
      <c r="I1267">
        <v>2</v>
      </c>
      <c r="J1267">
        <v>1130.4100000000001</v>
      </c>
      <c r="K1267">
        <v>0.03</v>
      </c>
      <c r="L1267">
        <v>2193</v>
      </c>
      <c r="M1267" t="s">
        <v>23</v>
      </c>
      <c r="N1267" t="s">
        <v>71</v>
      </c>
      <c r="O1267" t="s">
        <v>65</v>
      </c>
      <c r="P1267" t="s">
        <v>102</v>
      </c>
    </row>
    <row r="1268" spans="1:16" x14ac:dyDescent="0.3">
      <c r="A1268" t="s">
        <v>1617</v>
      </c>
      <c r="B1268" s="1">
        <v>45689</v>
      </c>
      <c r="C1268" t="s">
        <v>241</v>
      </c>
      <c r="D1268" t="s">
        <v>176</v>
      </c>
      <c r="E1268" t="s">
        <v>177</v>
      </c>
      <c r="F1268" t="s">
        <v>31</v>
      </c>
      <c r="G1268" t="s">
        <v>81</v>
      </c>
      <c r="I1268">
        <v>2</v>
      </c>
      <c r="J1268">
        <v>2349.1999999999998</v>
      </c>
      <c r="K1268">
        <v>0.08</v>
      </c>
      <c r="L1268">
        <v>4322.53</v>
      </c>
      <c r="M1268" t="s">
        <v>76</v>
      </c>
      <c r="N1268" t="s">
        <v>34</v>
      </c>
      <c r="O1268" t="s">
        <v>25</v>
      </c>
      <c r="P1268" t="s">
        <v>72</v>
      </c>
    </row>
    <row r="1269" spans="1:16" x14ac:dyDescent="0.3">
      <c r="A1269" t="s">
        <v>1618</v>
      </c>
      <c r="B1269" s="1">
        <v>45392</v>
      </c>
      <c r="C1269" t="s">
        <v>370</v>
      </c>
      <c r="D1269" t="s">
        <v>89</v>
      </c>
      <c r="E1269" t="s">
        <v>90</v>
      </c>
      <c r="F1269" t="s">
        <v>20</v>
      </c>
      <c r="G1269" t="s">
        <v>32</v>
      </c>
      <c r="H1269" t="s">
        <v>33</v>
      </c>
      <c r="I1269">
        <v>2</v>
      </c>
      <c r="J1269">
        <v>718.86</v>
      </c>
      <c r="K1269">
        <v>0.08</v>
      </c>
      <c r="L1269">
        <v>1322.7</v>
      </c>
      <c r="M1269" t="s">
        <v>48</v>
      </c>
      <c r="N1269" t="s">
        <v>71</v>
      </c>
      <c r="O1269" t="s">
        <v>65</v>
      </c>
      <c r="P1269" t="s">
        <v>102</v>
      </c>
    </row>
    <row r="1270" spans="1:16" x14ac:dyDescent="0.3">
      <c r="A1270" t="s">
        <v>1619</v>
      </c>
      <c r="B1270" s="1">
        <v>45453</v>
      </c>
      <c r="C1270" t="s">
        <v>466</v>
      </c>
      <c r="D1270" t="s">
        <v>89</v>
      </c>
      <c r="E1270" t="s">
        <v>90</v>
      </c>
      <c r="F1270" t="s">
        <v>20</v>
      </c>
      <c r="G1270" t="s">
        <v>56</v>
      </c>
      <c r="H1270" t="s">
        <v>123</v>
      </c>
      <c r="I1270">
        <v>2</v>
      </c>
      <c r="J1270">
        <v>662.79</v>
      </c>
      <c r="K1270">
        <v>0</v>
      </c>
      <c r="L1270">
        <v>1325.58</v>
      </c>
      <c r="M1270" t="s">
        <v>23</v>
      </c>
      <c r="N1270" t="s">
        <v>49</v>
      </c>
      <c r="O1270" t="s">
        <v>65</v>
      </c>
      <c r="P1270" t="s">
        <v>59</v>
      </c>
    </row>
    <row r="1271" spans="1:16" x14ac:dyDescent="0.3">
      <c r="A1271" t="s">
        <v>1620</v>
      </c>
      <c r="B1271" s="1">
        <v>45648</v>
      </c>
      <c r="C1271" t="s">
        <v>556</v>
      </c>
      <c r="D1271" t="s">
        <v>170</v>
      </c>
      <c r="E1271" t="s">
        <v>171</v>
      </c>
      <c r="F1271" t="s">
        <v>31</v>
      </c>
      <c r="G1271" t="s">
        <v>81</v>
      </c>
      <c r="H1271" t="s">
        <v>82</v>
      </c>
      <c r="I1271">
        <v>3</v>
      </c>
      <c r="J1271">
        <v>61239.26</v>
      </c>
      <c r="K1271">
        <v>0.05</v>
      </c>
      <c r="L1271">
        <v>174531.89</v>
      </c>
      <c r="M1271" t="s">
        <v>76</v>
      </c>
      <c r="N1271" t="s">
        <v>34</v>
      </c>
      <c r="O1271" t="s">
        <v>65</v>
      </c>
      <c r="P1271" t="s">
        <v>26</v>
      </c>
    </row>
    <row r="1272" spans="1:16" x14ac:dyDescent="0.3">
      <c r="A1272" t="s">
        <v>1621</v>
      </c>
      <c r="B1272" s="1">
        <v>45978</v>
      </c>
      <c r="C1272" t="s">
        <v>355</v>
      </c>
      <c r="D1272" t="s">
        <v>79</v>
      </c>
      <c r="E1272" t="s">
        <v>80</v>
      </c>
      <c r="F1272" t="s">
        <v>31</v>
      </c>
      <c r="G1272" t="s">
        <v>21</v>
      </c>
      <c r="H1272" t="s">
        <v>22</v>
      </c>
      <c r="I1272">
        <v>4</v>
      </c>
      <c r="J1272">
        <v>13018.98</v>
      </c>
      <c r="K1272">
        <v>0.1</v>
      </c>
      <c r="L1272">
        <v>46868.33</v>
      </c>
      <c r="M1272" t="s">
        <v>76</v>
      </c>
      <c r="N1272" t="s">
        <v>24</v>
      </c>
      <c r="O1272" t="s">
        <v>65</v>
      </c>
      <c r="P1272" t="s">
        <v>72</v>
      </c>
    </row>
    <row r="1273" spans="1:16" x14ac:dyDescent="0.3">
      <c r="A1273" t="s">
        <v>1622</v>
      </c>
      <c r="B1273" s="1">
        <v>45368</v>
      </c>
      <c r="C1273" t="s">
        <v>118</v>
      </c>
      <c r="D1273" t="s">
        <v>18</v>
      </c>
      <c r="E1273" t="s">
        <v>19</v>
      </c>
      <c r="F1273" t="s">
        <v>20</v>
      </c>
      <c r="G1273" t="s">
        <v>32</v>
      </c>
      <c r="H1273" t="s">
        <v>47</v>
      </c>
      <c r="I1273">
        <v>3</v>
      </c>
      <c r="J1273">
        <v>872.56</v>
      </c>
      <c r="K1273">
        <v>0.2</v>
      </c>
      <c r="L1273">
        <v>2094.14</v>
      </c>
      <c r="M1273" t="s">
        <v>76</v>
      </c>
      <c r="N1273" t="s">
        <v>34</v>
      </c>
      <c r="O1273" t="s">
        <v>25</v>
      </c>
      <c r="P1273" t="s">
        <v>50</v>
      </c>
    </row>
    <row r="1274" spans="1:16" x14ac:dyDescent="0.3">
      <c r="A1274" t="s">
        <v>1623</v>
      </c>
      <c r="B1274" s="1">
        <v>45894</v>
      </c>
      <c r="C1274" t="s">
        <v>648</v>
      </c>
      <c r="D1274" t="s">
        <v>29</v>
      </c>
      <c r="E1274" t="s">
        <v>30</v>
      </c>
      <c r="F1274" t="s">
        <v>31</v>
      </c>
      <c r="G1274" t="s">
        <v>32</v>
      </c>
      <c r="H1274" t="s">
        <v>33</v>
      </c>
      <c r="I1274">
        <v>2</v>
      </c>
      <c r="J1274">
        <v>3024.37</v>
      </c>
      <c r="K1274">
        <v>0.2</v>
      </c>
      <c r="L1274">
        <v>4838.99</v>
      </c>
      <c r="M1274" t="s">
        <v>48</v>
      </c>
      <c r="N1274" t="s">
        <v>49</v>
      </c>
      <c r="O1274" t="s">
        <v>35</v>
      </c>
      <c r="P1274" t="s">
        <v>102</v>
      </c>
    </row>
    <row r="1275" spans="1:16" x14ac:dyDescent="0.3">
      <c r="A1275" t="s">
        <v>1624</v>
      </c>
      <c r="B1275" s="1">
        <v>45535</v>
      </c>
      <c r="C1275" t="s">
        <v>141</v>
      </c>
      <c r="D1275" t="s">
        <v>176</v>
      </c>
      <c r="E1275" t="s">
        <v>177</v>
      </c>
      <c r="F1275" t="s">
        <v>31</v>
      </c>
      <c r="G1275" t="s">
        <v>56</v>
      </c>
      <c r="H1275" t="s">
        <v>57</v>
      </c>
      <c r="I1275">
        <v>5</v>
      </c>
      <c r="J1275">
        <v>2287.13</v>
      </c>
      <c r="K1275">
        <v>0.05</v>
      </c>
      <c r="L1275">
        <v>10863.87</v>
      </c>
      <c r="M1275" t="s">
        <v>48</v>
      </c>
      <c r="N1275" t="s">
        <v>58</v>
      </c>
      <c r="O1275" t="s">
        <v>65</v>
      </c>
      <c r="P1275" t="s">
        <v>59</v>
      </c>
    </row>
    <row r="1276" spans="1:16" x14ac:dyDescent="0.3">
      <c r="A1276" t="s">
        <v>1625</v>
      </c>
      <c r="B1276" s="1">
        <v>45350</v>
      </c>
      <c r="C1276" t="s">
        <v>264</v>
      </c>
      <c r="D1276" t="s">
        <v>85</v>
      </c>
      <c r="E1276" t="s">
        <v>86</v>
      </c>
      <c r="F1276" t="s">
        <v>20</v>
      </c>
      <c r="G1276" t="s">
        <v>56</v>
      </c>
      <c r="H1276" t="s">
        <v>101</v>
      </c>
      <c r="I1276">
        <v>2</v>
      </c>
      <c r="J1276">
        <v>1686.44</v>
      </c>
      <c r="K1276">
        <v>0</v>
      </c>
      <c r="L1276">
        <v>3372.88</v>
      </c>
      <c r="M1276" t="s">
        <v>23</v>
      </c>
      <c r="N1276" t="s">
        <v>71</v>
      </c>
      <c r="O1276" t="s">
        <v>65</v>
      </c>
      <c r="P1276" t="s">
        <v>59</v>
      </c>
    </row>
    <row r="1277" spans="1:16" x14ac:dyDescent="0.3">
      <c r="A1277" t="s">
        <v>1626</v>
      </c>
      <c r="B1277" s="1">
        <v>46126</v>
      </c>
      <c r="C1277" t="s">
        <v>466</v>
      </c>
      <c r="D1277" t="s">
        <v>96</v>
      </c>
      <c r="E1277" t="s">
        <v>97</v>
      </c>
      <c r="F1277" t="s">
        <v>31</v>
      </c>
      <c r="G1277" t="s">
        <v>56</v>
      </c>
      <c r="H1277" t="s">
        <v>57</v>
      </c>
      <c r="I1277">
        <v>4</v>
      </c>
      <c r="J1277">
        <v>1246.6300000000001</v>
      </c>
      <c r="K1277">
        <v>0.03</v>
      </c>
      <c r="L1277">
        <v>4836.92</v>
      </c>
      <c r="M1277" t="s">
        <v>23</v>
      </c>
      <c r="N1277" t="s">
        <v>24</v>
      </c>
      <c r="O1277" t="s">
        <v>35</v>
      </c>
      <c r="P1277" t="s">
        <v>72</v>
      </c>
    </row>
    <row r="1278" spans="1:16" x14ac:dyDescent="0.3">
      <c r="A1278" t="s">
        <v>1627</v>
      </c>
      <c r="B1278" s="1">
        <v>45704</v>
      </c>
      <c r="C1278" t="s">
        <v>379</v>
      </c>
      <c r="D1278" t="s">
        <v>29</v>
      </c>
      <c r="E1278" t="s">
        <v>30</v>
      </c>
      <c r="F1278" t="s">
        <v>31</v>
      </c>
      <c r="G1278" t="s">
        <v>32</v>
      </c>
      <c r="H1278" t="s">
        <v>47</v>
      </c>
      <c r="I1278">
        <v>3</v>
      </c>
      <c r="J1278">
        <v>3086.19</v>
      </c>
      <c r="K1278">
        <v>0.2</v>
      </c>
      <c r="L1278">
        <v>7406.86</v>
      </c>
      <c r="M1278" t="s">
        <v>23</v>
      </c>
      <c r="N1278" t="s">
        <v>71</v>
      </c>
      <c r="O1278" t="s">
        <v>65</v>
      </c>
      <c r="P1278" t="s">
        <v>102</v>
      </c>
    </row>
    <row r="1279" spans="1:16" x14ac:dyDescent="0.3">
      <c r="A1279" t="s">
        <v>1628</v>
      </c>
      <c r="B1279" s="1">
        <v>45934</v>
      </c>
      <c r="C1279" t="s">
        <v>480</v>
      </c>
      <c r="D1279" t="s">
        <v>45</v>
      </c>
      <c r="E1279" t="s">
        <v>46</v>
      </c>
      <c r="F1279" t="s">
        <v>31</v>
      </c>
      <c r="G1279" t="s">
        <v>56</v>
      </c>
      <c r="H1279" t="s">
        <v>57</v>
      </c>
      <c r="I1279">
        <v>5</v>
      </c>
      <c r="J1279">
        <v>1789.63</v>
      </c>
      <c r="K1279">
        <v>0.03</v>
      </c>
      <c r="L1279">
        <v>8679.7099999999991</v>
      </c>
      <c r="M1279" t="s">
        <v>48</v>
      </c>
      <c r="N1279" t="s">
        <v>71</v>
      </c>
      <c r="O1279" t="s">
        <v>65</v>
      </c>
      <c r="P1279" t="s">
        <v>26</v>
      </c>
    </row>
    <row r="1280" spans="1:16" x14ac:dyDescent="0.3">
      <c r="A1280" t="s">
        <v>1629</v>
      </c>
      <c r="B1280" s="1">
        <v>45674</v>
      </c>
      <c r="C1280" t="s">
        <v>457</v>
      </c>
      <c r="D1280" t="s">
        <v>29</v>
      </c>
      <c r="E1280" t="s">
        <v>30</v>
      </c>
      <c r="F1280" t="s">
        <v>31</v>
      </c>
      <c r="G1280" t="s">
        <v>21</v>
      </c>
      <c r="H1280" t="s">
        <v>93</v>
      </c>
      <c r="I1280">
        <v>2</v>
      </c>
      <c r="J1280">
        <v>3402.09</v>
      </c>
      <c r="K1280">
        <v>0</v>
      </c>
      <c r="L1280">
        <v>6804.18</v>
      </c>
      <c r="M1280" t="s">
        <v>23</v>
      </c>
      <c r="N1280" t="s">
        <v>58</v>
      </c>
      <c r="O1280" t="s">
        <v>65</v>
      </c>
      <c r="P1280" t="s">
        <v>50</v>
      </c>
    </row>
    <row r="1281" spans="1:16" x14ac:dyDescent="0.3">
      <c r="A1281" t="s">
        <v>1630</v>
      </c>
      <c r="B1281" s="1">
        <v>45573</v>
      </c>
      <c r="C1281" t="s">
        <v>550</v>
      </c>
      <c r="D1281" t="s">
        <v>89</v>
      </c>
      <c r="E1281" t="s">
        <v>90</v>
      </c>
      <c r="F1281" t="s">
        <v>20</v>
      </c>
      <c r="G1281" t="s">
        <v>81</v>
      </c>
      <c r="H1281" t="s">
        <v>135</v>
      </c>
      <c r="I1281">
        <v>3</v>
      </c>
      <c r="J1281">
        <v>746.9</v>
      </c>
      <c r="K1281">
        <v>0.08</v>
      </c>
      <c r="L1281">
        <v>2061.44</v>
      </c>
      <c r="M1281" t="s">
        <v>48</v>
      </c>
      <c r="N1281" t="s">
        <v>58</v>
      </c>
      <c r="O1281" t="s">
        <v>35</v>
      </c>
      <c r="P1281" t="s">
        <v>59</v>
      </c>
    </row>
    <row r="1282" spans="1:16" x14ac:dyDescent="0.3">
      <c r="A1282" t="s">
        <v>1631</v>
      </c>
      <c r="B1282" s="1">
        <v>46177</v>
      </c>
      <c r="C1282" t="s">
        <v>776</v>
      </c>
      <c r="D1282" t="s">
        <v>170</v>
      </c>
      <c r="E1282" t="s">
        <v>171</v>
      </c>
      <c r="F1282" t="s">
        <v>31</v>
      </c>
      <c r="G1282" t="s">
        <v>81</v>
      </c>
      <c r="H1282" t="s">
        <v>87</v>
      </c>
      <c r="I1282">
        <v>3</v>
      </c>
      <c r="J1282">
        <v>69561.5</v>
      </c>
      <c r="K1282">
        <v>0.2</v>
      </c>
      <c r="L1282">
        <v>166947.6</v>
      </c>
      <c r="M1282" t="s">
        <v>48</v>
      </c>
      <c r="N1282" t="s">
        <v>49</v>
      </c>
      <c r="O1282" t="s">
        <v>65</v>
      </c>
    </row>
    <row r="1283" spans="1:16" x14ac:dyDescent="0.3">
      <c r="A1283" t="s">
        <v>1632</v>
      </c>
      <c r="B1283" s="1">
        <v>45929</v>
      </c>
      <c r="C1283" t="s">
        <v>311</v>
      </c>
      <c r="D1283" t="s">
        <v>170</v>
      </c>
      <c r="E1283" t="s">
        <v>171</v>
      </c>
      <c r="F1283" t="s">
        <v>31</v>
      </c>
      <c r="G1283" t="s">
        <v>21</v>
      </c>
      <c r="H1283" t="s">
        <v>22</v>
      </c>
      <c r="I1283">
        <v>4</v>
      </c>
      <c r="J1283">
        <v>64746.78</v>
      </c>
      <c r="K1283">
        <v>0.15</v>
      </c>
      <c r="L1283">
        <v>220139.05</v>
      </c>
      <c r="M1283" t="s">
        <v>23</v>
      </c>
      <c r="N1283" t="s">
        <v>49</v>
      </c>
      <c r="O1283" t="s">
        <v>25</v>
      </c>
      <c r="P1283" t="s">
        <v>72</v>
      </c>
    </row>
    <row r="1284" spans="1:16" x14ac:dyDescent="0.3">
      <c r="A1284" t="s">
        <v>1633</v>
      </c>
      <c r="B1284" s="1">
        <v>45932</v>
      </c>
      <c r="C1284" t="s">
        <v>1241</v>
      </c>
      <c r="D1284" t="s">
        <v>85</v>
      </c>
      <c r="E1284" t="s">
        <v>86</v>
      </c>
      <c r="F1284" t="s">
        <v>20</v>
      </c>
      <c r="G1284" t="s">
        <v>81</v>
      </c>
      <c r="H1284" t="s">
        <v>87</v>
      </c>
      <c r="I1284">
        <v>2</v>
      </c>
      <c r="J1284">
        <v>1894.48</v>
      </c>
      <c r="K1284">
        <v>0.03</v>
      </c>
      <c r="L1284">
        <v>3675.29</v>
      </c>
      <c r="M1284" t="s">
        <v>23</v>
      </c>
      <c r="N1284" t="s">
        <v>71</v>
      </c>
      <c r="O1284" t="s">
        <v>65</v>
      </c>
      <c r="P1284" t="s">
        <v>59</v>
      </c>
    </row>
    <row r="1285" spans="1:16" x14ac:dyDescent="0.3">
      <c r="A1285" t="s">
        <v>1634</v>
      </c>
      <c r="B1285" s="1">
        <v>45960</v>
      </c>
      <c r="C1285" t="s">
        <v>839</v>
      </c>
      <c r="D1285" t="s">
        <v>53</v>
      </c>
      <c r="E1285" t="s">
        <v>54</v>
      </c>
      <c r="F1285" t="s">
        <v>55</v>
      </c>
      <c r="G1285" t="s">
        <v>81</v>
      </c>
      <c r="H1285" t="s">
        <v>87</v>
      </c>
      <c r="I1285">
        <v>2</v>
      </c>
      <c r="J1285">
        <v>226.05</v>
      </c>
      <c r="K1285">
        <v>0.08</v>
      </c>
      <c r="L1285">
        <v>415.93</v>
      </c>
      <c r="M1285" t="s">
        <v>76</v>
      </c>
      <c r="N1285" t="s">
        <v>34</v>
      </c>
      <c r="O1285" t="s">
        <v>65</v>
      </c>
      <c r="P1285" t="s">
        <v>116</v>
      </c>
    </row>
    <row r="1286" spans="1:16" x14ac:dyDescent="0.3">
      <c r="A1286" t="s">
        <v>1635</v>
      </c>
      <c r="B1286" s="1">
        <v>45570</v>
      </c>
      <c r="C1286" t="s">
        <v>285</v>
      </c>
      <c r="D1286" t="s">
        <v>176</v>
      </c>
      <c r="E1286" t="s">
        <v>177</v>
      </c>
      <c r="F1286" t="s">
        <v>31</v>
      </c>
      <c r="G1286" t="s">
        <v>21</v>
      </c>
      <c r="H1286" t="s">
        <v>126</v>
      </c>
      <c r="I1286">
        <v>1</v>
      </c>
      <c r="J1286">
        <v>2041.86</v>
      </c>
      <c r="K1286">
        <v>0.03</v>
      </c>
      <c r="L1286">
        <v>1980.6</v>
      </c>
      <c r="M1286" t="s">
        <v>48</v>
      </c>
      <c r="N1286" t="s">
        <v>24</v>
      </c>
      <c r="O1286" t="s">
        <v>25</v>
      </c>
      <c r="P1286" t="s">
        <v>26</v>
      </c>
    </row>
    <row r="1287" spans="1:16" x14ac:dyDescent="0.3">
      <c r="A1287" t="s">
        <v>1636</v>
      </c>
      <c r="B1287" s="1">
        <v>46028</v>
      </c>
      <c r="C1287" t="s">
        <v>277</v>
      </c>
      <c r="D1287" t="s">
        <v>18</v>
      </c>
      <c r="E1287" t="s">
        <v>19</v>
      </c>
      <c r="F1287" t="s">
        <v>20</v>
      </c>
      <c r="G1287" t="s">
        <v>81</v>
      </c>
      <c r="H1287" t="s">
        <v>82</v>
      </c>
      <c r="I1287">
        <v>3</v>
      </c>
      <c r="J1287">
        <v>890.27</v>
      </c>
      <c r="K1287">
        <v>0.08</v>
      </c>
      <c r="L1287">
        <v>2457.15</v>
      </c>
      <c r="M1287" t="s">
        <v>48</v>
      </c>
      <c r="N1287" t="s">
        <v>71</v>
      </c>
      <c r="O1287" t="s">
        <v>65</v>
      </c>
      <c r="P1287" t="s">
        <v>102</v>
      </c>
    </row>
    <row r="1288" spans="1:16" x14ac:dyDescent="0.3">
      <c r="A1288" t="s">
        <v>1637</v>
      </c>
      <c r="B1288" s="1">
        <v>45314</v>
      </c>
      <c r="C1288" t="s">
        <v>345</v>
      </c>
      <c r="D1288" t="s">
        <v>45</v>
      </c>
      <c r="E1288" t="s">
        <v>46</v>
      </c>
      <c r="F1288" t="s">
        <v>31</v>
      </c>
      <c r="G1288" t="s">
        <v>32</v>
      </c>
      <c r="H1288" t="s">
        <v>33</v>
      </c>
      <c r="I1288">
        <v>1</v>
      </c>
      <c r="J1288">
        <v>1795.57</v>
      </c>
      <c r="K1288">
        <v>0.1</v>
      </c>
      <c r="L1288">
        <v>1616.01</v>
      </c>
      <c r="M1288" t="s">
        <v>76</v>
      </c>
      <c r="N1288" t="s">
        <v>58</v>
      </c>
      <c r="O1288" t="s">
        <v>65</v>
      </c>
      <c r="P1288" t="s">
        <v>102</v>
      </c>
    </row>
    <row r="1289" spans="1:16" x14ac:dyDescent="0.3">
      <c r="A1289" t="s">
        <v>1638</v>
      </c>
      <c r="B1289" s="1">
        <v>46187</v>
      </c>
      <c r="C1289" t="s">
        <v>134</v>
      </c>
      <c r="D1289" t="s">
        <v>38</v>
      </c>
      <c r="E1289" t="s">
        <v>39</v>
      </c>
      <c r="F1289" t="s">
        <v>40</v>
      </c>
      <c r="G1289" t="s">
        <v>81</v>
      </c>
      <c r="H1289" t="s">
        <v>98</v>
      </c>
      <c r="I1289">
        <v>2</v>
      </c>
      <c r="J1289">
        <v>1557.59</v>
      </c>
      <c r="K1289">
        <v>0.15</v>
      </c>
      <c r="L1289">
        <v>2647.9</v>
      </c>
      <c r="M1289" t="s">
        <v>23</v>
      </c>
      <c r="N1289" t="s">
        <v>24</v>
      </c>
      <c r="O1289" t="s">
        <v>65</v>
      </c>
    </row>
    <row r="1290" spans="1:16" x14ac:dyDescent="0.3">
      <c r="A1290" t="s">
        <v>1639</v>
      </c>
      <c r="B1290" s="1">
        <v>45540</v>
      </c>
      <c r="C1290" t="s">
        <v>70</v>
      </c>
      <c r="D1290" t="s">
        <v>79</v>
      </c>
      <c r="E1290" t="s">
        <v>80</v>
      </c>
      <c r="F1290" t="s">
        <v>31</v>
      </c>
      <c r="G1290" t="s">
        <v>32</v>
      </c>
      <c r="H1290" t="s">
        <v>68</v>
      </c>
      <c r="I1290">
        <v>3</v>
      </c>
      <c r="J1290">
        <v>12652.9</v>
      </c>
      <c r="K1290">
        <v>0.03</v>
      </c>
      <c r="L1290">
        <v>36819.94</v>
      </c>
      <c r="M1290" t="s">
        <v>48</v>
      </c>
      <c r="N1290" t="s">
        <v>71</v>
      </c>
      <c r="O1290" t="s">
        <v>25</v>
      </c>
      <c r="P1290" t="s">
        <v>59</v>
      </c>
    </row>
    <row r="1291" spans="1:16" x14ac:dyDescent="0.3">
      <c r="A1291" t="s">
        <v>1640</v>
      </c>
      <c r="B1291" s="1">
        <v>45665</v>
      </c>
      <c r="C1291" t="s">
        <v>125</v>
      </c>
      <c r="D1291" t="s">
        <v>105</v>
      </c>
      <c r="E1291" t="s">
        <v>106</v>
      </c>
      <c r="F1291" t="s">
        <v>40</v>
      </c>
      <c r="G1291" t="s">
        <v>56</v>
      </c>
      <c r="H1291" t="s">
        <v>64</v>
      </c>
      <c r="I1291">
        <v>4</v>
      </c>
      <c r="J1291">
        <v>7276.44</v>
      </c>
      <c r="K1291">
        <v>0.08</v>
      </c>
      <c r="L1291">
        <v>26777.3</v>
      </c>
      <c r="M1291" t="s">
        <v>48</v>
      </c>
      <c r="N1291" t="s">
        <v>58</v>
      </c>
      <c r="O1291" t="s">
        <v>65</v>
      </c>
      <c r="P1291" t="s">
        <v>50</v>
      </c>
    </row>
    <row r="1292" spans="1:16" x14ac:dyDescent="0.3">
      <c r="A1292" t="s">
        <v>1641</v>
      </c>
      <c r="B1292" s="1">
        <v>45601</v>
      </c>
      <c r="C1292" t="s">
        <v>118</v>
      </c>
      <c r="D1292" t="s">
        <v>105</v>
      </c>
      <c r="E1292" t="s">
        <v>106</v>
      </c>
      <c r="F1292" t="s">
        <v>40</v>
      </c>
      <c r="G1292" t="s">
        <v>81</v>
      </c>
      <c r="H1292" t="s">
        <v>82</v>
      </c>
      <c r="I1292">
        <v>5</v>
      </c>
      <c r="J1292">
        <v>7118.65</v>
      </c>
      <c r="K1292">
        <v>0.05</v>
      </c>
      <c r="L1292">
        <v>33813.589999999997</v>
      </c>
      <c r="M1292" t="s">
        <v>76</v>
      </c>
      <c r="N1292" t="s">
        <v>71</v>
      </c>
      <c r="O1292" t="s">
        <v>35</v>
      </c>
      <c r="P1292" t="s">
        <v>72</v>
      </c>
    </row>
    <row r="1293" spans="1:16" x14ac:dyDescent="0.3">
      <c r="A1293" t="s">
        <v>1642</v>
      </c>
      <c r="B1293" s="1">
        <v>45688</v>
      </c>
      <c r="C1293" t="s">
        <v>299</v>
      </c>
      <c r="D1293" t="s">
        <v>105</v>
      </c>
      <c r="E1293" t="s">
        <v>106</v>
      </c>
      <c r="F1293" t="s">
        <v>40</v>
      </c>
      <c r="G1293" t="s">
        <v>56</v>
      </c>
      <c r="H1293" t="s">
        <v>101</v>
      </c>
      <c r="J1293">
        <v>6694.11</v>
      </c>
      <c r="K1293">
        <v>0.1</v>
      </c>
      <c r="L1293">
        <v>6024.7</v>
      </c>
      <c r="M1293" t="s">
        <v>76</v>
      </c>
      <c r="N1293" t="s">
        <v>24</v>
      </c>
      <c r="O1293" t="s">
        <v>35</v>
      </c>
      <c r="P1293" t="s">
        <v>111</v>
      </c>
    </row>
    <row r="1294" spans="1:16" x14ac:dyDescent="0.3">
      <c r="A1294" t="s">
        <v>1643</v>
      </c>
      <c r="B1294" s="1">
        <v>46087</v>
      </c>
      <c r="C1294" t="s">
        <v>28</v>
      </c>
      <c r="D1294" t="s">
        <v>89</v>
      </c>
      <c r="E1294" t="s">
        <v>90</v>
      </c>
      <c r="F1294" t="s">
        <v>20</v>
      </c>
      <c r="G1294" t="s">
        <v>32</v>
      </c>
      <c r="I1294">
        <v>4</v>
      </c>
      <c r="J1294">
        <v>662.98</v>
      </c>
      <c r="K1294">
        <v>0.08</v>
      </c>
      <c r="L1294">
        <v>2439.77</v>
      </c>
      <c r="M1294" t="s">
        <v>76</v>
      </c>
      <c r="N1294" t="s">
        <v>24</v>
      </c>
      <c r="O1294" t="s">
        <v>25</v>
      </c>
      <c r="P1294" t="s">
        <v>26</v>
      </c>
    </row>
    <row r="1295" spans="1:16" x14ac:dyDescent="0.3">
      <c r="A1295" t="s">
        <v>1644</v>
      </c>
      <c r="B1295" s="1">
        <v>46142</v>
      </c>
      <c r="C1295" t="s">
        <v>803</v>
      </c>
      <c r="D1295" t="s">
        <v>89</v>
      </c>
      <c r="E1295" t="s">
        <v>90</v>
      </c>
      <c r="F1295" t="s">
        <v>20</v>
      </c>
      <c r="G1295" t="s">
        <v>32</v>
      </c>
      <c r="H1295" t="s">
        <v>47</v>
      </c>
      <c r="I1295">
        <v>2</v>
      </c>
      <c r="J1295">
        <v>723.81</v>
      </c>
      <c r="K1295">
        <v>0.03</v>
      </c>
      <c r="L1295">
        <v>1404.19</v>
      </c>
      <c r="M1295" t="s">
        <v>48</v>
      </c>
      <c r="N1295" t="s">
        <v>49</v>
      </c>
      <c r="O1295" t="s">
        <v>25</v>
      </c>
      <c r="P1295" t="s">
        <v>26</v>
      </c>
    </row>
    <row r="1296" spans="1:16" x14ac:dyDescent="0.3">
      <c r="A1296" t="s">
        <v>1645</v>
      </c>
      <c r="B1296" s="1">
        <v>45420</v>
      </c>
      <c r="C1296" t="s">
        <v>293</v>
      </c>
      <c r="D1296" t="s">
        <v>53</v>
      </c>
      <c r="E1296" t="s">
        <v>54</v>
      </c>
      <c r="F1296" t="s">
        <v>55</v>
      </c>
      <c r="G1296" t="s">
        <v>56</v>
      </c>
      <c r="H1296" t="s">
        <v>123</v>
      </c>
      <c r="I1296">
        <v>4</v>
      </c>
      <c r="J1296">
        <v>205.53</v>
      </c>
      <c r="K1296">
        <v>0.1</v>
      </c>
      <c r="L1296">
        <v>739.91</v>
      </c>
      <c r="M1296" t="s">
        <v>48</v>
      </c>
      <c r="N1296" t="s">
        <v>49</v>
      </c>
      <c r="O1296" t="s">
        <v>25</v>
      </c>
      <c r="P1296" t="s">
        <v>102</v>
      </c>
    </row>
    <row r="1297" spans="1:16" x14ac:dyDescent="0.3">
      <c r="A1297" t="s">
        <v>1646</v>
      </c>
      <c r="B1297" s="1">
        <v>46073</v>
      </c>
      <c r="C1297" t="s">
        <v>531</v>
      </c>
      <c r="D1297" t="s">
        <v>45</v>
      </c>
      <c r="E1297" t="s">
        <v>46</v>
      </c>
      <c r="F1297" t="s">
        <v>31</v>
      </c>
      <c r="G1297" t="s">
        <v>56</v>
      </c>
      <c r="H1297" t="s">
        <v>57</v>
      </c>
      <c r="I1297">
        <v>1</v>
      </c>
      <c r="J1297">
        <v>1736.68</v>
      </c>
      <c r="K1297">
        <v>0</v>
      </c>
      <c r="L1297">
        <v>1736.68</v>
      </c>
      <c r="M1297" t="s">
        <v>76</v>
      </c>
      <c r="N1297" t="s">
        <v>49</v>
      </c>
      <c r="O1297" t="s">
        <v>65</v>
      </c>
      <c r="P1297" t="s">
        <v>102</v>
      </c>
    </row>
    <row r="1298" spans="1:16" x14ac:dyDescent="0.3">
      <c r="A1298" t="s">
        <v>1647</v>
      </c>
      <c r="B1298" s="1">
        <v>45426</v>
      </c>
      <c r="C1298" t="s">
        <v>445</v>
      </c>
      <c r="D1298" t="s">
        <v>105</v>
      </c>
      <c r="E1298" t="s">
        <v>106</v>
      </c>
      <c r="F1298" t="s">
        <v>40</v>
      </c>
      <c r="G1298" t="s">
        <v>56</v>
      </c>
      <c r="H1298" t="s">
        <v>101</v>
      </c>
      <c r="I1298">
        <v>3</v>
      </c>
      <c r="J1298">
        <v>6893.56</v>
      </c>
      <c r="K1298">
        <v>0.08</v>
      </c>
      <c r="L1298">
        <v>19026.23</v>
      </c>
      <c r="M1298" t="s">
        <v>48</v>
      </c>
      <c r="N1298" t="s">
        <v>24</v>
      </c>
      <c r="O1298" t="s">
        <v>65</v>
      </c>
      <c r="P1298" t="s">
        <v>50</v>
      </c>
    </row>
    <row r="1299" spans="1:16" x14ac:dyDescent="0.3">
      <c r="A1299" t="s">
        <v>1648</v>
      </c>
      <c r="B1299" s="1">
        <v>45299</v>
      </c>
      <c r="C1299" t="s">
        <v>78</v>
      </c>
      <c r="D1299" t="s">
        <v>79</v>
      </c>
      <c r="E1299" t="s">
        <v>80</v>
      </c>
      <c r="F1299" t="s">
        <v>31</v>
      </c>
      <c r="G1299" t="s">
        <v>81</v>
      </c>
      <c r="H1299" t="s">
        <v>135</v>
      </c>
      <c r="I1299">
        <v>3</v>
      </c>
      <c r="J1299">
        <v>12790.56</v>
      </c>
      <c r="K1299">
        <v>0.2</v>
      </c>
      <c r="L1299">
        <v>30697.34</v>
      </c>
      <c r="M1299" t="s">
        <v>76</v>
      </c>
      <c r="N1299" t="s">
        <v>49</v>
      </c>
      <c r="O1299" t="s">
        <v>65</v>
      </c>
      <c r="P1299" t="s">
        <v>59</v>
      </c>
    </row>
    <row r="1300" spans="1:16" x14ac:dyDescent="0.3">
      <c r="A1300" t="s">
        <v>1649</v>
      </c>
      <c r="B1300" s="1">
        <v>45655</v>
      </c>
      <c r="D1300" t="s">
        <v>18</v>
      </c>
      <c r="E1300" t="s">
        <v>19</v>
      </c>
      <c r="F1300" t="s">
        <v>20</v>
      </c>
      <c r="G1300" t="s">
        <v>56</v>
      </c>
      <c r="H1300" t="s">
        <v>101</v>
      </c>
      <c r="I1300">
        <v>5</v>
      </c>
      <c r="J1300">
        <v>885.92</v>
      </c>
      <c r="K1300">
        <v>0.03</v>
      </c>
      <c r="L1300">
        <v>4296.71</v>
      </c>
      <c r="M1300" t="s">
        <v>23</v>
      </c>
      <c r="N1300" t="s">
        <v>71</v>
      </c>
      <c r="O1300" t="s">
        <v>65</v>
      </c>
      <c r="P1300" t="s">
        <v>59</v>
      </c>
    </row>
    <row r="1301" spans="1:16" x14ac:dyDescent="0.3">
      <c r="A1301" t="s">
        <v>1650</v>
      </c>
      <c r="B1301" s="1">
        <v>45668</v>
      </c>
      <c r="C1301" t="s">
        <v>306</v>
      </c>
      <c r="D1301" t="s">
        <v>62</v>
      </c>
      <c r="E1301" t="s">
        <v>63</v>
      </c>
      <c r="F1301" t="s">
        <v>31</v>
      </c>
      <c r="G1301" t="s">
        <v>32</v>
      </c>
      <c r="H1301" t="s">
        <v>75</v>
      </c>
      <c r="I1301">
        <v>4</v>
      </c>
      <c r="J1301">
        <v>2770.4</v>
      </c>
      <c r="K1301">
        <v>0</v>
      </c>
      <c r="L1301">
        <v>11081.6</v>
      </c>
      <c r="M1301" t="s">
        <v>23</v>
      </c>
      <c r="N1301" t="s">
        <v>71</v>
      </c>
      <c r="O1301" t="s">
        <v>65</v>
      </c>
      <c r="P1301" t="s">
        <v>111</v>
      </c>
    </row>
    <row r="1302" spans="1:16" x14ac:dyDescent="0.3">
      <c r="A1302" t="s">
        <v>1651</v>
      </c>
      <c r="B1302" s="1">
        <v>46191</v>
      </c>
      <c r="C1302" t="s">
        <v>238</v>
      </c>
      <c r="D1302" t="s">
        <v>89</v>
      </c>
      <c r="E1302" t="s">
        <v>90</v>
      </c>
      <c r="F1302" t="s">
        <v>20</v>
      </c>
      <c r="G1302" t="s">
        <v>21</v>
      </c>
      <c r="H1302" t="s">
        <v>126</v>
      </c>
      <c r="I1302">
        <v>1</v>
      </c>
      <c r="J1302">
        <v>753.1</v>
      </c>
      <c r="K1302">
        <v>0.2</v>
      </c>
      <c r="L1302">
        <v>602.48</v>
      </c>
      <c r="M1302" t="s">
        <v>23</v>
      </c>
      <c r="N1302" t="s">
        <v>24</v>
      </c>
      <c r="O1302" t="s">
        <v>65</v>
      </c>
      <c r="P1302" t="s">
        <v>42</v>
      </c>
    </row>
    <row r="1303" spans="1:16" x14ac:dyDescent="0.3">
      <c r="A1303" t="s">
        <v>1652</v>
      </c>
      <c r="B1303" s="1">
        <v>46160</v>
      </c>
      <c r="C1303" t="s">
        <v>143</v>
      </c>
      <c r="D1303" t="s">
        <v>131</v>
      </c>
      <c r="E1303" t="s">
        <v>132</v>
      </c>
      <c r="F1303" t="s">
        <v>40</v>
      </c>
      <c r="G1303" t="s">
        <v>32</v>
      </c>
      <c r="H1303" t="s">
        <v>47</v>
      </c>
      <c r="I1303">
        <v>3</v>
      </c>
      <c r="J1303">
        <v>9578.18</v>
      </c>
      <c r="K1303">
        <v>0.1</v>
      </c>
      <c r="L1303">
        <v>25861.09</v>
      </c>
      <c r="M1303" t="s">
        <v>76</v>
      </c>
      <c r="N1303" t="s">
        <v>49</v>
      </c>
      <c r="O1303" t="s">
        <v>65</v>
      </c>
      <c r="P1303" t="s">
        <v>26</v>
      </c>
    </row>
    <row r="1304" spans="1:16" x14ac:dyDescent="0.3">
      <c r="A1304" t="s">
        <v>1653</v>
      </c>
      <c r="B1304" s="1">
        <v>45615</v>
      </c>
      <c r="C1304" t="s">
        <v>28</v>
      </c>
      <c r="D1304" t="s">
        <v>38</v>
      </c>
      <c r="E1304" t="s">
        <v>39</v>
      </c>
      <c r="F1304" t="s">
        <v>40</v>
      </c>
      <c r="G1304" t="s">
        <v>81</v>
      </c>
      <c r="H1304" t="s">
        <v>98</v>
      </c>
      <c r="I1304">
        <v>4</v>
      </c>
      <c r="J1304">
        <v>1571.77</v>
      </c>
      <c r="K1304">
        <v>0.1</v>
      </c>
      <c r="L1304">
        <v>5658.37</v>
      </c>
      <c r="M1304" t="s">
        <v>76</v>
      </c>
      <c r="N1304" t="s">
        <v>49</v>
      </c>
      <c r="O1304" t="s">
        <v>65</v>
      </c>
      <c r="P1304" t="s">
        <v>111</v>
      </c>
    </row>
    <row r="1305" spans="1:16" x14ac:dyDescent="0.3">
      <c r="A1305" t="s">
        <v>1654</v>
      </c>
      <c r="B1305" s="1">
        <v>45621</v>
      </c>
      <c r="C1305" t="s">
        <v>269</v>
      </c>
      <c r="D1305" t="s">
        <v>131</v>
      </c>
      <c r="E1305" t="s">
        <v>132</v>
      </c>
      <c r="F1305" t="s">
        <v>40</v>
      </c>
      <c r="G1305" t="s">
        <v>56</v>
      </c>
      <c r="H1305" t="s">
        <v>64</v>
      </c>
      <c r="I1305">
        <v>2</v>
      </c>
      <c r="J1305">
        <v>9373.1</v>
      </c>
      <c r="K1305">
        <v>0.15</v>
      </c>
      <c r="L1305">
        <v>15934.27</v>
      </c>
      <c r="M1305" t="s">
        <v>23</v>
      </c>
      <c r="N1305" t="s">
        <v>58</v>
      </c>
      <c r="O1305" t="s">
        <v>65</v>
      </c>
      <c r="P1305" t="s">
        <v>50</v>
      </c>
    </row>
    <row r="1306" spans="1:16" x14ac:dyDescent="0.3">
      <c r="A1306" t="s">
        <v>1655</v>
      </c>
      <c r="B1306" s="1">
        <v>45759</v>
      </c>
      <c r="C1306" t="s">
        <v>738</v>
      </c>
      <c r="D1306" t="s">
        <v>18</v>
      </c>
      <c r="E1306" t="s">
        <v>19</v>
      </c>
      <c r="F1306" t="s">
        <v>20</v>
      </c>
      <c r="G1306" t="s">
        <v>56</v>
      </c>
      <c r="H1306" t="s">
        <v>64</v>
      </c>
      <c r="I1306">
        <v>3</v>
      </c>
      <c r="J1306">
        <v>892.26</v>
      </c>
      <c r="K1306">
        <v>0</v>
      </c>
      <c r="L1306">
        <v>2676.78</v>
      </c>
      <c r="M1306" t="s">
        <v>23</v>
      </c>
      <c r="N1306" t="s">
        <v>34</v>
      </c>
      <c r="O1306" t="s">
        <v>65</v>
      </c>
      <c r="P1306" t="s">
        <v>116</v>
      </c>
    </row>
    <row r="1307" spans="1:16" x14ac:dyDescent="0.3">
      <c r="A1307" t="s">
        <v>1656</v>
      </c>
      <c r="B1307" s="1">
        <v>46046</v>
      </c>
      <c r="C1307" t="s">
        <v>137</v>
      </c>
      <c r="D1307" t="s">
        <v>18</v>
      </c>
      <c r="E1307" t="s">
        <v>19</v>
      </c>
      <c r="F1307" t="s">
        <v>20</v>
      </c>
      <c r="G1307" t="s">
        <v>21</v>
      </c>
      <c r="H1307" t="s">
        <v>41</v>
      </c>
      <c r="I1307">
        <v>2</v>
      </c>
      <c r="J1307">
        <v>895.99</v>
      </c>
      <c r="K1307">
        <v>0.15</v>
      </c>
      <c r="L1307">
        <v>1523.18</v>
      </c>
      <c r="M1307" t="s">
        <v>48</v>
      </c>
      <c r="N1307" t="s">
        <v>71</v>
      </c>
      <c r="O1307" t="s">
        <v>65</v>
      </c>
      <c r="P1307" t="s">
        <v>111</v>
      </c>
    </row>
    <row r="1308" spans="1:16" x14ac:dyDescent="0.3">
      <c r="A1308" t="s">
        <v>1657</v>
      </c>
      <c r="B1308" s="1">
        <v>45397</v>
      </c>
      <c r="C1308" t="s">
        <v>411</v>
      </c>
      <c r="D1308" t="s">
        <v>29</v>
      </c>
      <c r="E1308" t="s">
        <v>30</v>
      </c>
      <c r="F1308" t="s">
        <v>31</v>
      </c>
      <c r="G1308" t="s">
        <v>56</v>
      </c>
      <c r="H1308" t="s">
        <v>64</v>
      </c>
      <c r="I1308">
        <v>2</v>
      </c>
      <c r="J1308">
        <v>3150.95</v>
      </c>
      <c r="K1308">
        <v>0.08</v>
      </c>
      <c r="L1308">
        <v>5797.75</v>
      </c>
      <c r="M1308" t="s">
        <v>48</v>
      </c>
      <c r="N1308" t="s">
        <v>34</v>
      </c>
      <c r="O1308" t="s">
        <v>65</v>
      </c>
      <c r="P1308" t="s">
        <v>26</v>
      </c>
    </row>
    <row r="1309" spans="1:16" x14ac:dyDescent="0.3">
      <c r="A1309" t="s">
        <v>1658</v>
      </c>
      <c r="B1309" s="1">
        <v>45772</v>
      </c>
      <c r="C1309" t="s">
        <v>488</v>
      </c>
      <c r="D1309" t="s">
        <v>170</v>
      </c>
      <c r="E1309" t="s">
        <v>171</v>
      </c>
      <c r="F1309" t="s">
        <v>31</v>
      </c>
      <c r="G1309" t="s">
        <v>81</v>
      </c>
      <c r="H1309" t="s">
        <v>98</v>
      </c>
      <c r="I1309">
        <v>1</v>
      </c>
      <c r="J1309">
        <v>65589.279999999999</v>
      </c>
      <c r="K1309">
        <v>0.2</v>
      </c>
      <c r="L1309">
        <v>52471.42</v>
      </c>
      <c r="M1309" t="s">
        <v>48</v>
      </c>
      <c r="N1309" t="s">
        <v>71</v>
      </c>
      <c r="O1309" t="s">
        <v>25</v>
      </c>
      <c r="P1309" t="s">
        <v>111</v>
      </c>
    </row>
    <row r="1310" spans="1:16" x14ac:dyDescent="0.3">
      <c r="A1310" t="s">
        <v>1659</v>
      </c>
      <c r="B1310" s="1">
        <v>46015</v>
      </c>
      <c r="C1310" t="s">
        <v>327</v>
      </c>
      <c r="D1310" t="s">
        <v>45</v>
      </c>
      <c r="E1310" t="s">
        <v>46</v>
      </c>
      <c r="F1310" t="s">
        <v>31</v>
      </c>
      <c r="G1310" t="s">
        <v>32</v>
      </c>
      <c r="H1310" t="s">
        <v>33</v>
      </c>
      <c r="I1310">
        <v>3</v>
      </c>
      <c r="J1310">
        <v>1736.46</v>
      </c>
      <c r="K1310">
        <v>0.05</v>
      </c>
      <c r="L1310">
        <v>4948.91</v>
      </c>
      <c r="M1310" t="s">
        <v>76</v>
      </c>
      <c r="N1310" t="s">
        <v>49</v>
      </c>
      <c r="O1310" t="s">
        <v>65</v>
      </c>
      <c r="P1310" t="s">
        <v>50</v>
      </c>
    </row>
    <row r="1311" spans="1:16" x14ac:dyDescent="0.3">
      <c r="A1311" t="s">
        <v>1660</v>
      </c>
      <c r="B1311" s="1">
        <v>46155</v>
      </c>
      <c r="C1311" t="s">
        <v>1257</v>
      </c>
      <c r="D1311" t="s">
        <v>53</v>
      </c>
      <c r="E1311" t="s">
        <v>54</v>
      </c>
      <c r="F1311" t="s">
        <v>55</v>
      </c>
      <c r="G1311" t="s">
        <v>32</v>
      </c>
      <c r="H1311" t="s">
        <v>75</v>
      </c>
      <c r="I1311">
        <v>2</v>
      </c>
      <c r="J1311">
        <v>221.01</v>
      </c>
      <c r="K1311">
        <v>0.05</v>
      </c>
      <c r="L1311">
        <v>419.92</v>
      </c>
      <c r="M1311" t="s">
        <v>23</v>
      </c>
      <c r="N1311" t="s">
        <v>34</v>
      </c>
      <c r="O1311" t="s">
        <v>65</v>
      </c>
      <c r="P1311" t="s">
        <v>59</v>
      </c>
    </row>
    <row r="1312" spans="1:16" x14ac:dyDescent="0.3">
      <c r="A1312" t="s">
        <v>1661</v>
      </c>
      <c r="B1312" s="1">
        <v>45300</v>
      </c>
      <c r="C1312" t="s">
        <v>468</v>
      </c>
      <c r="D1312" t="s">
        <v>85</v>
      </c>
      <c r="E1312" t="s">
        <v>86</v>
      </c>
      <c r="F1312" t="s">
        <v>20</v>
      </c>
      <c r="G1312" t="s">
        <v>21</v>
      </c>
      <c r="H1312" t="s">
        <v>22</v>
      </c>
      <c r="I1312">
        <v>5</v>
      </c>
      <c r="J1312">
        <v>1814.54</v>
      </c>
      <c r="K1312">
        <v>0.03</v>
      </c>
      <c r="L1312">
        <v>8800.52</v>
      </c>
      <c r="M1312" t="s">
        <v>23</v>
      </c>
      <c r="N1312" t="s">
        <v>24</v>
      </c>
      <c r="O1312" t="s">
        <v>65</v>
      </c>
      <c r="P1312" t="s">
        <v>50</v>
      </c>
    </row>
    <row r="1313" spans="1:16" x14ac:dyDescent="0.3">
      <c r="A1313" t="s">
        <v>1662</v>
      </c>
      <c r="B1313" s="1">
        <v>45625</v>
      </c>
      <c r="C1313" t="s">
        <v>526</v>
      </c>
      <c r="D1313" t="s">
        <v>18</v>
      </c>
      <c r="E1313" t="s">
        <v>19</v>
      </c>
      <c r="F1313" t="s">
        <v>20</v>
      </c>
      <c r="G1313" t="s">
        <v>32</v>
      </c>
      <c r="H1313" t="s">
        <v>47</v>
      </c>
      <c r="I1313">
        <v>3</v>
      </c>
      <c r="J1313">
        <v>800.52</v>
      </c>
      <c r="K1313">
        <v>0.05</v>
      </c>
      <c r="L1313">
        <v>2281.48</v>
      </c>
      <c r="M1313" t="s">
        <v>23</v>
      </c>
      <c r="N1313" t="s">
        <v>34</v>
      </c>
      <c r="O1313" t="s">
        <v>65</v>
      </c>
      <c r="P1313" t="s">
        <v>26</v>
      </c>
    </row>
    <row r="1314" spans="1:16" x14ac:dyDescent="0.3">
      <c r="A1314" t="s">
        <v>1663</v>
      </c>
      <c r="B1314" s="1">
        <v>46159</v>
      </c>
      <c r="C1314" t="s">
        <v>946</v>
      </c>
      <c r="D1314" t="s">
        <v>18</v>
      </c>
      <c r="E1314" t="s">
        <v>19</v>
      </c>
      <c r="F1314" t="s">
        <v>20</v>
      </c>
      <c r="G1314" t="s">
        <v>21</v>
      </c>
      <c r="H1314" t="s">
        <v>41</v>
      </c>
      <c r="I1314">
        <v>2</v>
      </c>
      <c r="J1314">
        <v>787.17</v>
      </c>
      <c r="K1314">
        <v>0.1</v>
      </c>
      <c r="L1314">
        <v>1416.91</v>
      </c>
      <c r="M1314" t="s">
        <v>23</v>
      </c>
      <c r="N1314" t="s">
        <v>34</v>
      </c>
      <c r="O1314" t="s">
        <v>25</v>
      </c>
      <c r="P1314" t="s">
        <v>72</v>
      </c>
    </row>
    <row r="1315" spans="1:16" x14ac:dyDescent="0.3">
      <c r="A1315" t="s">
        <v>1664</v>
      </c>
      <c r="B1315" s="1">
        <v>45966</v>
      </c>
      <c r="C1315" t="s">
        <v>251</v>
      </c>
      <c r="D1315" t="s">
        <v>176</v>
      </c>
      <c r="E1315" t="s">
        <v>177</v>
      </c>
      <c r="F1315" t="s">
        <v>31</v>
      </c>
      <c r="G1315" t="s">
        <v>81</v>
      </c>
      <c r="H1315" t="s">
        <v>98</v>
      </c>
      <c r="I1315">
        <v>5</v>
      </c>
      <c r="J1315">
        <v>2358.02</v>
      </c>
      <c r="K1315">
        <v>0</v>
      </c>
      <c r="L1315">
        <v>11790.1</v>
      </c>
      <c r="M1315" t="s">
        <v>23</v>
      </c>
      <c r="N1315" t="s">
        <v>58</v>
      </c>
      <c r="O1315" t="s">
        <v>65</v>
      </c>
      <c r="P1315" t="s">
        <v>50</v>
      </c>
    </row>
    <row r="1316" spans="1:16" x14ac:dyDescent="0.3">
      <c r="A1316" t="s">
        <v>1665</v>
      </c>
      <c r="B1316" s="1">
        <v>45813</v>
      </c>
      <c r="C1316" t="s">
        <v>871</v>
      </c>
      <c r="D1316" t="s">
        <v>170</v>
      </c>
      <c r="E1316" t="s">
        <v>171</v>
      </c>
      <c r="F1316" t="s">
        <v>31</v>
      </c>
      <c r="G1316" t="s">
        <v>56</v>
      </c>
      <c r="H1316" t="s">
        <v>101</v>
      </c>
      <c r="I1316">
        <v>2</v>
      </c>
      <c r="J1316">
        <v>63355.79</v>
      </c>
      <c r="K1316">
        <v>0.2</v>
      </c>
      <c r="L1316">
        <v>101369.26</v>
      </c>
      <c r="M1316" t="s">
        <v>76</v>
      </c>
      <c r="N1316" t="s">
        <v>34</v>
      </c>
      <c r="O1316" t="s">
        <v>35</v>
      </c>
      <c r="P1316" t="s">
        <v>102</v>
      </c>
    </row>
    <row r="1317" spans="1:16" x14ac:dyDescent="0.3">
      <c r="A1317" t="s">
        <v>1666</v>
      </c>
      <c r="B1317" s="1">
        <v>45794</v>
      </c>
      <c r="C1317" t="s">
        <v>1498</v>
      </c>
      <c r="D1317" t="s">
        <v>62</v>
      </c>
      <c r="E1317" t="s">
        <v>63</v>
      </c>
      <c r="F1317" t="s">
        <v>31</v>
      </c>
      <c r="G1317" t="s">
        <v>21</v>
      </c>
      <c r="H1317" t="s">
        <v>126</v>
      </c>
      <c r="I1317">
        <v>4</v>
      </c>
      <c r="J1317">
        <v>2848.64</v>
      </c>
      <c r="K1317">
        <v>0.1</v>
      </c>
      <c r="L1317">
        <v>10255.1</v>
      </c>
      <c r="M1317" t="s">
        <v>23</v>
      </c>
      <c r="N1317" t="s">
        <v>49</v>
      </c>
      <c r="O1317" t="s">
        <v>65</v>
      </c>
      <c r="P1317" t="s">
        <v>26</v>
      </c>
    </row>
    <row r="1318" spans="1:16" x14ac:dyDescent="0.3">
      <c r="A1318" t="s">
        <v>1667</v>
      </c>
      <c r="B1318" s="1">
        <v>45494</v>
      </c>
      <c r="C1318" t="s">
        <v>208</v>
      </c>
      <c r="D1318" t="s">
        <v>18</v>
      </c>
      <c r="E1318" t="s">
        <v>19</v>
      </c>
      <c r="F1318" t="s">
        <v>20</v>
      </c>
      <c r="G1318" t="s">
        <v>32</v>
      </c>
      <c r="H1318" t="s">
        <v>33</v>
      </c>
      <c r="I1318">
        <v>1</v>
      </c>
      <c r="J1318">
        <v>882.23</v>
      </c>
      <c r="K1318">
        <v>0.05</v>
      </c>
      <c r="L1318">
        <v>838.12</v>
      </c>
      <c r="M1318" t="s">
        <v>23</v>
      </c>
      <c r="N1318" t="s">
        <v>34</v>
      </c>
      <c r="O1318" t="s">
        <v>25</v>
      </c>
      <c r="P1318" t="s">
        <v>102</v>
      </c>
    </row>
    <row r="1319" spans="1:16" x14ac:dyDescent="0.3">
      <c r="A1319" t="s">
        <v>1668</v>
      </c>
      <c r="B1319" s="1">
        <v>45569</v>
      </c>
      <c r="C1319" t="s">
        <v>365</v>
      </c>
      <c r="D1319" t="s">
        <v>121</v>
      </c>
      <c r="E1319" t="s">
        <v>122</v>
      </c>
      <c r="F1319" t="s">
        <v>55</v>
      </c>
      <c r="G1319" t="s">
        <v>81</v>
      </c>
      <c r="H1319" t="s">
        <v>87</v>
      </c>
      <c r="I1319">
        <v>5</v>
      </c>
      <c r="J1319">
        <v>431.79</v>
      </c>
      <c r="K1319">
        <v>0.2</v>
      </c>
      <c r="L1319">
        <v>1727.16</v>
      </c>
      <c r="M1319" t="s">
        <v>76</v>
      </c>
      <c r="N1319" t="s">
        <v>58</v>
      </c>
      <c r="O1319" t="s">
        <v>35</v>
      </c>
      <c r="P1319" t="s">
        <v>102</v>
      </c>
    </row>
    <row r="1320" spans="1:16" x14ac:dyDescent="0.3">
      <c r="A1320" t="s">
        <v>1669</v>
      </c>
      <c r="B1320" s="1">
        <v>46128</v>
      </c>
      <c r="C1320" t="s">
        <v>269</v>
      </c>
      <c r="D1320" t="s">
        <v>121</v>
      </c>
      <c r="E1320" t="s">
        <v>122</v>
      </c>
      <c r="F1320" t="s">
        <v>55</v>
      </c>
      <c r="G1320" t="s">
        <v>32</v>
      </c>
      <c r="H1320" t="s">
        <v>75</v>
      </c>
      <c r="I1320">
        <v>4</v>
      </c>
      <c r="J1320">
        <v>459.21</v>
      </c>
      <c r="K1320">
        <v>0.03</v>
      </c>
      <c r="L1320">
        <v>1781.73</v>
      </c>
      <c r="M1320" t="s">
        <v>48</v>
      </c>
      <c r="N1320" t="s">
        <v>34</v>
      </c>
      <c r="O1320" t="s">
        <v>35</v>
      </c>
      <c r="P1320" t="s">
        <v>116</v>
      </c>
    </row>
    <row r="1321" spans="1:16" x14ac:dyDescent="0.3">
      <c r="A1321" t="s">
        <v>1670</v>
      </c>
      <c r="B1321" s="1">
        <v>45656</v>
      </c>
      <c r="C1321" t="s">
        <v>70</v>
      </c>
      <c r="D1321" t="s">
        <v>121</v>
      </c>
      <c r="E1321" t="s">
        <v>122</v>
      </c>
      <c r="F1321" t="s">
        <v>55</v>
      </c>
      <c r="G1321" t="s">
        <v>32</v>
      </c>
      <c r="H1321" t="s">
        <v>33</v>
      </c>
      <c r="I1321">
        <v>2</v>
      </c>
      <c r="J1321">
        <v>415.63</v>
      </c>
      <c r="K1321">
        <v>0.08</v>
      </c>
      <c r="L1321">
        <v>764.76</v>
      </c>
      <c r="M1321" t="s">
        <v>23</v>
      </c>
      <c r="N1321" t="s">
        <v>49</v>
      </c>
      <c r="O1321" t="s">
        <v>65</v>
      </c>
      <c r="P1321" t="s">
        <v>50</v>
      </c>
    </row>
    <row r="1322" spans="1:16" x14ac:dyDescent="0.3">
      <c r="A1322" t="s">
        <v>1671</v>
      </c>
      <c r="B1322" s="1">
        <v>45706</v>
      </c>
      <c r="C1322" t="s">
        <v>184</v>
      </c>
      <c r="D1322" t="s">
        <v>85</v>
      </c>
      <c r="E1322" t="s">
        <v>86</v>
      </c>
      <c r="F1322" t="s">
        <v>20</v>
      </c>
      <c r="G1322" t="s">
        <v>81</v>
      </c>
      <c r="H1322" t="s">
        <v>82</v>
      </c>
      <c r="I1322">
        <v>2</v>
      </c>
      <c r="J1322">
        <v>1656.54</v>
      </c>
      <c r="K1322">
        <v>0.05</v>
      </c>
      <c r="L1322">
        <v>3147.43</v>
      </c>
      <c r="M1322" t="s">
        <v>48</v>
      </c>
      <c r="N1322" t="s">
        <v>24</v>
      </c>
      <c r="O1322" t="s">
        <v>65</v>
      </c>
      <c r="P1322" t="s">
        <v>59</v>
      </c>
    </row>
    <row r="1323" spans="1:16" x14ac:dyDescent="0.3">
      <c r="A1323" t="s">
        <v>1672</v>
      </c>
      <c r="B1323" s="1">
        <v>45419</v>
      </c>
      <c r="C1323" t="s">
        <v>304</v>
      </c>
      <c r="D1323" t="s">
        <v>79</v>
      </c>
      <c r="E1323" t="s">
        <v>80</v>
      </c>
      <c r="F1323" t="s">
        <v>31</v>
      </c>
      <c r="G1323" t="s">
        <v>56</v>
      </c>
      <c r="H1323" t="s">
        <v>101</v>
      </c>
      <c r="I1323">
        <v>3</v>
      </c>
      <c r="J1323">
        <v>12774.81</v>
      </c>
      <c r="K1323">
        <v>0.08</v>
      </c>
      <c r="L1323">
        <v>35258.480000000003</v>
      </c>
      <c r="M1323" t="s">
        <v>76</v>
      </c>
      <c r="N1323" t="s">
        <v>71</v>
      </c>
      <c r="O1323" t="s">
        <v>65</v>
      </c>
      <c r="P1323" t="s">
        <v>111</v>
      </c>
    </row>
    <row r="1324" spans="1:16" x14ac:dyDescent="0.3">
      <c r="A1324" t="s">
        <v>1673</v>
      </c>
      <c r="B1324" s="1">
        <v>45617</v>
      </c>
      <c r="C1324" t="s">
        <v>141</v>
      </c>
      <c r="D1324" t="s">
        <v>121</v>
      </c>
      <c r="E1324" t="s">
        <v>122</v>
      </c>
      <c r="F1324" t="s">
        <v>55</v>
      </c>
      <c r="G1324" t="s">
        <v>81</v>
      </c>
      <c r="H1324" t="s">
        <v>135</v>
      </c>
      <c r="I1324">
        <v>1</v>
      </c>
      <c r="J1324">
        <v>461.53</v>
      </c>
      <c r="K1324">
        <v>0.05</v>
      </c>
      <c r="L1324">
        <v>438.45</v>
      </c>
      <c r="M1324" t="s">
        <v>76</v>
      </c>
      <c r="N1324" t="s">
        <v>49</v>
      </c>
      <c r="O1324" t="s">
        <v>65</v>
      </c>
      <c r="P1324" t="s">
        <v>72</v>
      </c>
    </row>
    <row r="1325" spans="1:16" x14ac:dyDescent="0.3">
      <c r="A1325" t="s">
        <v>1674</v>
      </c>
      <c r="B1325" s="1">
        <v>45666</v>
      </c>
      <c r="C1325" t="s">
        <v>325</v>
      </c>
      <c r="D1325" t="s">
        <v>38</v>
      </c>
      <c r="E1325" t="s">
        <v>39</v>
      </c>
      <c r="F1325" t="s">
        <v>40</v>
      </c>
      <c r="G1325" t="s">
        <v>21</v>
      </c>
      <c r="H1325" t="s">
        <v>41</v>
      </c>
      <c r="I1325">
        <v>4</v>
      </c>
      <c r="J1325">
        <v>1548.53</v>
      </c>
      <c r="K1325">
        <v>0</v>
      </c>
      <c r="L1325">
        <v>6194.12</v>
      </c>
      <c r="M1325" t="s">
        <v>76</v>
      </c>
      <c r="N1325" t="s">
        <v>49</v>
      </c>
      <c r="O1325" t="s">
        <v>65</v>
      </c>
      <c r="P1325" t="s">
        <v>59</v>
      </c>
    </row>
    <row r="1326" spans="1:16" x14ac:dyDescent="0.3">
      <c r="A1326" t="s">
        <v>1675</v>
      </c>
      <c r="B1326" s="1">
        <v>46173</v>
      </c>
      <c r="C1326" t="s">
        <v>949</v>
      </c>
      <c r="D1326" t="s">
        <v>79</v>
      </c>
      <c r="E1326" t="s">
        <v>80</v>
      </c>
      <c r="F1326" t="s">
        <v>31</v>
      </c>
      <c r="G1326" t="s">
        <v>81</v>
      </c>
      <c r="H1326" t="s">
        <v>87</v>
      </c>
      <c r="I1326">
        <v>4</v>
      </c>
      <c r="J1326">
        <v>11824.74</v>
      </c>
      <c r="K1326">
        <v>0.1</v>
      </c>
      <c r="L1326">
        <v>42569.06</v>
      </c>
      <c r="M1326" t="s">
        <v>23</v>
      </c>
      <c r="N1326" t="s">
        <v>71</v>
      </c>
      <c r="O1326" t="s">
        <v>35</v>
      </c>
      <c r="P1326" t="s">
        <v>26</v>
      </c>
    </row>
    <row r="1327" spans="1:16" x14ac:dyDescent="0.3">
      <c r="A1327" t="s">
        <v>1676</v>
      </c>
      <c r="B1327" s="1">
        <v>45878</v>
      </c>
      <c r="C1327" t="s">
        <v>480</v>
      </c>
      <c r="D1327" t="s">
        <v>38</v>
      </c>
      <c r="E1327" t="s">
        <v>39</v>
      </c>
      <c r="F1327" t="s">
        <v>40</v>
      </c>
      <c r="G1327" t="s">
        <v>81</v>
      </c>
      <c r="H1327" t="s">
        <v>82</v>
      </c>
      <c r="I1327">
        <v>4</v>
      </c>
      <c r="J1327">
        <v>1634.26</v>
      </c>
      <c r="K1327">
        <v>0</v>
      </c>
      <c r="L1327">
        <v>6537.04</v>
      </c>
      <c r="M1327" t="s">
        <v>76</v>
      </c>
      <c r="N1327" t="s">
        <v>49</v>
      </c>
      <c r="O1327" t="s">
        <v>25</v>
      </c>
      <c r="P1327" t="s">
        <v>50</v>
      </c>
    </row>
    <row r="1328" spans="1:16" x14ac:dyDescent="0.3">
      <c r="A1328" t="s">
        <v>1677</v>
      </c>
      <c r="B1328" s="1">
        <v>46087</v>
      </c>
      <c r="C1328" t="s">
        <v>1678</v>
      </c>
      <c r="D1328" t="s">
        <v>29</v>
      </c>
      <c r="E1328" t="s">
        <v>30</v>
      </c>
      <c r="F1328" t="s">
        <v>31</v>
      </c>
      <c r="G1328" t="s">
        <v>81</v>
      </c>
      <c r="H1328" t="s">
        <v>82</v>
      </c>
      <c r="I1328">
        <v>5</v>
      </c>
      <c r="J1328">
        <v>3044.42</v>
      </c>
      <c r="K1328">
        <v>0.03</v>
      </c>
      <c r="L1328">
        <v>14765.44</v>
      </c>
      <c r="M1328" t="s">
        <v>48</v>
      </c>
      <c r="N1328" t="s">
        <v>49</v>
      </c>
      <c r="O1328" t="s">
        <v>65</v>
      </c>
      <c r="P1328" t="s">
        <v>111</v>
      </c>
    </row>
    <row r="1329" spans="1:16" x14ac:dyDescent="0.3">
      <c r="A1329" t="s">
        <v>1679</v>
      </c>
      <c r="B1329" s="1">
        <v>45336</v>
      </c>
      <c r="C1329" t="s">
        <v>362</v>
      </c>
      <c r="D1329" t="s">
        <v>38</v>
      </c>
      <c r="E1329" t="s">
        <v>39</v>
      </c>
      <c r="F1329" t="s">
        <v>40</v>
      </c>
      <c r="G1329" t="s">
        <v>56</v>
      </c>
      <c r="H1329" t="s">
        <v>57</v>
      </c>
      <c r="I1329">
        <v>4</v>
      </c>
      <c r="J1329">
        <v>1577.25</v>
      </c>
      <c r="K1329">
        <v>0.2</v>
      </c>
      <c r="L1329">
        <v>5047.2</v>
      </c>
      <c r="M1329" t="s">
        <v>23</v>
      </c>
      <c r="N1329" t="s">
        <v>24</v>
      </c>
      <c r="O1329" t="s">
        <v>65</v>
      </c>
      <c r="P1329" t="s">
        <v>116</v>
      </c>
    </row>
    <row r="1330" spans="1:16" x14ac:dyDescent="0.3">
      <c r="A1330" t="s">
        <v>1680</v>
      </c>
      <c r="B1330" s="1">
        <v>45637</v>
      </c>
      <c r="C1330" t="s">
        <v>350</v>
      </c>
      <c r="D1330" t="s">
        <v>170</v>
      </c>
      <c r="E1330" t="s">
        <v>171</v>
      </c>
      <c r="F1330" t="s">
        <v>31</v>
      </c>
      <c r="G1330" t="s">
        <v>32</v>
      </c>
      <c r="H1330" t="s">
        <v>75</v>
      </c>
      <c r="I1330">
        <v>4</v>
      </c>
      <c r="J1330">
        <v>64778.98</v>
      </c>
      <c r="K1330">
        <v>0.08</v>
      </c>
      <c r="L1330">
        <v>238386.65</v>
      </c>
      <c r="M1330" t="s">
        <v>23</v>
      </c>
      <c r="N1330" t="s">
        <v>49</v>
      </c>
      <c r="O1330" t="s">
        <v>65</v>
      </c>
      <c r="P1330" t="s">
        <v>72</v>
      </c>
    </row>
    <row r="1331" spans="1:16" x14ac:dyDescent="0.3">
      <c r="A1331" t="s">
        <v>1681</v>
      </c>
      <c r="B1331" s="1">
        <v>45781</v>
      </c>
      <c r="C1331" t="s">
        <v>643</v>
      </c>
      <c r="D1331" t="s">
        <v>45</v>
      </c>
      <c r="E1331" t="s">
        <v>46</v>
      </c>
      <c r="F1331" t="s">
        <v>31</v>
      </c>
      <c r="G1331" t="s">
        <v>81</v>
      </c>
      <c r="H1331" t="s">
        <v>98</v>
      </c>
      <c r="I1331">
        <v>1</v>
      </c>
      <c r="J1331">
        <v>1941.01</v>
      </c>
      <c r="K1331">
        <v>0.03</v>
      </c>
      <c r="L1331">
        <v>1882.78</v>
      </c>
      <c r="M1331" t="s">
        <v>23</v>
      </c>
      <c r="N1331" t="s">
        <v>58</v>
      </c>
      <c r="O1331" t="s">
        <v>65</v>
      </c>
      <c r="P1331" t="s">
        <v>42</v>
      </c>
    </row>
    <row r="1332" spans="1:16" x14ac:dyDescent="0.3">
      <c r="A1332" t="s">
        <v>1682</v>
      </c>
      <c r="B1332" s="1">
        <v>46175</v>
      </c>
      <c r="C1332" t="s">
        <v>355</v>
      </c>
      <c r="D1332" t="s">
        <v>105</v>
      </c>
      <c r="E1332" t="s">
        <v>106</v>
      </c>
      <c r="F1332" t="s">
        <v>40</v>
      </c>
      <c r="G1332" t="s">
        <v>21</v>
      </c>
      <c r="H1332" t="s">
        <v>22</v>
      </c>
      <c r="I1332">
        <v>4</v>
      </c>
      <c r="J1332">
        <v>7154.23</v>
      </c>
      <c r="K1332">
        <v>0</v>
      </c>
      <c r="L1332">
        <v>28616.92</v>
      </c>
      <c r="M1332" t="s">
        <v>76</v>
      </c>
      <c r="N1332" t="s">
        <v>58</v>
      </c>
      <c r="O1332" t="s">
        <v>65</v>
      </c>
      <c r="P1332" t="s">
        <v>116</v>
      </c>
    </row>
    <row r="1333" spans="1:16" x14ac:dyDescent="0.3">
      <c r="A1333" t="s">
        <v>1683</v>
      </c>
      <c r="B1333" s="1">
        <v>46157</v>
      </c>
      <c r="C1333" t="s">
        <v>128</v>
      </c>
      <c r="D1333" t="s">
        <v>38</v>
      </c>
      <c r="E1333" t="s">
        <v>39</v>
      </c>
      <c r="F1333" t="s">
        <v>40</v>
      </c>
      <c r="G1333" t="s">
        <v>32</v>
      </c>
      <c r="H1333" t="s">
        <v>68</v>
      </c>
      <c r="I1333">
        <v>3</v>
      </c>
      <c r="J1333">
        <v>1560.02</v>
      </c>
      <c r="K1333">
        <v>0</v>
      </c>
      <c r="L1333">
        <v>4680.0600000000004</v>
      </c>
      <c r="M1333" t="s">
        <v>23</v>
      </c>
      <c r="N1333" t="s">
        <v>71</v>
      </c>
      <c r="O1333" t="s">
        <v>65</v>
      </c>
      <c r="P1333" t="s">
        <v>59</v>
      </c>
    </row>
    <row r="1334" spans="1:16" x14ac:dyDescent="0.3">
      <c r="A1334" t="s">
        <v>1684</v>
      </c>
      <c r="B1334" s="1">
        <v>45326</v>
      </c>
      <c r="C1334" t="s">
        <v>216</v>
      </c>
      <c r="D1334" t="s">
        <v>85</v>
      </c>
      <c r="E1334" t="s">
        <v>86</v>
      </c>
      <c r="F1334" t="s">
        <v>20</v>
      </c>
      <c r="G1334" t="s">
        <v>32</v>
      </c>
      <c r="H1334" t="s">
        <v>47</v>
      </c>
      <c r="I1334">
        <v>3</v>
      </c>
      <c r="J1334">
        <v>1736.24</v>
      </c>
      <c r="K1334">
        <v>0.05</v>
      </c>
      <c r="L1334">
        <v>4948.28</v>
      </c>
      <c r="M1334" t="s">
        <v>48</v>
      </c>
      <c r="N1334" t="s">
        <v>58</v>
      </c>
      <c r="O1334" t="s">
        <v>25</v>
      </c>
      <c r="P1334" t="s">
        <v>111</v>
      </c>
    </row>
    <row r="1335" spans="1:16" x14ac:dyDescent="0.3">
      <c r="A1335" t="s">
        <v>1685</v>
      </c>
      <c r="B1335" s="1">
        <v>45361</v>
      </c>
      <c r="C1335" t="s">
        <v>293</v>
      </c>
      <c r="D1335" t="s">
        <v>53</v>
      </c>
      <c r="E1335" t="s">
        <v>54</v>
      </c>
      <c r="F1335" t="s">
        <v>55</v>
      </c>
      <c r="G1335" t="s">
        <v>21</v>
      </c>
      <c r="H1335" t="s">
        <v>126</v>
      </c>
      <c r="I1335">
        <v>3</v>
      </c>
      <c r="J1335">
        <v>226.65</v>
      </c>
      <c r="K1335">
        <v>0.08</v>
      </c>
      <c r="L1335">
        <v>625.54999999999995</v>
      </c>
      <c r="M1335" t="s">
        <v>23</v>
      </c>
      <c r="N1335" t="s">
        <v>34</v>
      </c>
      <c r="O1335" t="s">
        <v>65</v>
      </c>
      <c r="P1335" t="s">
        <v>72</v>
      </c>
    </row>
    <row r="1336" spans="1:16" x14ac:dyDescent="0.3">
      <c r="A1336" t="s">
        <v>1686</v>
      </c>
      <c r="B1336" s="1">
        <v>45326</v>
      </c>
      <c r="D1336" t="s">
        <v>105</v>
      </c>
      <c r="E1336" t="s">
        <v>106</v>
      </c>
      <c r="F1336" t="s">
        <v>40</v>
      </c>
      <c r="G1336" t="s">
        <v>21</v>
      </c>
      <c r="H1336" t="s">
        <v>93</v>
      </c>
      <c r="I1336">
        <v>5</v>
      </c>
      <c r="J1336">
        <v>6770.69</v>
      </c>
      <c r="K1336">
        <v>0.08</v>
      </c>
      <c r="L1336">
        <v>31145.17</v>
      </c>
      <c r="M1336" t="s">
        <v>48</v>
      </c>
      <c r="N1336" t="s">
        <v>71</v>
      </c>
      <c r="O1336" t="s">
        <v>35</v>
      </c>
      <c r="P1336" t="s">
        <v>50</v>
      </c>
    </row>
    <row r="1337" spans="1:16" x14ac:dyDescent="0.3">
      <c r="A1337" t="s">
        <v>1687</v>
      </c>
      <c r="B1337" s="1">
        <v>45905</v>
      </c>
      <c r="C1337" t="s">
        <v>100</v>
      </c>
      <c r="D1337" t="s">
        <v>38</v>
      </c>
      <c r="E1337" t="s">
        <v>39</v>
      </c>
      <c r="F1337" t="s">
        <v>40</v>
      </c>
      <c r="G1337" t="s">
        <v>32</v>
      </c>
      <c r="H1337" t="s">
        <v>75</v>
      </c>
      <c r="I1337">
        <v>4</v>
      </c>
      <c r="J1337">
        <v>1506.76</v>
      </c>
      <c r="K1337">
        <v>0.1</v>
      </c>
      <c r="L1337">
        <v>5424.34</v>
      </c>
      <c r="M1337" t="s">
        <v>76</v>
      </c>
      <c r="N1337" t="s">
        <v>49</v>
      </c>
      <c r="O1337" t="s">
        <v>65</v>
      </c>
      <c r="P1337" t="s">
        <v>111</v>
      </c>
    </row>
    <row r="1338" spans="1:16" x14ac:dyDescent="0.3">
      <c r="A1338" t="s">
        <v>1688</v>
      </c>
      <c r="B1338" s="1">
        <v>45701</v>
      </c>
      <c r="C1338" t="s">
        <v>483</v>
      </c>
      <c r="D1338" t="s">
        <v>79</v>
      </c>
      <c r="E1338" t="s">
        <v>80</v>
      </c>
      <c r="F1338" t="s">
        <v>31</v>
      </c>
      <c r="G1338" t="s">
        <v>21</v>
      </c>
      <c r="H1338" t="s">
        <v>22</v>
      </c>
      <c r="I1338">
        <v>1</v>
      </c>
      <c r="J1338">
        <v>12013.1</v>
      </c>
      <c r="K1338">
        <v>0.05</v>
      </c>
      <c r="L1338">
        <v>11412.44</v>
      </c>
      <c r="M1338" t="s">
        <v>23</v>
      </c>
      <c r="N1338" t="s">
        <v>71</v>
      </c>
      <c r="O1338" t="s">
        <v>35</v>
      </c>
      <c r="P1338" t="s">
        <v>111</v>
      </c>
    </row>
    <row r="1339" spans="1:16" x14ac:dyDescent="0.3">
      <c r="A1339" t="s">
        <v>1689</v>
      </c>
      <c r="B1339" s="1">
        <v>45753</v>
      </c>
      <c r="D1339" t="s">
        <v>85</v>
      </c>
      <c r="E1339" t="s">
        <v>86</v>
      </c>
      <c r="F1339" t="s">
        <v>20</v>
      </c>
      <c r="G1339" t="s">
        <v>56</v>
      </c>
      <c r="H1339" t="s">
        <v>57</v>
      </c>
      <c r="I1339">
        <v>1</v>
      </c>
      <c r="J1339">
        <v>1666.17</v>
      </c>
      <c r="K1339">
        <v>0</v>
      </c>
      <c r="L1339">
        <v>1666.17</v>
      </c>
      <c r="M1339" t="s">
        <v>76</v>
      </c>
      <c r="N1339" t="s">
        <v>24</v>
      </c>
      <c r="O1339" t="s">
        <v>65</v>
      </c>
      <c r="P1339" t="s">
        <v>50</v>
      </c>
    </row>
    <row r="1340" spans="1:16" x14ac:dyDescent="0.3">
      <c r="A1340" t="s">
        <v>1690</v>
      </c>
      <c r="B1340" s="1">
        <v>45717</v>
      </c>
      <c r="C1340" t="s">
        <v>277</v>
      </c>
      <c r="D1340" t="s">
        <v>105</v>
      </c>
      <c r="E1340" t="s">
        <v>106</v>
      </c>
      <c r="F1340" t="s">
        <v>40</v>
      </c>
      <c r="G1340" t="s">
        <v>21</v>
      </c>
      <c r="H1340" t="s">
        <v>22</v>
      </c>
      <c r="I1340">
        <v>1</v>
      </c>
      <c r="J1340">
        <v>6942.31</v>
      </c>
      <c r="K1340">
        <v>0.03</v>
      </c>
      <c r="L1340">
        <v>6734.04</v>
      </c>
      <c r="M1340" t="s">
        <v>76</v>
      </c>
      <c r="N1340" t="s">
        <v>24</v>
      </c>
      <c r="O1340" t="s">
        <v>65</v>
      </c>
      <c r="P1340" t="s">
        <v>26</v>
      </c>
    </row>
    <row r="1341" spans="1:16" x14ac:dyDescent="0.3">
      <c r="A1341" t="s">
        <v>1691</v>
      </c>
      <c r="B1341" s="1">
        <v>45605</v>
      </c>
      <c r="C1341" t="s">
        <v>640</v>
      </c>
      <c r="D1341" t="s">
        <v>105</v>
      </c>
      <c r="E1341" t="s">
        <v>106</v>
      </c>
      <c r="F1341" t="s">
        <v>40</v>
      </c>
      <c r="G1341" t="s">
        <v>56</v>
      </c>
      <c r="H1341" t="s">
        <v>64</v>
      </c>
      <c r="I1341">
        <v>1</v>
      </c>
      <c r="J1341">
        <v>6772.18</v>
      </c>
      <c r="K1341">
        <v>0.05</v>
      </c>
      <c r="L1341">
        <v>6433.57</v>
      </c>
      <c r="M1341" t="s">
        <v>76</v>
      </c>
      <c r="N1341" t="s">
        <v>71</v>
      </c>
      <c r="O1341" t="s">
        <v>65</v>
      </c>
      <c r="P1341" t="s">
        <v>42</v>
      </c>
    </row>
    <row r="1342" spans="1:16" x14ac:dyDescent="0.3">
      <c r="A1342" t="s">
        <v>1692</v>
      </c>
      <c r="B1342" s="1">
        <v>45852</v>
      </c>
      <c r="C1342" t="s">
        <v>511</v>
      </c>
      <c r="D1342" t="s">
        <v>29</v>
      </c>
      <c r="E1342" t="s">
        <v>30</v>
      </c>
      <c r="F1342" t="s">
        <v>31</v>
      </c>
      <c r="G1342" t="s">
        <v>56</v>
      </c>
      <c r="H1342" t="s">
        <v>123</v>
      </c>
      <c r="I1342">
        <v>1</v>
      </c>
      <c r="J1342">
        <v>3310.43</v>
      </c>
      <c r="K1342">
        <v>0.05</v>
      </c>
      <c r="L1342">
        <v>3144.91</v>
      </c>
      <c r="M1342" t="s">
        <v>23</v>
      </c>
      <c r="N1342" t="s">
        <v>49</v>
      </c>
      <c r="O1342" t="s">
        <v>65</v>
      </c>
      <c r="P1342" t="s">
        <v>42</v>
      </c>
    </row>
    <row r="1343" spans="1:16" x14ac:dyDescent="0.3">
      <c r="A1343" t="s">
        <v>1693</v>
      </c>
      <c r="B1343" s="1">
        <v>45469</v>
      </c>
      <c r="C1343" t="s">
        <v>218</v>
      </c>
      <c r="D1343" t="s">
        <v>85</v>
      </c>
      <c r="E1343" t="s">
        <v>86</v>
      </c>
      <c r="F1343" t="s">
        <v>20</v>
      </c>
      <c r="G1343" t="s">
        <v>81</v>
      </c>
      <c r="H1343" t="s">
        <v>135</v>
      </c>
      <c r="I1343">
        <v>1</v>
      </c>
      <c r="J1343">
        <v>1667.41</v>
      </c>
      <c r="K1343">
        <v>0.08</v>
      </c>
      <c r="L1343">
        <v>1534.02</v>
      </c>
      <c r="M1343" t="s">
        <v>23</v>
      </c>
      <c r="N1343" t="s">
        <v>24</v>
      </c>
      <c r="O1343" t="s">
        <v>25</v>
      </c>
      <c r="P1343" t="s">
        <v>26</v>
      </c>
    </row>
    <row r="1344" spans="1:16" x14ac:dyDescent="0.3">
      <c r="A1344" t="s">
        <v>1694</v>
      </c>
      <c r="B1344" s="1">
        <v>45559</v>
      </c>
      <c r="C1344" t="s">
        <v>1206</v>
      </c>
      <c r="D1344" t="s">
        <v>18</v>
      </c>
      <c r="E1344" t="s">
        <v>19</v>
      </c>
      <c r="F1344" t="s">
        <v>20</v>
      </c>
      <c r="G1344" t="s">
        <v>21</v>
      </c>
      <c r="H1344" t="s">
        <v>126</v>
      </c>
      <c r="I1344">
        <v>3</v>
      </c>
      <c r="J1344">
        <v>916.67</v>
      </c>
      <c r="K1344">
        <v>0.08</v>
      </c>
      <c r="L1344">
        <v>2530.0100000000002</v>
      </c>
      <c r="M1344" t="s">
        <v>76</v>
      </c>
      <c r="N1344" t="s">
        <v>71</v>
      </c>
      <c r="O1344" t="s">
        <v>65</v>
      </c>
      <c r="P1344" t="s">
        <v>102</v>
      </c>
    </row>
    <row r="1345" spans="1:16" x14ac:dyDescent="0.3">
      <c r="A1345" t="s">
        <v>1695</v>
      </c>
      <c r="B1345" s="1">
        <v>45623</v>
      </c>
      <c r="C1345" t="s">
        <v>251</v>
      </c>
      <c r="D1345" t="s">
        <v>96</v>
      </c>
      <c r="E1345" t="s">
        <v>97</v>
      </c>
      <c r="F1345" t="s">
        <v>31</v>
      </c>
      <c r="G1345" t="s">
        <v>81</v>
      </c>
      <c r="H1345" t="s">
        <v>87</v>
      </c>
      <c r="I1345">
        <v>1</v>
      </c>
      <c r="J1345">
        <v>1176.6500000000001</v>
      </c>
      <c r="K1345">
        <v>0.08</v>
      </c>
      <c r="L1345">
        <v>1082.52</v>
      </c>
      <c r="M1345" t="s">
        <v>48</v>
      </c>
      <c r="N1345" t="s">
        <v>49</v>
      </c>
      <c r="O1345" t="s">
        <v>65</v>
      </c>
      <c r="P1345" t="s">
        <v>42</v>
      </c>
    </row>
    <row r="1346" spans="1:16" x14ac:dyDescent="0.3">
      <c r="A1346" t="s">
        <v>1696</v>
      </c>
      <c r="B1346" s="1">
        <v>45979</v>
      </c>
      <c r="C1346" t="s">
        <v>511</v>
      </c>
      <c r="D1346" t="s">
        <v>85</v>
      </c>
      <c r="E1346" t="s">
        <v>86</v>
      </c>
      <c r="F1346" t="s">
        <v>20</v>
      </c>
      <c r="G1346" t="s">
        <v>32</v>
      </c>
      <c r="H1346" t="s">
        <v>33</v>
      </c>
      <c r="I1346">
        <v>2</v>
      </c>
      <c r="J1346">
        <v>1840.19</v>
      </c>
      <c r="K1346">
        <v>0</v>
      </c>
      <c r="L1346">
        <v>3680.38</v>
      </c>
      <c r="M1346" t="s">
        <v>23</v>
      </c>
      <c r="N1346" t="s">
        <v>49</v>
      </c>
      <c r="O1346" t="s">
        <v>65</v>
      </c>
      <c r="P1346" t="s">
        <v>26</v>
      </c>
    </row>
    <row r="1347" spans="1:16" x14ac:dyDescent="0.3">
      <c r="A1347" t="s">
        <v>1697</v>
      </c>
      <c r="B1347" s="1">
        <v>45447</v>
      </c>
      <c r="C1347" t="s">
        <v>373</v>
      </c>
      <c r="D1347" t="s">
        <v>29</v>
      </c>
      <c r="E1347" t="s">
        <v>30</v>
      </c>
      <c r="F1347" t="s">
        <v>31</v>
      </c>
      <c r="G1347" t="s">
        <v>21</v>
      </c>
      <c r="H1347" t="s">
        <v>126</v>
      </c>
      <c r="I1347">
        <v>5</v>
      </c>
      <c r="J1347">
        <v>3149.56</v>
      </c>
      <c r="K1347">
        <v>0.08</v>
      </c>
      <c r="L1347">
        <v>14487.98</v>
      </c>
      <c r="M1347" t="s">
        <v>48</v>
      </c>
      <c r="N1347" t="s">
        <v>34</v>
      </c>
      <c r="O1347" t="s">
        <v>65</v>
      </c>
      <c r="P1347" t="s">
        <v>111</v>
      </c>
    </row>
    <row r="1348" spans="1:16" x14ac:dyDescent="0.3">
      <c r="A1348" t="s">
        <v>1698</v>
      </c>
      <c r="B1348" s="1">
        <v>46014</v>
      </c>
      <c r="C1348" t="s">
        <v>554</v>
      </c>
      <c r="D1348" t="s">
        <v>85</v>
      </c>
      <c r="E1348" t="s">
        <v>86</v>
      </c>
      <c r="F1348" t="s">
        <v>20</v>
      </c>
      <c r="G1348" t="s">
        <v>21</v>
      </c>
      <c r="H1348" t="s">
        <v>22</v>
      </c>
      <c r="I1348">
        <v>4</v>
      </c>
      <c r="J1348">
        <v>1883.24</v>
      </c>
      <c r="K1348">
        <v>0.08</v>
      </c>
      <c r="L1348">
        <v>6930.32</v>
      </c>
      <c r="M1348" t="s">
        <v>48</v>
      </c>
      <c r="N1348" t="s">
        <v>58</v>
      </c>
      <c r="O1348" t="s">
        <v>65</v>
      </c>
      <c r="P1348" t="s">
        <v>102</v>
      </c>
    </row>
    <row r="1349" spans="1:16" x14ac:dyDescent="0.3">
      <c r="A1349" t="s">
        <v>1699</v>
      </c>
      <c r="B1349" s="1">
        <v>45509</v>
      </c>
      <c r="C1349" t="s">
        <v>643</v>
      </c>
      <c r="D1349" t="s">
        <v>79</v>
      </c>
      <c r="E1349" t="s">
        <v>80</v>
      </c>
      <c r="F1349" t="s">
        <v>31</v>
      </c>
      <c r="G1349" t="s">
        <v>56</v>
      </c>
      <c r="H1349" t="s">
        <v>64</v>
      </c>
      <c r="I1349">
        <v>3</v>
      </c>
      <c r="J1349">
        <v>12285.07</v>
      </c>
      <c r="K1349">
        <v>0.03</v>
      </c>
      <c r="L1349">
        <v>35749.550000000003</v>
      </c>
      <c r="M1349" t="s">
        <v>48</v>
      </c>
      <c r="N1349" t="s">
        <v>24</v>
      </c>
      <c r="O1349" t="s">
        <v>65</v>
      </c>
      <c r="P1349" t="s">
        <v>72</v>
      </c>
    </row>
    <row r="1350" spans="1:16" x14ac:dyDescent="0.3">
      <c r="A1350" t="s">
        <v>1700</v>
      </c>
      <c r="B1350" s="1">
        <v>46034</v>
      </c>
      <c r="D1350" t="s">
        <v>131</v>
      </c>
      <c r="E1350" t="s">
        <v>132</v>
      </c>
      <c r="F1350" t="s">
        <v>40</v>
      </c>
      <c r="G1350" t="s">
        <v>81</v>
      </c>
      <c r="H1350" t="s">
        <v>98</v>
      </c>
      <c r="I1350">
        <v>4</v>
      </c>
      <c r="J1350">
        <v>9380.6200000000008</v>
      </c>
      <c r="K1350">
        <v>0.15</v>
      </c>
      <c r="L1350">
        <v>31894.11</v>
      </c>
      <c r="M1350" t="s">
        <v>48</v>
      </c>
      <c r="N1350" t="s">
        <v>34</v>
      </c>
      <c r="O1350" t="s">
        <v>25</v>
      </c>
      <c r="P1350" t="s">
        <v>72</v>
      </c>
    </row>
    <row r="1351" spans="1:16" x14ac:dyDescent="0.3">
      <c r="A1351" t="s">
        <v>1701</v>
      </c>
      <c r="B1351" s="1">
        <v>45807</v>
      </c>
      <c r="C1351" t="s">
        <v>548</v>
      </c>
      <c r="D1351" t="s">
        <v>176</v>
      </c>
      <c r="E1351" t="s">
        <v>177</v>
      </c>
      <c r="F1351" t="s">
        <v>31</v>
      </c>
      <c r="G1351" t="s">
        <v>81</v>
      </c>
      <c r="H1351" t="s">
        <v>82</v>
      </c>
      <c r="I1351">
        <v>5</v>
      </c>
      <c r="J1351">
        <v>2364.91</v>
      </c>
      <c r="K1351">
        <v>0</v>
      </c>
      <c r="L1351">
        <v>11824.55</v>
      </c>
      <c r="M1351" t="s">
        <v>76</v>
      </c>
      <c r="N1351" t="s">
        <v>49</v>
      </c>
      <c r="O1351" t="s">
        <v>65</v>
      </c>
      <c r="P1351" t="s">
        <v>26</v>
      </c>
    </row>
    <row r="1352" spans="1:16" x14ac:dyDescent="0.3">
      <c r="A1352" t="s">
        <v>1702</v>
      </c>
      <c r="B1352" s="1">
        <v>45352</v>
      </c>
      <c r="C1352" t="s">
        <v>394</v>
      </c>
      <c r="D1352" t="s">
        <v>45</v>
      </c>
      <c r="E1352" t="s">
        <v>46</v>
      </c>
      <c r="F1352" t="s">
        <v>31</v>
      </c>
      <c r="G1352" t="s">
        <v>21</v>
      </c>
      <c r="H1352" t="s">
        <v>22</v>
      </c>
      <c r="I1352">
        <v>3</v>
      </c>
      <c r="J1352">
        <v>1905.51</v>
      </c>
      <c r="K1352">
        <v>0.03</v>
      </c>
      <c r="L1352">
        <v>5545.03</v>
      </c>
      <c r="M1352" t="s">
        <v>23</v>
      </c>
      <c r="N1352" t="s">
        <v>58</v>
      </c>
      <c r="O1352" t="s">
        <v>65</v>
      </c>
      <c r="P1352" t="s">
        <v>59</v>
      </c>
    </row>
    <row r="1353" spans="1:16" x14ac:dyDescent="0.3">
      <c r="A1353" t="s">
        <v>1703</v>
      </c>
      <c r="B1353" s="1">
        <v>45435</v>
      </c>
      <c r="C1353" t="s">
        <v>188</v>
      </c>
      <c r="D1353" t="s">
        <v>85</v>
      </c>
      <c r="E1353" t="s">
        <v>86</v>
      </c>
      <c r="F1353" t="s">
        <v>20</v>
      </c>
      <c r="G1353" t="s">
        <v>32</v>
      </c>
      <c r="H1353" t="s">
        <v>68</v>
      </c>
      <c r="I1353">
        <v>1</v>
      </c>
      <c r="J1353">
        <v>1865.27</v>
      </c>
      <c r="K1353">
        <v>0.03</v>
      </c>
      <c r="L1353">
        <v>1809.31</v>
      </c>
      <c r="M1353" t="s">
        <v>23</v>
      </c>
      <c r="N1353" t="s">
        <v>49</v>
      </c>
      <c r="O1353" t="s">
        <v>65</v>
      </c>
      <c r="P1353" t="s">
        <v>26</v>
      </c>
    </row>
    <row r="1354" spans="1:16" x14ac:dyDescent="0.3">
      <c r="A1354" t="s">
        <v>1704</v>
      </c>
      <c r="B1354" s="1">
        <v>45680</v>
      </c>
      <c r="C1354" t="s">
        <v>657</v>
      </c>
      <c r="D1354" t="s">
        <v>131</v>
      </c>
      <c r="E1354" t="s">
        <v>132</v>
      </c>
      <c r="F1354" t="s">
        <v>40</v>
      </c>
      <c r="G1354" t="s">
        <v>32</v>
      </c>
      <c r="H1354" t="s">
        <v>68</v>
      </c>
      <c r="I1354">
        <v>5</v>
      </c>
      <c r="J1354">
        <v>10039.709999999999</v>
      </c>
      <c r="K1354">
        <v>0.15</v>
      </c>
      <c r="L1354">
        <v>42668.77</v>
      </c>
      <c r="M1354" t="s">
        <v>23</v>
      </c>
      <c r="N1354" t="s">
        <v>24</v>
      </c>
      <c r="O1354" t="s">
        <v>35</v>
      </c>
      <c r="P1354" t="s">
        <v>116</v>
      </c>
    </row>
    <row r="1355" spans="1:16" x14ac:dyDescent="0.3">
      <c r="A1355" t="s">
        <v>1705</v>
      </c>
      <c r="B1355" s="1">
        <v>45802</v>
      </c>
      <c r="C1355" t="s">
        <v>302</v>
      </c>
      <c r="D1355" t="s">
        <v>105</v>
      </c>
      <c r="E1355" t="s">
        <v>106</v>
      </c>
      <c r="F1355" t="s">
        <v>40</v>
      </c>
      <c r="G1355" t="s">
        <v>21</v>
      </c>
      <c r="H1355" t="s">
        <v>22</v>
      </c>
      <c r="I1355">
        <v>3</v>
      </c>
      <c r="J1355">
        <v>7315.5</v>
      </c>
      <c r="K1355">
        <v>0.08</v>
      </c>
      <c r="L1355">
        <v>20190.78</v>
      </c>
      <c r="M1355" t="s">
        <v>23</v>
      </c>
      <c r="N1355" t="s">
        <v>24</v>
      </c>
      <c r="O1355" t="s">
        <v>65</v>
      </c>
      <c r="P1355" t="s">
        <v>50</v>
      </c>
    </row>
    <row r="1356" spans="1:16" x14ac:dyDescent="0.3">
      <c r="A1356" t="s">
        <v>1706</v>
      </c>
      <c r="B1356" s="1">
        <v>46159</v>
      </c>
      <c r="C1356" t="s">
        <v>508</v>
      </c>
      <c r="D1356" t="s">
        <v>131</v>
      </c>
      <c r="E1356" t="s">
        <v>132</v>
      </c>
      <c r="F1356" t="s">
        <v>40</v>
      </c>
      <c r="G1356" t="s">
        <v>21</v>
      </c>
      <c r="H1356" t="s">
        <v>22</v>
      </c>
      <c r="I1356">
        <v>1</v>
      </c>
      <c r="J1356">
        <v>9928.5300000000007</v>
      </c>
      <c r="K1356">
        <v>0.2</v>
      </c>
      <c r="L1356">
        <v>7942.82</v>
      </c>
      <c r="M1356" t="s">
        <v>76</v>
      </c>
      <c r="N1356" t="s">
        <v>49</v>
      </c>
      <c r="O1356" t="s">
        <v>65</v>
      </c>
      <c r="P1356" t="s">
        <v>72</v>
      </c>
    </row>
    <row r="1357" spans="1:16" x14ac:dyDescent="0.3">
      <c r="A1357" t="s">
        <v>1707</v>
      </c>
      <c r="B1357" s="1">
        <v>46011</v>
      </c>
      <c r="C1357" t="s">
        <v>100</v>
      </c>
      <c r="D1357" t="s">
        <v>79</v>
      </c>
      <c r="E1357" t="s">
        <v>80</v>
      </c>
      <c r="F1357" t="s">
        <v>31</v>
      </c>
      <c r="G1357" t="s">
        <v>32</v>
      </c>
      <c r="H1357" t="s">
        <v>47</v>
      </c>
      <c r="I1357">
        <v>5</v>
      </c>
      <c r="J1357">
        <v>13146.03</v>
      </c>
      <c r="K1357">
        <v>0.2</v>
      </c>
      <c r="L1357">
        <v>52584.12</v>
      </c>
      <c r="M1357" t="s">
        <v>76</v>
      </c>
      <c r="N1357" t="s">
        <v>24</v>
      </c>
      <c r="O1357" t="s">
        <v>65</v>
      </c>
      <c r="P1357" t="s">
        <v>102</v>
      </c>
    </row>
    <row r="1358" spans="1:16" x14ac:dyDescent="0.3">
      <c r="A1358" t="s">
        <v>1708</v>
      </c>
      <c r="B1358" s="1">
        <v>45831</v>
      </c>
      <c r="C1358" t="s">
        <v>803</v>
      </c>
      <c r="D1358" t="s">
        <v>89</v>
      </c>
      <c r="E1358" t="s">
        <v>90</v>
      </c>
      <c r="F1358" t="s">
        <v>20</v>
      </c>
      <c r="G1358" t="s">
        <v>56</v>
      </c>
      <c r="H1358" t="s">
        <v>64</v>
      </c>
      <c r="I1358">
        <v>2</v>
      </c>
      <c r="J1358">
        <v>732.76</v>
      </c>
      <c r="K1358">
        <v>0.08</v>
      </c>
      <c r="L1358">
        <v>1348.28</v>
      </c>
      <c r="M1358" t="s">
        <v>48</v>
      </c>
      <c r="N1358" t="s">
        <v>49</v>
      </c>
      <c r="O1358" t="s">
        <v>25</v>
      </c>
      <c r="P1358" t="s">
        <v>72</v>
      </c>
    </row>
    <row r="1359" spans="1:16" x14ac:dyDescent="0.3">
      <c r="A1359" t="s">
        <v>1709</v>
      </c>
      <c r="B1359" s="1">
        <v>45642</v>
      </c>
      <c r="C1359" t="s">
        <v>453</v>
      </c>
      <c r="D1359" t="s">
        <v>96</v>
      </c>
      <c r="E1359" t="s">
        <v>97</v>
      </c>
      <c r="F1359" t="s">
        <v>31</v>
      </c>
      <c r="G1359" t="s">
        <v>56</v>
      </c>
      <c r="H1359" t="s">
        <v>57</v>
      </c>
      <c r="I1359">
        <v>4</v>
      </c>
      <c r="J1359">
        <v>1245.6600000000001</v>
      </c>
      <c r="K1359">
        <v>0.1</v>
      </c>
      <c r="L1359">
        <v>4484.38</v>
      </c>
      <c r="M1359" t="s">
        <v>76</v>
      </c>
      <c r="N1359" t="s">
        <v>34</v>
      </c>
      <c r="O1359" t="s">
        <v>65</v>
      </c>
      <c r="P1359" t="s">
        <v>26</v>
      </c>
    </row>
    <row r="1360" spans="1:16" x14ac:dyDescent="0.3">
      <c r="A1360" t="s">
        <v>1710</v>
      </c>
      <c r="B1360" s="1">
        <v>45768</v>
      </c>
      <c r="C1360" t="s">
        <v>186</v>
      </c>
      <c r="D1360" t="s">
        <v>89</v>
      </c>
      <c r="E1360" t="s">
        <v>90</v>
      </c>
      <c r="F1360" t="s">
        <v>20</v>
      </c>
      <c r="G1360" t="s">
        <v>21</v>
      </c>
      <c r="H1360" t="s">
        <v>126</v>
      </c>
      <c r="I1360">
        <v>1</v>
      </c>
      <c r="J1360">
        <v>651.19000000000005</v>
      </c>
      <c r="K1360">
        <v>0.15</v>
      </c>
      <c r="L1360">
        <v>553.51</v>
      </c>
      <c r="M1360" t="s">
        <v>76</v>
      </c>
      <c r="N1360" t="s">
        <v>24</v>
      </c>
      <c r="O1360" t="s">
        <v>65</v>
      </c>
      <c r="P1360" t="s">
        <v>116</v>
      </c>
    </row>
    <row r="1361" spans="1:16" x14ac:dyDescent="0.3">
      <c r="A1361" t="s">
        <v>1711</v>
      </c>
      <c r="B1361" s="1">
        <v>45810</v>
      </c>
      <c r="C1361" t="s">
        <v>738</v>
      </c>
      <c r="D1361" t="s">
        <v>38</v>
      </c>
      <c r="E1361" t="s">
        <v>39</v>
      </c>
      <c r="F1361" t="s">
        <v>40</v>
      </c>
      <c r="G1361" t="s">
        <v>56</v>
      </c>
      <c r="H1361" t="s">
        <v>101</v>
      </c>
      <c r="I1361">
        <v>2</v>
      </c>
      <c r="J1361">
        <v>1637.92</v>
      </c>
      <c r="K1361">
        <v>0</v>
      </c>
      <c r="L1361">
        <v>3275.84</v>
      </c>
      <c r="M1361" t="s">
        <v>48</v>
      </c>
      <c r="N1361" t="s">
        <v>71</v>
      </c>
      <c r="O1361" t="s">
        <v>65</v>
      </c>
      <c r="P1361" t="s">
        <v>26</v>
      </c>
    </row>
    <row r="1362" spans="1:16" x14ac:dyDescent="0.3">
      <c r="A1362" t="s">
        <v>1712</v>
      </c>
      <c r="B1362" s="1">
        <v>45308</v>
      </c>
      <c r="C1362" t="s">
        <v>315</v>
      </c>
      <c r="D1362" t="s">
        <v>45</v>
      </c>
      <c r="E1362" t="s">
        <v>46</v>
      </c>
      <c r="F1362" t="s">
        <v>31</v>
      </c>
      <c r="G1362" t="s">
        <v>56</v>
      </c>
      <c r="H1362" t="s">
        <v>123</v>
      </c>
      <c r="I1362">
        <v>1</v>
      </c>
      <c r="J1362">
        <v>1828.53</v>
      </c>
      <c r="K1362">
        <v>0.05</v>
      </c>
      <c r="L1362">
        <v>1737.1</v>
      </c>
      <c r="M1362" t="s">
        <v>48</v>
      </c>
      <c r="N1362" t="s">
        <v>71</v>
      </c>
      <c r="O1362" t="s">
        <v>65</v>
      </c>
      <c r="P1362" t="s">
        <v>26</v>
      </c>
    </row>
    <row r="1363" spans="1:16" x14ac:dyDescent="0.3">
      <c r="A1363" t="s">
        <v>1713</v>
      </c>
      <c r="B1363" s="1">
        <v>46030</v>
      </c>
      <c r="C1363" t="s">
        <v>120</v>
      </c>
      <c r="D1363" t="s">
        <v>79</v>
      </c>
      <c r="E1363" t="s">
        <v>80</v>
      </c>
      <c r="F1363" t="s">
        <v>31</v>
      </c>
      <c r="G1363" t="s">
        <v>21</v>
      </c>
      <c r="H1363" t="s">
        <v>93</v>
      </c>
      <c r="I1363">
        <v>4</v>
      </c>
      <c r="J1363">
        <v>13453.05</v>
      </c>
      <c r="K1363">
        <v>0.15</v>
      </c>
      <c r="L1363">
        <v>45740.37</v>
      </c>
      <c r="M1363" t="s">
        <v>23</v>
      </c>
      <c r="N1363" t="s">
        <v>71</v>
      </c>
      <c r="O1363" t="s">
        <v>65</v>
      </c>
      <c r="P1363" t="s">
        <v>50</v>
      </c>
    </row>
    <row r="1364" spans="1:16" x14ac:dyDescent="0.3">
      <c r="A1364" t="s">
        <v>1714</v>
      </c>
      <c r="B1364" s="1">
        <v>45960</v>
      </c>
      <c r="C1364" t="s">
        <v>1211</v>
      </c>
      <c r="D1364" t="s">
        <v>85</v>
      </c>
      <c r="E1364" t="s">
        <v>86</v>
      </c>
      <c r="F1364" t="s">
        <v>20</v>
      </c>
      <c r="G1364" t="s">
        <v>56</v>
      </c>
      <c r="H1364" t="s">
        <v>64</v>
      </c>
      <c r="I1364">
        <v>3</v>
      </c>
      <c r="J1364">
        <v>1910.05</v>
      </c>
      <c r="K1364">
        <v>0.1</v>
      </c>
      <c r="L1364">
        <v>5157.1400000000003</v>
      </c>
      <c r="M1364" t="s">
        <v>48</v>
      </c>
      <c r="N1364" t="s">
        <v>34</v>
      </c>
      <c r="O1364" t="s">
        <v>65</v>
      </c>
      <c r="P1364" t="s">
        <v>42</v>
      </c>
    </row>
    <row r="1365" spans="1:16" x14ac:dyDescent="0.3">
      <c r="A1365" t="s">
        <v>1715</v>
      </c>
      <c r="B1365" s="1">
        <v>45480</v>
      </c>
      <c r="C1365" t="s">
        <v>225</v>
      </c>
      <c r="D1365" t="s">
        <v>85</v>
      </c>
      <c r="E1365" t="s">
        <v>86</v>
      </c>
      <c r="F1365" t="s">
        <v>20</v>
      </c>
      <c r="G1365" t="s">
        <v>81</v>
      </c>
      <c r="H1365" t="s">
        <v>82</v>
      </c>
      <c r="I1365">
        <v>4</v>
      </c>
      <c r="J1365">
        <v>1901.73</v>
      </c>
      <c r="K1365">
        <v>0.05</v>
      </c>
      <c r="L1365">
        <v>7226.57</v>
      </c>
      <c r="M1365" t="s">
        <v>23</v>
      </c>
      <c r="N1365" t="s">
        <v>71</v>
      </c>
      <c r="O1365" t="s">
        <v>65</v>
      </c>
      <c r="P1365" t="s">
        <v>59</v>
      </c>
    </row>
    <row r="1366" spans="1:16" x14ac:dyDescent="0.3">
      <c r="A1366" t="s">
        <v>1716</v>
      </c>
      <c r="B1366" s="1">
        <v>45655</v>
      </c>
      <c r="C1366" t="s">
        <v>225</v>
      </c>
      <c r="D1366" t="s">
        <v>96</v>
      </c>
      <c r="E1366" t="s">
        <v>97</v>
      </c>
      <c r="F1366" t="s">
        <v>31</v>
      </c>
      <c r="G1366" t="s">
        <v>32</v>
      </c>
      <c r="H1366" t="s">
        <v>47</v>
      </c>
      <c r="I1366">
        <v>3</v>
      </c>
      <c r="J1366">
        <v>1228.48</v>
      </c>
      <c r="K1366">
        <v>0.08</v>
      </c>
      <c r="L1366">
        <v>3390.6</v>
      </c>
      <c r="M1366" t="s">
        <v>76</v>
      </c>
      <c r="N1366" t="s">
        <v>71</v>
      </c>
      <c r="O1366" t="s">
        <v>25</v>
      </c>
      <c r="P1366" t="s">
        <v>42</v>
      </c>
    </row>
    <row r="1367" spans="1:16" x14ac:dyDescent="0.3">
      <c r="A1367" t="s">
        <v>1717</v>
      </c>
      <c r="B1367" s="1">
        <v>45306</v>
      </c>
      <c r="C1367" t="s">
        <v>597</v>
      </c>
      <c r="D1367" t="s">
        <v>170</v>
      </c>
      <c r="E1367" t="s">
        <v>171</v>
      </c>
      <c r="F1367" t="s">
        <v>31</v>
      </c>
      <c r="G1367" t="s">
        <v>32</v>
      </c>
      <c r="H1367" t="s">
        <v>47</v>
      </c>
      <c r="I1367">
        <v>2</v>
      </c>
      <c r="J1367">
        <v>62964.61</v>
      </c>
      <c r="K1367">
        <v>0</v>
      </c>
      <c r="L1367">
        <v>125929.22</v>
      </c>
      <c r="M1367" t="s">
        <v>23</v>
      </c>
      <c r="N1367" t="s">
        <v>49</v>
      </c>
      <c r="O1367" t="s">
        <v>65</v>
      </c>
      <c r="P1367" t="s">
        <v>50</v>
      </c>
    </row>
    <row r="1368" spans="1:16" x14ac:dyDescent="0.3">
      <c r="A1368" t="s">
        <v>1718</v>
      </c>
      <c r="B1368" s="1">
        <v>45604</v>
      </c>
      <c r="C1368" t="s">
        <v>581</v>
      </c>
      <c r="D1368" t="s">
        <v>53</v>
      </c>
      <c r="E1368" t="s">
        <v>54</v>
      </c>
      <c r="F1368" t="s">
        <v>55</v>
      </c>
      <c r="G1368" t="s">
        <v>81</v>
      </c>
      <c r="H1368" t="s">
        <v>98</v>
      </c>
      <c r="I1368">
        <v>4</v>
      </c>
      <c r="J1368">
        <v>224.73</v>
      </c>
      <c r="K1368">
        <v>0.03</v>
      </c>
      <c r="L1368">
        <v>871.95</v>
      </c>
      <c r="M1368" t="s">
        <v>23</v>
      </c>
      <c r="N1368" t="s">
        <v>71</v>
      </c>
      <c r="O1368" t="s">
        <v>65</v>
      </c>
      <c r="P1368" t="s">
        <v>111</v>
      </c>
    </row>
    <row r="1369" spans="1:16" x14ac:dyDescent="0.3">
      <c r="A1369" t="s">
        <v>1719</v>
      </c>
      <c r="B1369" s="1">
        <v>45431</v>
      </c>
      <c r="C1369" t="s">
        <v>184</v>
      </c>
      <c r="D1369" t="s">
        <v>29</v>
      </c>
      <c r="E1369" t="s">
        <v>30</v>
      </c>
      <c r="F1369" t="s">
        <v>31</v>
      </c>
      <c r="G1369" t="s">
        <v>81</v>
      </c>
      <c r="H1369" t="s">
        <v>98</v>
      </c>
      <c r="I1369">
        <v>2</v>
      </c>
      <c r="J1369">
        <v>3341.78</v>
      </c>
      <c r="K1369">
        <v>0.1</v>
      </c>
      <c r="L1369">
        <v>6015.2</v>
      </c>
      <c r="M1369" t="s">
        <v>23</v>
      </c>
      <c r="N1369" t="s">
        <v>49</v>
      </c>
      <c r="O1369" t="s">
        <v>65</v>
      </c>
      <c r="P1369" t="s">
        <v>26</v>
      </c>
    </row>
    <row r="1370" spans="1:16" x14ac:dyDescent="0.3">
      <c r="A1370" t="s">
        <v>1720</v>
      </c>
      <c r="B1370" s="1">
        <v>45933</v>
      </c>
      <c r="C1370" t="s">
        <v>166</v>
      </c>
      <c r="D1370" t="s">
        <v>18</v>
      </c>
      <c r="E1370" t="s">
        <v>19</v>
      </c>
      <c r="F1370" t="s">
        <v>20</v>
      </c>
      <c r="G1370" t="s">
        <v>81</v>
      </c>
      <c r="H1370" t="s">
        <v>82</v>
      </c>
      <c r="I1370">
        <v>2</v>
      </c>
      <c r="J1370">
        <v>798.29</v>
      </c>
      <c r="K1370">
        <v>0.03</v>
      </c>
      <c r="L1370">
        <v>1548.68</v>
      </c>
      <c r="M1370" t="s">
        <v>23</v>
      </c>
      <c r="N1370" t="s">
        <v>24</v>
      </c>
      <c r="O1370" t="s">
        <v>65</v>
      </c>
      <c r="P1370" t="s">
        <v>102</v>
      </c>
    </row>
    <row r="1371" spans="1:16" x14ac:dyDescent="0.3">
      <c r="A1371" t="s">
        <v>1721</v>
      </c>
      <c r="B1371" s="1">
        <v>45583</v>
      </c>
      <c r="D1371" t="s">
        <v>62</v>
      </c>
      <c r="E1371" t="s">
        <v>63</v>
      </c>
      <c r="F1371" t="s">
        <v>31</v>
      </c>
      <c r="G1371" t="s">
        <v>81</v>
      </c>
      <c r="I1371">
        <v>1</v>
      </c>
      <c r="J1371">
        <v>2979.86</v>
      </c>
      <c r="K1371">
        <v>-0.1</v>
      </c>
      <c r="L1371">
        <v>2890.46</v>
      </c>
      <c r="M1371" t="s">
        <v>48</v>
      </c>
      <c r="N1371" t="s">
        <v>58</v>
      </c>
      <c r="O1371" t="s">
        <v>65</v>
      </c>
      <c r="P1371" t="s">
        <v>102</v>
      </c>
    </row>
    <row r="1372" spans="1:16" x14ac:dyDescent="0.3">
      <c r="A1372" t="s">
        <v>1722</v>
      </c>
      <c r="B1372" s="1">
        <v>45943</v>
      </c>
      <c r="C1372" t="s">
        <v>520</v>
      </c>
      <c r="D1372" t="s">
        <v>79</v>
      </c>
      <c r="E1372" t="s">
        <v>80</v>
      </c>
      <c r="F1372" t="s">
        <v>31</v>
      </c>
      <c r="G1372" t="s">
        <v>32</v>
      </c>
      <c r="H1372" t="s">
        <v>75</v>
      </c>
      <c r="I1372">
        <v>3</v>
      </c>
      <c r="J1372">
        <v>12385.77</v>
      </c>
      <c r="K1372">
        <v>0</v>
      </c>
      <c r="L1372">
        <v>37157.31</v>
      </c>
      <c r="M1372" t="s">
        <v>23</v>
      </c>
      <c r="N1372" t="s">
        <v>34</v>
      </c>
      <c r="O1372" t="s">
        <v>65</v>
      </c>
      <c r="P1372" t="s">
        <v>42</v>
      </c>
    </row>
    <row r="1373" spans="1:16" x14ac:dyDescent="0.3">
      <c r="A1373" t="s">
        <v>1723</v>
      </c>
      <c r="B1373" s="1">
        <v>45748</v>
      </c>
      <c r="C1373" t="s">
        <v>457</v>
      </c>
      <c r="D1373" t="s">
        <v>131</v>
      </c>
      <c r="E1373" t="s">
        <v>132</v>
      </c>
      <c r="F1373" t="s">
        <v>40</v>
      </c>
      <c r="G1373" t="s">
        <v>21</v>
      </c>
      <c r="H1373" t="s">
        <v>93</v>
      </c>
      <c r="I1373">
        <v>4</v>
      </c>
      <c r="J1373">
        <v>9395.58</v>
      </c>
      <c r="K1373">
        <v>0.05</v>
      </c>
      <c r="L1373">
        <v>35703.199999999997</v>
      </c>
      <c r="M1373" t="s">
        <v>48</v>
      </c>
      <c r="N1373" t="s">
        <v>24</v>
      </c>
      <c r="O1373" t="s">
        <v>25</v>
      </c>
      <c r="P1373" t="s">
        <v>50</v>
      </c>
    </row>
    <row r="1374" spans="1:16" x14ac:dyDescent="0.3">
      <c r="A1374" t="s">
        <v>1724</v>
      </c>
      <c r="B1374" s="1">
        <v>45471</v>
      </c>
      <c r="C1374" t="s">
        <v>528</v>
      </c>
      <c r="D1374" t="s">
        <v>62</v>
      </c>
      <c r="E1374" t="s">
        <v>63</v>
      </c>
      <c r="F1374" t="s">
        <v>31</v>
      </c>
      <c r="G1374" t="s">
        <v>32</v>
      </c>
      <c r="H1374" t="s">
        <v>33</v>
      </c>
      <c r="I1374">
        <v>4</v>
      </c>
      <c r="J1374">
        <v>2910.76</v>
      </c>
      <c r="K1374">
        <v>0.08</v>
      </c>
      <c r="L1374">
        <v>10711.6</v>
      </c>
      <c r="M1374" t="s">
        <v>23</v>
      </c>
      <c r="N1374" t="s">
        <v>71</v>
      </c>
      <c r="O1374" t="s">
        <v>65</v>
      </c>
      <c r="P1374" t="s">
        <v>26</v>
      </c>
    </row>
    <row r="1375" spans="1:16" x14ac:dyDescent="0.3">
      <c r="A1375" t="s">
        <v>1725</v>
      </c>
      <c r="B1375" s="1">
        <v>45693</v>
      </c>
      <c r="C1375" t="s">
        <v>406</v>
      </c>
      <c r="D1375" t="s">
        <v>176</v>
      </c>
      <c r="E1375" t="s">
        <v>177</v>
      </c>
      <c r="F1375" t="s">
        <v>31</v>
      </c>
      <c r="G1375" t="s">
        <v>56</v>
      </c>
      <c r="H1375" t="s">
        <v>123</v>
      </c>
      <c r="I1375">
        <v>2</v>
      </c>
      <c r="J1375">
        <v>2362.91</v>
      </c>
      <c r="K1375">
        <v>0.15</v>
      </c>
      <c r="L1375">
        <v>4016.95</v>
      </c>
      <c r="M1375" t="s">
        <v>48</v>
      </c>
      <c r="N1375" t="s">
        <v>58</v>
      </c>
      <c r="O1375" t="s">
        <v>25</v>
      </c>
      <c r="P1375" t="s">
        <v>116</v>
      </c>
    </row>
    <row r="1376" spans="1:16" x14ac:dyDescent="0.3">
      <c r="A1376" t="s">
        <v>1726</v>
      </c>
      <c r="B1376" s="1">
        <v>46053</v>
      </c>
      <c r="C1376" t="s">
        <v>212</v>
      </c>
      <c r="D1376" t="s">
        <v>131</v>
      </c>
      <c r="E1376" t="s">
        <v>132</v>
      </c>
      <c r="F1376" t="s">
        <v>40</v>
      </c>
      <c r="G1376" t="s">
        <v>81</v>
      </c>
      <c r="H1376" t="s">
        <v>87</v>
      </c>
      <c r="I1376">
        <v>1</v>
      </c>
      <c r="J1376">
        <v>9970.49</v>
      </c>
      <c r="K1376">
        <v>0.08</v>
      </c>
      <c r="L1376">
        <v>9172.85</v>
      </c>
      <c r="M1376" t="s">
        <v>48</v>
      </c>
      <c r="N1376" t="s">
        <v>34</v>
      </c>
      <c r="O1376" t="s">
        <v>65</v>
      </c>
      <c r="P1376" t="s">
        <v>111</v>
      </c>
    </row>
    <row r="1377" spans="1:16" x14ac:dyDescent="0.3">
      <c r="A1377" t="s">
        <v>1727</v>
      </c>
      <c r="B1377" s="1">
        <v>45308</v>
      </c>
      <c r="C1377" t="s">
        <v>447</v>
      </c>
      <c r="D1377" t="s">
        <v>85</v>
      </c>
      <c r="E1377" t="s">
        <v>86</v>
      </c>
      <c r="F1377" t="s">
        <v>20</v>
      </c>
      <c r="G1377" t="s">
        <v>56</v>
      </c>
      <c r="H1377" t="s">
        <v>64</v>
      </c>
      <c r="I1377">
        <v>2</v>
      </c>
      <c r="J1377">
        <v>1695.84</v>
      </c>
      <c r="K1377">
        <v>0.2</v>
      </c>
      <c r="L1377">
        <v>2713.34</v>
      </c>
      <c r="M1377" t="s">
        <v>23</v>
      </c>
      <c r="N1377" t="s">
        <v>71</v>
      </c>
      <c r="O1377" t="s">
        <v>65</v>
      </c>
      <c r="P1377" t="s">
        <v>111</v>
      </c>
    </row>
    <row r="1378" spans="1:16" x14ac:dyDescent="0.3">
      <c r="A1378" t="s">
        <v>1728</v>
      </c>
      <c r="B1378" s="1">
        <v>46088</v>
      </c>
      <c r="C1378" t="s">
        <v>526</v>
      </c>
      <c r="D1378" t="s">
        <v>18</v>
      </c>
      <c r="E1378" t="s">
        <v>19</v>
      </c>
      <c r="F1378" t="s">
        <v>20</v>
      </c>
      <c r="G1378" t="s">
        <v>56</v>
      </c>
      <c r="H1378" t="s">
        <v>123</v>
      </c>
      <c r="I1378">
        <v>4</v>
      </c>
      <c r="J1378">
        <v>880.37</v>
      </c>
      <c r="K1378">
        <v>0.2</v>
      </c>
      <c r="L1378">
        <v>2817.18</v>
      </c>
      <c r="M1378" t="s">
        <v>76</v>
      </c>
      <c r="N1378" t="s">
        <v>24</v>
      </c>
      <c r="O1378" t="s">
        <v>65</v>
      </c>
      <c r="P1378" t="s">
        <v>50</v>
      </c>
    </row>
    <row r="1379" spans="1:16" x14ac:dyDescent="0.3">
      <c r="A1379" t="s">
        <v>1729</v>
      </c>
      <c r="B1379" s="1">
        <v>45561</v>
      </c>
      <c r="C1379" t="s">
        <v>208</v>
      </c>
      <c r="D1379" t="s">
        <v>170</v>
      </c>
      <c r="E1379" t="s">
        <v>171</v>
      </c>
      <c r="F1379" t="s">
        <v>31</v>
      </c>
      <c r="G1379" t="s">
        <v>21</v>
      </c>
      <c r="H1379" t="s">
        <v>93</v>
      </c>
      <c r="I1379">
        <v>3</v>
      </c>
      <c r="J1379">
        <v>69885.39</v>
      </c>
      <c r="K1379">
        <v>0.05</v>
      </c>
      <c r="L1379">
        <v>199173.36</v>
      </c>
      <c r="M1379" t="s">
        <v>48</v>
      </c>
      <c r="N1379" t="s">
        <v>58</v>
      </c>
      <c r="O1379" t="s">
        <v>65</v>
      </c>
      <c r="P1379" t="s">
        <v>26</v>
      </c>
    </row>
    <row r="1380" spans="1:16" x14ac:dyDescent="0.3">
      <c r="A1380" t="s">
        <v>1730</v>
      </c>
      <c r="B1380" s="1">
        <v>45994</v>
      </c>
      <c r="C1380" t="s">
        <v>542</v>
      </c>
      <c r="D1380" t="s">
        <v>176</v>
      </c>
      <c r="E1380" t="s">
        <v>177</v>
      </c>
      <c r="F1380" t="s">
        <v>31</v>
      </c>
      <c r="G1380" t="s">
        <v>21</v>
      </c>
      <c r="H1380" t="s">
        <v>41</v>
      </c>
      <c r="I1380">
        <v>1</v>
      </c>
      <c r="J1380">
        <v>2109.81</v>
      </c>
      <c r="K1380">
        <v>0.1</v>
      </c>
      <c r="L1380">
        <v>1898.83</v>
      </c>
      <c r="M1380" t="s">
        <v>76</v>
      </c>
      <c r="N1380" t="s">
        <v>58</v>
      </c>
      <c r="O1380" t="s">
        <v>35</v>
      </c>
      <c r="P1380" t="s">
        <v>59</v>
      </c>
    </row>
    <row r="1381" spans="1:16" x14ac:dyDescent="0.3">
      <c r="A1381" t="s">
        <v>1731</v>
      </c>
      <c r="B1381" s="1">
        <v>45800</v>
      </c>
      <c r="C1381" t="s">
        <v>259</v>
      </c>
      <c r="D1381" t="s">
        <v>176</v>
      </c>
      <c r="E1381" t="s">
        <v>177</v>
      </c>
      <c r="F1381" t="s">
        <v>31</v>
      </c>
      <c r="G1381" t="s">
        <v>56</v>
      </c>
      <c r="H1381" t="s">
        <v>123</v>
      </c>
      <c r="I1381">
        <v>1</v>
      </c>
      <c r="J1381">
        <v>2201.9299999999998</v>
      </c>
      <c r="K1381">
        <v>0.03</v>
      </c>
      <c r="L1381">
        <v>2135.87</v>
      </c>
      <c r="M1381" t="s">
        <v>48</v>
      </c>
      <c r="N1381" t="s">
        <v>34</v>
      </c>
      <c r="O1381" t="s">
        <v>35</v>
      </c>
      <c r="P1381" t="s">
        <v>116</v>
      </c>
    </row>
    <row r="1382" spans="1:16" x14ac:dyDescent="0.3">
      <c r="A1382" t="s">
        <v>1732</v>
      </c>
      <c r="B1382" s="1">
        <v>45725</v>
      </c>
      <c r="C1382" t="s">
        <v>362</v>
      </c>
      <c r="D1382" t="s">
        <v>38</v>
      </c>
      <c r="E1382" t="s">
        <v>39</v>
      </c>
      <c r="F1382" t="s">
        <v>40</v>
      </c>
      <c r="G1382" t="s">
        <v>32</v>
      </c>
      <c r="H1382" t="s">
        <v>68</v>
      </c>
      <c r="I1382">
        <v>2</v>
      </c>
      <c r="J1382">
        <v>1486.47</v>
      </c>
      <c r="K1382">
        <v>0.2</v>
      </c>
      <c r="L1382">
        <v>2378.35</v>
      </c>
      <c r="M1382" t="s">
        <v>23</v>
      </c>
      <c r="N1382" t="s">
        <v>49</v>
      </c>
      <c r="O1382" t="s">
        <v>65</v>
      </c>
      <c r="P1382" t="s">
        <v>72</v>
      </c>
    </row>
    <row r="1383" spans="1:16" x14ac:dyDescent="0.3">
      <c r="A1383" t="s">
        <v>1733</v>
      </c>
      <c r="B1383" s="1">
        <v>45320</v>
      </c>
      <c r="C1383" t="s">
        <v>1257</v>
      </c>
      <c r="D1383" t="s">
        <v>45</v>
      </c>
      <c r="E1383" t="s">
        <v>46</v>
      </c>
      <c r="F1383" t="s">
        <v>31</v>
      </c>
      <c r="G1383" t="s">
        <v>32</v>
      </c>
      <c r="H1383" t="s">
        <v>75</v>
      </c>
      <c r="I1383">
        <v>4</v>
      </c>
      <c r="J1383">
        <v>1836.03</v>
      </c>
      <c r="K1383">
        <v>0.15</v>
      </c>
      <c r="L1383">
        <v>6242.5</v>
      </c>
      <c r="M1383" t="s">
        <v>48</v>
      </c>
      <c r="N1383" t="s">
        <v>24</v>
      </c>
      <c r="O1383" t="s">
        <v>65</v>
      </c>
      <c r="P1383" t="s">
        <v>26</v>
      </c>
    </row>
    <row r="1384" spans="1:16" x14ac:dyDescent="0.3">
      <c r="A1384" t="s">
        <v>1734</v>
      </c>
      <c r="B1384" s="1">
        <v>46152</v>
      </c>
      <c r="C1384" t="s">
        <v>153</v>
      </c>
      <c r="D1384" t="s">
        <v>38</v>
      </c>
      <c r="E1384" t="s">
        <v>39</v>
      </c>
      <c r="F1384" t="s">
        <v>40</v>
      </c>
      <c r="G1384" t="s">
        <v>56</v>
      </c>
      <c r="H1384" t="s">
        <v>57</v>
      </c>
      <c r="I1384">
        <v>3</v>
      </c>
      <c r="J1384">
        <v>1543.93</v>
      </c>
      <c r="K1384">
        <v>0.2</v>
      </c>
      <c r="L1384">
        <v>3705.43</v>
      </c>
      <c r="M1384" t="s">
        <v>48</v>
      </c>
      <c r="N1384" t="s">
        <v>71</v>
      </c>
      <c r="O1384" t="s">
        <v>65</v>
      </c>
    </row>
    <row r="1385" spans="1:16" x14ac:dyDescent="0.3">
      <c r="A1385" t="s">
        <v>1735</v>
      </c>
      <c r="B1385" s="1">
        <v>45644</v>
      </c>
      <c r="C1385" t="s">
        <v>511</v>
      </c>
      <c r="D1385" t="s">
        <v>45</v>
      </c>
      <c r="E1385" t="s">
        <v>46</v>
      </c>
      <c r="F1385" t="s">
        <v>31</v>
      </c>
      <c r="G1385" t="s">
        <v>32</v>
      </c>
      <c r="H1385" t="s">
        <v>33</v>
      </c>
      <c r="I1385">
        <v>5</v>
      </c>
      <c r="J1385">
        <v>1696.71</v>
      </c>
      <c r="K1385">
        <v>0.03</v>
      </c>
      <c r="L1385">
        <v>8229.0400000000009</v>
      </c>
      <c r="M1385" t="s">
        <v>23</v>
      </c>
      <c r="N1385" t="s">
        <v>24</v>
      </c>
      <c r="O1385" t="s">
        <v>35</v>
      </c>
      <c r="P1385" t="s">
        <v>102</v>
      </c>
    </row>
    <row r="1386" spans="1:16" x14ac:dyDescent="0.3">
      <c r="A1386" t="s">
        <v>1736</v>
      </c>
      <c r="B1386" s="1">
        <v>45402</v>
      </c>
      <c r="C1386" t="s">
        <v>457</v>
      </c>
      <c r="D1386" t="s">
        <v>38</v>
      </c>
      <c r="E1386" t="s">
        <v>39</v>
      </c>
      <c r="F1386" t="s">
        <v>40</v>
      </c>
      <c r="G1386" t="s">
        <v>56</v>
      </c>
      <c r="H1386" t="s">
        <v>101</v>
      </c>
      <c r="I1386">
        <v>3</v>
      </c>
      <c r="J1386">
        <v>1636.42</v>
      </c>
      <c r="K1386">
        <v>0</v>
      </c>
      <c r="L1386">
        <v>4909.26</v>
      </c>
      <c r="M1386" t="s">
        <v>48</v>
      </c>
      <c r="N1386" t="s">
        <v>71</v>
      </c>
      <c r="O1386" t="s">
        <v>65</v>
      </c>
      <c r="P1386" t="s">
        <v>72</v>
      </c>
    </row>
    <row r="1387" spans="1:16" x14ac:dyDescent="0.3">
      <c r="A1387" t="s">
        <v>1737</v>
      </c>
      <c r="B1387" s="1">
        <v>45737</v>
      </c>
      <c r="C1387" t="s">
        <v>520</v>
      </c>
      <c r="D1387" t="s">
        <v>53</v>
      </c>
      <c r="E1387" t="s">
        <v>54</v>
      </c>
      <c r="F1387" t="s">
        <v>55</v>
      </c>
      <c r="G1387" t="s">
        <v>81</v>
      </c>
      <c r="H1387" t="s">
        <v>98</v>
      </c>
      <c r="I1387">
        <v>4</v>
      </c>
      <c r="J1387">
        <v>227.23</v>
      </c>
      <c r="K1387">
        <v>0</v>
      </c>
      <c r="L1387">
        <v>908.92</v>
      </c>
      <c r="M1387" t="s">
        <v>48</v>
      </c>
      <c r="N1387" t="s">
        <v>24</v>
      </c>
      <c r="O1387" t="s">
        <v>25</v>
      </c>
      <c r="P1387" t="s">
        <v>26</v>
      </c>
    </row>
    <row r="1388" spans="1:16" x14ac:dyDescent="0.3">
      <c r="A1388" t="s">
        <v>1738</v>
      </c>
      <c r="B1388" s="1">
        <v>45890</v>
      </c>
      <c r="C1388" t="s">
        <v>327</v>
      </c>
      <c r="D1388" t="s">
        <v>170</v>
      </c>
      <c r="E1388" t="s">
        <v>171</v>
      </c>
      <c r="F1388" t="s">
        <v>31</v>
      </c>
      <c r="G1388" t="s">
        <v>21</v>
      </c>
      <c r="H1388" t="s">
        <v>22</v>
      </c>
      <c r="J1388">
        <v>69053.2</v>
      </c>
      <c r="K1388">
        <v>0.15</v>
      </c>
      <c r="L1388">
        <v>176085.66</v>
      </c>
      <c r="M1388" t="s">
        <v>23</v>
      </c>
      <c r="N1388" t="s">
        <v>58</v>
      </c>
      <c r="O1388" t="s">
        <v>25</v>
      </c>
      <c r="P1388" t="s">
        <v>50</v>
      </c>
    </row>
    <row r="1389" spans="1:16" x14ac:dyDescent="0.3">
      <c r="A1389" t="s">
        <v>1739</v>
      </c>
      <c r="B1389" s="1">
        <v>46062</v>
      </c>
      <c r="C1389" t="s">
        <v>631</v>
      </c>
      <c r="D1389" t="s">
        <v>79</v>
      </c>
      <c r="E1389" t="s">
        <v>80</v>
      </c>
      <c r="F1389" t="s">
        <v>31</v>
      </c>
      <c r="G1389" t="s">
        <v>21</v>
      </c>
      <c r="H1389" t="s">
        <v>41</v>
      </c>
      <c r="I1389">
        <v>1</v>
      </c>
      <c r="J1389">
        <v>12922.22</v>
      </c>
      <c r="K1389">
        <v>0.05</v>
      </c>
      <c r="L1389">
        <v>12276.11</v>
      </c>
      <c r="M1389" t="s">
        <v>76</v>
      </c>
      <c r="N1389" t="s">
        <v>58</v>
      </c>
      <c r="O1389" t="s">
        <v>65</v>
      </c>
      <c r="P1389" t="s">
        <v>102</v>
      </c>
    </row>
    <row r="1390" spans="1:16" x14ac:dyDescent="0.3">
      <c r="A1390" t="s">
        <v>1740</v>
      </c>
      <c r="B1390" s="1">
        <v>45846</v>
      </c>
      <c r="C1390" t="s">
        <v>190</v>
      </c>
      <c r="D1390" t="s">
        <v>62</v>
      </c>
      <c r="E1390" t="s">
        <v>63</v>
      </c>
      <c r="F1390" t="s">
        <v>31</v>
      </c>
      <c r="G1390" t="s">
        <v>56</v>
      </c>
      <c r="H1390" t="s">
        <v>64</v>
      </c>
      <c r="I1390">
        <v>3</v>
      </c>
      <c r="J1390">
        <v>2810.76</v>
      </c>
      <c r="K1390">
        <v>0.15</v>
      </c>
      <c r="L1390">
        <v>7167.44</v>
      </c>
      <c r="M1390" t="s">
        <v>48</v>
      </c>
      <c r="N1390" t="s">
        <v>71</v>
      </c>
      <c r="O1390" t="s">
        <v>35</v>
      </c>
      <c r="P1390" t="s">
        <v>102</v>
      </c>
    </row>
    <row r="1391" spans="1:16" x14ac:dyDescent="0.3">
      <c r="A1391" t="s">
        <v>1741</v>
      </c>
      <c r="B1391" s="1">
        <v>45313</v>
      </c>
      <c r="C1391" t="s">
        <v>61</v>
      </c>
      <c r="D1391" t="s">
        <v>176</v>
      </c>
      <c r="E1391" t="s">
        <v>177</v>
      </c>
      <c r="F1391" t="s">
        <v>31</v>
      </c>
      <c r="G1391" t="s">
        <v>81</v>
      </c>
      <c r="H1391" t="s">
        <v>87</v>
      </c>
      <c r="I1391">
        <v>2</v>
      </c>
      <c r="J1391">
        <v>2347</v>
      </c>
      <c r="K1391">
        <v>0.05</v>
      </c>
      <c r="L1391">
        <v>4459.3</v>
      </c>
      <c r="M1391" t="s">
        <v>23</v>
      </c>
      <c r="N1391" t="s">
        <v>34</v>
      </c>
      <c r="O1391" t="s">
        <v>65</v>
      </c>
      <c r="P1391" t="s">
        <v>59</v>
      </c>
    </row>
    <row r="1392" spans="1:16" x14ac:dyDescent="0.3">
      <c r="A1392" t="s">
        <v>1742</v>
      </c>
      <c r="B1392" s="1">
        <v>45376</v>
      </c>
      <c r="C1392" t="s">
        <v>570</v>
      </c>
      <c r="D1392" t="s">
        <v>131</v>
      </c>
      <c r="E1392" t="s">
        <v>132</v>
      </c>
      <c r="F1392" t="s">
        <v>40</v>
      </c>
      <c r="G1392" t="s">
        <v>21</v>
      </c>
      <c r="H1392" t="s">
        <v>93</v>
      </c>
      <c r="I1392">
        <v>5</v>
      </c>
      <c r="J1392">
        <v>9287.94</v>
      </c>
      <c r="K1392">
        <v>0.05</v>
      </c>
      <c r="L1392">
        <v>44117.72</v>
      </c>
      <c r="M1392" t="s">
        <v>23</v>
      </c>
      <c r="N1392" t="s">
        <v>34</v>
      </c>
      <c r="O1392" t="s">
        <v>65</v>
      </c>
      <c r="P1392" t="s">
        <v>50</v>
      </c>
    </row>
    <row r="1393" spans="1:16" x14ac:dyDescent="0.3">
      <c r="A1393" t="s">
        <v>1743</v>
      </c>
      <c r="B1393" s="1">
        <v>45419</v>
      </c>
      <c r="C1393" t="s">
        <v>817</v>
      </c>
      <c r="D1393" t="s">
        <v>29</v>
      </c>
      <c r="E1393" t="s">
        <v>30</v>
      </c>
      <c r="F1393" t="s">
        <v>31</v>
      </c>
      <c r="G1393" t="s">
        <v>56</v>
      </c>
      <c r="H1393" t="s">
        <v>64</v>
      </c>
      <c r="I1393">
        <v>4</v>
      </c>
      <c r="J1393">
        <v>3101.49</v>
      </c>
      <c r="K1393">
        <v>0.1</v>
      </c>
      <c r="L1393">
        <v>11165.36</v>
      </c>
      <c r="M1393" t="s">
        <v>76</v>
      </c>
      <c r="N1393" t="s">
        <v>58</v>
      </c>
      <c r="O1393" t="s">
        <v>65</v>
      </c>
      <c r="P1393" t="s">
        <v>59</v>
      </c>
    </row>
    <row r="1394" spans="1:16" x14ac:dyDescent="0.3">
      <c r="A1394" t="s">
        <v>1744</v>
      </c>
      <c r="B1394" s="1">
        <v>45704</v>
      </c>
      <c r="C1394" t="s">
        <v>139</v>
      </c>
      <c r="D1394" t="s">
        <v>89</v>
      </c>
      <c r="E1394" t="s">
        <v>90</v>
      </c>
      <c r="F1394" t="s">
        <v>20</v>
      </c>
      <c r="G1394" t="s">
        <v>21</v>
      </c>
      <c r="H1394" t="s">
        <v>22</v>
      </c>
      <c r="I1394">
        <v>2</v>
      </c>
      <c r="J1394">
        <v>709.08</v>
      </c>
      <c r="K1394">
        <v>0.08</v>
      </c>
      <c r="L1394">
        <v>1304.71</v>
      </c>
      <c r="M1394" t="s">
        <v>48</v>
      </c>
      <c r="N1394" t="s">
        <v>24</v>
      </c>
      <c r="O1394" t="s">
        <v>35</v>
      </c>
      <c r="P1394" t="s">
        <v>42</v>
      </c>
    </row>
    <row r="1395" spans="1:16" x14ac:dyDescent="0.3">
      <c r="A1395" t="s">
        <v>1745</v>
      </c>
      <c r="B1395" s="1">
        <v>46054</v>
      </c>
      <c r="C1395" t="s">
        <v>247</v>
      </c>
      <c r="D1395" t="s">
        <v>105</v>
      </c>
      <c r="E1395" t="s">
        <v>106</v>
      </c>
      <c r="F1395" t="s">
        <v>40</v>
      </c>
      <c r="G1395" t="s">
        <v>32</v>
      </c>
      <c r="H1395" t="s">
        <v>68</v>
      </c>
      <c r="I1395">
        <v>3</v>
      </c>
      <c r="J1395">
        <v>7770.15</v>
      </c>
      <c r="K1395">
        <v>0.1</v>
      </c>
      <c r="L1395">
        <v>20979.4</v>
      </c>
      <c r="M1395" t="s">
        <v>76</v>
      </c>
      <c r="N1395" t="s">
        <v>34</v>
      </c>
      <c r="O1395" t="s">
        <v>25</v>
      </c>
      <c r="P1395" t="s">
        <v>111</v>
      </c>
    </row>
    <row r="1396" spans="1:16" x14ac:dyDescent="0.3">
      <c r="A1396" t="s">
        <v>1746</v>
      </c>
      <c r="B1396" s="1">
        <v>45796</v>
      </c>
      <c r="C1396" t="s">
        <v>511</v>
      </c>
      <c r="D1396" t="s">
        <v>62</v>
      </c>
      <c r="E1396" t="s">
        <v>63</v>
      </c>
      <c r="F1396" t="s">
        <v>31</v>
      </c>
      <c r="G1396" t="s">
        <v>56</v>
      </c>
      <c r="H1396" t="s">
        <v>123</v>
      </c>
      <c r="I1396">
        <v>3</v>
      </c>
      <c r="J1396">
        <v>2663.4</v>
      </c>
      <c r="K1396">
        <v>0.03</v>
      </c>
      <c r="L1396">
        <v>7750.49</v>
      </c>
      <c r="M1396" t="s">
        <v>76</v>
      </c>
      <c r="N1396" t="s">
        <v>58</v>
      </c>
      <c r="O1396" t="s">
        <v>65</v>
      </c>
      <c r="P1396" t="s">
        <v>42</v>
      </c>
    </row>
    <row r="1397" spans="1:16" x14ac:dyDescent="0.3">
      <c r="A1397" t="s">
        <v>1747</v>
      </c>
      <c r="B1397" s="1">
        <v>45835</v>
      </c>
      <c r="C1397" t="s">
        <v>715</v>
      </c>
      <c r="D1397" t="s">
        <v>29</v>
      </c>
      <c r="E1397" t="s">
        <v>30</v>
      </c>
      <c r="F1397" t="s">
        <v>31</v>
      </c>
      <c r="G1397" t="s">
        <v>21</v>
      </c>
      <c r="H1397" t="s">
        <v>93</v>
      </c>
      <c r="I1397">
        <v>1</v>
      </c>
      <c r="J1397">
        <v>3054.71</v>
      </c>
      <c r="K1397">
        <v>0.05</v>
      </c>
      <c r="L1397">
        <v>2901.97</v>
      </c>
      <c r="M1397" t="s">
        <v>48</v>
      </c>
      <c r="N1397" t="s">
        <v>49</v>
      </c>
      <c r="O1397" t="s">
        <v>65</v>
      </c>
      <c r="P1397" t="s">
        <v>26</v>
      </c>
    </row>
    <row r="1398" spans="1:16" x14ac:dyDescent="0.3">
      <c r="A1398" t="s">
        <v>1748</v>
      </c>
      <c r="B1398" s="1">
        <v>45469</v>
      </c>
      <c r="C1398" t="s">
        <v>625</v>
      </c>
      <c r="D1398" t="s">
        <v>18</v>
      </c>
      <c r="E1398" t="s">
        <v>19</v>
      </c>
      <c r="F1398" t="s">
        <v>20</v>
      </c>
      <c r="G1398" t="s">
        <v>21</v>
      </c>
      <c r="H1398" t="s">
        <v>126</v>
      </c>
      <c r="I1398">
        <v>1</v>
      </c>
      <c r="J1398">
        <v>875.59</v>
      </c>
      <c r="K1398">
        <v>0.05</v>
      </c>
      <c r="L1398">
        <v>831.81</v>
      </c>
      <c r="M1398" t="s">
        <v>23</v>
      </c>
      <c r="N1398" t="s">
        <v>34</v>
      </c>
      <c r="O1398" t="s">
        <v>65</v>
      </c>
      <c r="P1398" t="s">
        <v>111</v>
      </c>
    </row>
    <row r="1399" spans="1:16" x14ac:dyDescent="0.3">
      <c r="A1399" t="s">
        <v>1749</v>
      </c>
      <c r="B1399" s="1">
        <v>45717</v>
      </c>
      <c r="C1399" t="s">
        <v>343</v>
      </c>
      <c r="D1399" t="s">
        <v>85</v>
      </c>
      <c r="E1399" t="s">
        <v>86</v>
      </c>
      <c r="F1399" t="s">
        <v>20</v>
      </c>
      <c r="G1399" t="s">
        <v>56</v>
      </c>
      <c r="H1399" t="s">
        <v>64</v>
      </c>
      <c r="I1399">
        <v>30</v>
      </c>
      <c r="J1399">
        <v>1715.72</v>
      </c>
      <c r="K1399">
        <v>0</v>
      </c>
      <c r="L1399">
        <v>8578.6</v>
      </c>
      <c r="M1399" t="s">
        <v>23</v>
      </c>
      <c r="N1399" t="s">
        <v>71</v>
      </c>
      <c r="O1399" t="s">
        <v>65</v>
      </c>
      <c r="P1399" t="s">
        <v>42</v>
      </c>
    </row>
    <row r="1400" spans="1:16" x14ac:dyDescent="0.3">
      <c r="A1400" t="s">
        <v>1750</v>
      </c>
      <c r="B1400" s="1">
        <v>45837</v>
      </c>
      <c r="C1400" t="s">
        <v>159</v>
      </c>
      <c r="D1400" t="s">
        <v>38</v>
      </c>
      <c r="E1400" t="s">
        <v>39</v>
      </c>
      <c r="F1400" t="s">
        <v>40</v>
      </c>
      <c r="G1400" t="s">
        <v>81</v>
      </c>
      <c r="H1400" t="s">
        <v>98</v>
      </c>
      <c r="I1400">
        <v>3</v>
      </c>
      <c r="J1400">
        <v>1641.51</v>
      </c>
      <c r="K1400">
        <v>0.15</v>
      </c>
      <c r="L1400">
        <v>4185.8500000000004</v>
      </c>
      <c r="M1400" t="s">
        <v>76</v>
      </c>
      <c r="N1400" t="s">
        <v>58</v>
      </c>
      <c r="O1400" t="s">
        <v>65</v>
      </c>
      <c r="P1400" t="s">
        <v>102</v>
      </c>
    </row>
    <row r="1401" spans="1:16" x14ac:dyDescent="0.3">
      <c r="A1401" t="s">
        <v>1751</v>
      </c>
      <c r="B1401" s="1">
        <v>45495</v>
      </c>
      <c r="C1401" t="s">
        <v>234</v>
      </c>
      <c r="D1401" t="s">
        <v>96</v>
      </c>
      <c r="E1401" t="s">
        <v>97</v>
      </c>
      <c r="F1401" t="s">
        <v>31</v>
      </c>
      <c r="G1401" t="s">
        <v>81</v>
      </c>
      <c r="H1401" t="s">
        <v>87</v>
      </c>
      <c r="I1401">
        <v>5</v>
      </c>
      <c r="J1401">
        <v>1192.6300000000001</v>
      </c>
      <c r="K1401">
        <v>0.1</v>
      </c>
      <c r="L1401">
        <v>5366.84</v>
      </c>
      <c r="M1401" t="s">
        <v>23</v>
      </c>
      <c r="N1401" t="s">
        <v>24</v>
      </c>
      <c r="O1401" t="s">
        <v>65</v>
      </c>
      <c r="P1401" t="s">
        <v>102</v>
      </c>
    </row>
    <row r="1402" spans="1:16" x14ac:dyDescent="0.3">
      <c r="A1402" t="s">
        <v>1752</v>
      </c>
      <c r="B1402" s="1">
        <v>45636</v>
      </c>
      <c r="C1402" t="s">
        <v>262</v>
      </c>
      <c r="D1402" t="s">
        <v>131</v>
      </c>
      <c r="E1402" t="s">
        <v>132</v>
      </c>
      <c r="F1402" t="s">
        <v>40</v>
      </c>
      <c r="G1402" t="s">
        <v>32</v>
      </c>
      <c r="H1402" t="s">
        <v>75</v>
      </c>
      <c r="I1402">
        <v>3</v>
      </c>
      <c r="J1402">
        <v>9829.2999999999993</v>
      </c>
      <c r="K1402">
        <v>0.03</v>
      </c>
      <c r="L1402">
        <v>28603.26</v>
      </c>
      <c r="M1402" t="s">
        <v>48</v>
      </c>
      <c r="N1402" t="s">
        <v>34</v>
      </c>
      <c r="O1402" t="s">
        <v>35</v>
      </c>
      <c r="P1402" t="s">
        <v>42</v>
      </c>
    </row>
    <row r="1403" spans="1:16" x14ac:dyDescent="0.3">
      <c r="A1403" t="s">
        <v>1753</v>
      </c>
      <c r="B1403" s="1">
        <v>45475</v>
      </c>
      <c r="C1403" t="s">
        <v>327</v>
      </c>
      <c r="D1403" t="s">
        <v>53</v>
      </c>
      <c r="E1403" t="s">
        <v>54</v>
      </c>
      <c r="F1403" t="s">
        <v>55</v>
      </c>
      <c r="G1403" t="s">
        <v>56</v>
      </c>
      <c r="H1403" t="s">
        <v>57</v>
      </c>
      <c r="I1403">
        <v>2</v>
      </c>
      <c r="J1403">
        <v>215.83</v>
      </c>
      <c r="K1403">
        <v>0.15</v>
      </c>
      <c r="L1403">
        <v>366.91</v>
      </c>
      <c r="M1403" t="s">
        <v>23</v>
      </c>
      <c r="N1403" t="s">
        <v>58</v>
      </c>
      <c r="O1403" t="s">
        <v>35</v>
      </c>
      <c r="P1403" t="s">
        <v>59</v>
      </c>
    </row>
    <row r="1404" spans="1:16" x14ac:dyDescent="0.3">
      <c r="A1404" t="s">
        <v>1754</v>
      </c>
      <c r="B1404" s="1">
        <v>46014</v>
      </c>
      <c r="C1404" t="s">
        <v>194</v>
      </c>
      <c r="D1404" t="s">
        <v>53</v>
      </c>
      <c r="E1404" t="s">
        <v>54</v>
      </c>
      <c r="F1404" t="s">
        <v>55</v>
      </c>
      <c r="G1404" t="s">
        <v>81</v>
      </c>
      <c r="H1404" t="s">
        <v>98</v>
      </c>
      <c r="I1404">
        <v>3</v>
      </c>
      <c r="J1404">
        <v>207.87</v>
      </c>
      <c r="K1404">
        <v>0.05</v>
      </c>
      <c r="L1404">
        <v>592.42999999999995</v>
      </c>
      <c r="M1404" t="s">
        <v>76</v>
      </c>
      <c r="N1404" t="s">
        <v>34</v>
      </c>
      <c r="O1404" t="s">
        <v>65</v>
      </c>
      <c r="P1404" t="s">
        <v>111</v>
      </c>
    </row>
    <row r="1405" spans="1:16" x14ac:dyDescent="0.3">
      <c r="A1405" t="s">
        <v>1755</v>
      </c>
      <c r="B1405" s="1">
        <v>46068</v>
      </c>
      <c r="C1405" t="s">
        <v>266</v>
      </c>
      <c r="D1405" t="s">
        <v>176</v>
      </c>
      <c r="E1405" t="s">
        <v>177</v>
      </c>
      <c r="F1405" t="s">
        <v>31</v>
      </c>
      <c r="G1405" t="s">
        <v>21</v>
      </c>
      <c r="H1405" t="s">
        <v>93</v>
      </c>
      <c r="I1405">
        <v>2</v>
      </c>
      <c r="J1405">
        <v>2331</v>
      </c>
      <c r="K1405">
        <v>0.2</v>
      </c>
      <c r="L1405">
        <v>3729.6</v>
      </c>
      <c r="M1405" t="s">
        <v>23</v>
      </c>
      <c r="N1405" t="s">
        <v>34</v>
      </c>
      <c r="O1405" t="s">
        <v>65</v>
      </c>
      <c r="P1405" t="s">
        <v>102</v>
      </c>
    </row>
    <row r="1406" spans="1:16" x14ac:dyDescent="0.3">
      <c r="A1406" t="s">
        <v>1756</v>
      </c>
      <c r="B1406" s="1">
        <v>45925</v>
      </c>
      <c r="C1406" t="s">
        <v>287</v>
      </c>
      <c r="D1406" t="s">
        <v>79</v>
      </c>
      <c r="E1406" t="s">
        <v>80</v>
      </c>
      <c r="F1406" t="s">
        <v>31</v>
      </c>
      <c r="G1406" t="s">
        <v>56</v>
      </c>
      <c r="H1406" t="s">
        <v>64</v>
      </c>
      <c r="I1406">
        <v>4</v>
      </c>
      <c r="J1406">
        <v>12799.13</v>
      </c>
      <c r="K1406">
        <v>0.05</v>
      </c>
      <c r="L1406">
        <v>48636.69</v>
      </c>
      <c r="M1406" t="s">
        <v>23</v>
      </c>
      <c r="N1406" t="s">
        <v>71</v>
      </c>
      <c r="O1406" t="s">
        <v>35</v>
      </c>
      <c r="P1406" t="s">
        <v>72</v>
      </c>
    </row>
    <row r="1407" spans="1:16" x14ac:dyDescent="0.3">
      <c r="A1407" t="s">
        <v>1757</v>
      </c>
      <c r="B1407" s="1">
        <v>45674</v>
      </c>
      <c r="C1407" t="s">
        <v>350</v>
      </c>
      <c r="D1407" t="s">
        <v>96</v>
      </c>
      <c r="E1407" t="s">
        <v>97</v>
      </c>
      <c r="F1407" t="s">
        <v>31</v>
      </c>
      <c r="G1407" t="s">
        <v>21</v>
      </c>
      <c r="H1407" t="s">
        <v>93</v>
      </c>
      <c r="I1407">
        <v>1</v>
      </c>
      <c r="J1407">
        <v>1237.52</v>
      </c>
      <c r="K1407">
        <v>0</v>
      </c>
      <c r="L1407">
        <v>1237.52</v>
      </c>
      <c r="M1407" t="s">
        <v>48</v>
      </c>
      <c r="N1407" t="s">
        <v>49</v>
      </c>
      <c r="O1407" t="s">
        <v>35</v>
      </c>
      <c r="P1407" t="s">
        <v>42</v>
      </c>
    </row>
    <row r="1408" spans="1:16" x14ac:dyDescent="0.3">
      <c r="A1408" t="s">
        <v>1758</v>
      </c>
      <c r="B1408" s="1">
        <v>46151</v>
      </c>
      <c r="C1408" t="s">
        <v>466</v>
      </c>
      <c r="D1408" t="s">
        <v>45</v>
      </c>
      <c r="E1408" t="s">
        <v>46</v>
      </c>
      <c r="F1408" t="s">
        <v>31</v>
      </c>
      <c r="G1408" t="s">
        <v>21</v>
      </c>
      <c r="H1408" t="s">
        <v>22</v>
      </c>
      <c r="I1408">
        <v>3</v>
      </c>
      <c r="J1408">
        <v>1721.6</v>
      </c>
      <c r="K1408">
        <v>0</v>
      </c>
      <c r="L1408">
        <v>5164.8</v>
      </c>
      <c r="M1408" t="s">
        <v>48</v>
      </c>
      <c r="N1408" t="s">
        <v>24</v>
      </c>
      <c r="O1408" t="s">
        <v>65</v>
      </c>
      <c r="P1408" t="s">
        <v>102</v>
      </c>
    </row>
    <row r="1409" spans="1:16" x14ac:dyDescent="0.3">
      <c r="A1409" t="s">
        <v>1759</v>
      </c>
      <c r="B1409" s="1">
        <v>45946</v>
      </c>
      <c r="C1409" t="s">
        <v>643</v>
      </c>
      <c r="D1409" t="s">
        <v>121</v>
      </c>
      <c r="E1409" t="s">
        <v>122</v>
      </c>
      <c r="F1409" t="s">
        <v>55</v>
      </c>
      <c r="G1409" t="s">
        <v>81</v>
      </c>
      <c r="H1409" t="s">
        <v>98</v>
      </c>
      <c r="I1409">
        <v>2</v>
      </c>
      <c r="J1409">
        <v>440.48</v>
      </c>
      <c r="K1409">
        <v>0.08</v>
      </c>
      <c r="L1409">
        <v>810.48</v>
      </c>
      <c r="M1409" t="s">
        <v>23</v>
      </c>
      <c r="N1409" t="s">
        <v>58</v>
      </c>
      <c r="O1409" t="s">
        <v>65</v>
      </c>
      <c r="P1409" t="s">
        <v>42</v>
      </c>
    </row>
    <row r="1410" spans="1:16" x14ac:dyDescent="0.3">
      <c r="A1410" t="s">
        <v>1760</v>
      </c>
      <c r="B1410" s="1">
        <v>45921</v>
      </c>
      <c r="C1410" t="s">
        <v>339</v>
      </c>
      <c r="D1410" t="s">
        <v>53</v>
      </c>
      <c r="E1410" t="s">
        <v>54</v>
      </c>
      <c r="F1410" t="s">
        <v>55</v>
      </c>
      <c r="G1410" t="s">
        <v>81</v>
      </c>
      <c r="H1410" t="s">
        <v>82</v>
      </c>
      <c r="I1410">
        <v>5</v>
      </c>
      <c r="J1410">
        <v>234.59</v>
      </c>
      <c r="K1410">
        <v>0.15</v>
      </c>
      <c r="L1410">
        <v>997.01</v>
      </c>
      <c r="M1410" t="s">
        <v>76</v>
      </c>
      <c r="N1410" t="s">
        <v>71</v>
      </c>
      <c r="O1410" t="s">
        <v>65</v>
      </c>
      <c r="P1410" t="s">
        <v>42</v>
      </c>
    </row>
    <row r="1411" spans="1:16" x14ac:dyDescent="0.3">
      <c r="A1411" t="s">
        <v>1761</v>
      </c>
      <c r="B1411" s="1">
        <v>45501</v>
      </c>
      <c r="C1411" t="s">
        <v>336</v>
      </c>
      <c r="D1411" t="s">
        <v>79</v>
      </c>
      <c r="E1411" t="s">
        <v>80</v>
      </c>
      <c r="F1411" t="s">
        <v>31</v>
      </c>
      <c r="G1411" t="s">
        <v>56</v>
      </c>
      <c r="H1411" t="s">
        <v>101</v>
      </c>
      <c r="I1411">
        <v>1</v>
      </c>
      <c r="J1411">
        <v>13231.66</v>
      </c>
      <c r="K1411">
        <v>0.05</v>
      </c>
      <c r="L1411">
        <v>12570.08</v>
      </c>
      <c r="M1411" t="s">
        <v>48</v>
      </c>
      <c r="N1411" t="s">
        <v>24</v>
      </c>
      <c r="O1411" t="s">
        <v>65</v>
      </c>
      <c r="P1411" t="s">
        <v>59</v>
      </c>
    </row>
    <row r="1412" spans="1:16" x14ac:dyDescent="0.3">
      <c r="A1412" t="s">
        <v>1762</v>
      </c>
      <c r="B1412" s="1">
        <v>45486</v>
      </c>
      <c r="C1412" t="s">
        <v>587</v>
      </c>
      <c r="D1412" t="s">
        <v>105</v>
      </c>
      <c r="E1412" t="s">
        <v>106</v>
      </c>
      <c r="F1412" t="s">
        <v>40</v>
      </c>
      <c r="G1412" t="s">
        <v>32</v>
      </c>
      <c r="H1412" t="s">
        <v>75</v>
      </c>
      <c r="I1412">
        <v>4</v>
      </c>
      <c r="J1412">
        <v>6811.24</v>
      </c>
      <c r="K1412">
        <v>0.08</v>
      </c>
      <c r="L1412">
        <v>25065.360000000001</v>
      </c>
      <c r="M1412" t="s">
        <v>23</v>
      </c>
      <c r="N1412" t="s">
        <v>58</v>
      </c>
      <c r="O1412" t="s">
        <v>65</v>
      </c>
      <c r="P1412" t="s">
        <v>59</v>
      </c>
    </row>
    <row r="1413" spans="1:16" x14ac:dyDescent="0.3">
      <c r="A1413" t="s">
        <v>1763</v>
      </c>
      <c r="B1413" s="1">
        <v>45909</v>
      </c>
      <c r="C1413" t="s">
        <v>212</v>
      </c>
      <c r="D1413" t="s">
        <v>121</v>
      </c>
      <c r="E1413" t="s">
        <v>122</v>
      </c>
      <c r="F1413" t="s">
        <v>55</v>
      </c>
      <c r="G1413" t="s">
        <v>81</v>
      </c>
      <c r="H1413" t="s">
        <v>135</v>
      </c>
      <c r="I1413">
        <v>2</v>
      </c>
      <c r="J1413">
        <v>478.99</v>
      </c>
      <c r="K1413">
        <v>0.03</v>
      </c>
      <c r="L1413">
        <v>929.24</v>
      </c>
      <c r="M1413" t="s">
        <v>23</v>
      </c>
      <c r="N1413" t="s">
        <v>24</v>
      </c>
      <c r="O1413" t="s">
        <v>65</v>
      </c>
      <c r="P1413" t="s">
        <v>59</v>
      </c>
    </row>
    <row r="1414" spans="1:16" x14ac:dyDescent="0.3">
      <c r="A1414" t="s">
        <v>1764</v>
      </c>
      <c r="B1414" s="1">
        <v>45817</v>
      </c>
      <c r="C1414" t="s">
        <v>848</v>
      </c>
      <c r="D1414" t="s">
        <v>18</v>
      </c>
      <c r="E1414" t="s">
        <v>19</v>
      </c>
      <c r="F1414" t="s">
        <v>20</v>
      </c>
      <c r="G1414" t="s">
        <v>260</v>
      </c>
      <c r="H1414" t="s">
        <v>101</v>
      </c>
      <c r="I1414">
        <v>1</v>
      </c>
      <c r="J1414">
        <v>795.58</v>
      </c>
      <c r="K1414">
        <v>0.08</v>
      </c>
      <c r="L1414">
        <v>731.93</v>
      </c>
      <c r="M1414" t="s">
        <v>76</v>
      </c>
      <c r="N1414" t="s">
        <v>49</v>
      </c>
      <c r="O1414" t="s">
        <v>25</v>
      </c>
      <c r="P1414" t="s">
        <v>50</v>
      </c>
    </row>
    <row r="1415" spans="1:16" x14ac:dyDescent="0.3">
      <c r="A1415" t="s">
        <v>1765</v>
      </c>
      <c r="B1415" s="1">
        <v>45979</v>
      </c>
      <c r="C1415" t="s">
        <v>100</v>
      </c>
      <c r="D1415" t="s">
        <v>96</v>
      </c>
      <c r="E1415" t="s">
        <v>97</v>
      </c>
      <c r="F1415" t="s">
        <v>31</v>
      </c>
      <c r="G1415" t="s">
        <v>32</v>
      </c>
      <c r="H1415" t="s">
        <v>47</v>
      </c>
      <c r="I1415">
        <v>3</v>
      </c>
      <c r="J1415">
        <v>1220.76</v>
      </c>
      <c r="K1415">
        <v>0.15</v>
      </c>
      <c r="L1415">
        <v>3112.94</v>
      </c>
      <c r="M1415" t="s">
        <v>76</v>
      </c>
      <c r="N1415" t="s">
        <v>49</v>
      </c>
      <c r="O1415" t="s">
        <v>65</v>
      </c>
      <c r="P1415" t="s">
        <v>59</v>
      </c>
    </row>
    <row r="1416" spans="1:16" x14ac:dyDescent="0.3">
      <c r="A1416" t="s">
        <v>1766</v>
      </c>
      <c r="B1416" s="1">
        <v>45398</v>
      </c>
      <c r="D1416" t="s">
        <v>131</v>
      </c>
      <c r="E1416" t="s">
        <v>132</v>
      </c>
      <c r="F1416" t="s">
        <v>40</v>
      </c>
      <c r="G1416" t="s">
        <v>32</v>
      </c>
      <c r="H1416" t="s">
        <v>68</v>
      </c>
      <c r="I1416">
        <v>3</v>
      </c>
      <c r="J1416">
        <v>9479.75</v>
      </c>
      <c r="K1416">
        <v>0.1</v>
      </c>
      <c r="L1416">
        <v>25595.33</v>
      </c>
      <c r="M1416" t="s">
        <v>23</v>
      </c>
      <c r="N1416" t="s">
        <v>58</v>
      </c>
      <c r="O1416" t="s">
        <v>65</v>
      </c>
      <c r="P1416" t="s">
        <v>42</v>
      </c>
    </row>
    <row r="1417" spans="1:16" x14ac:dyDescent="0.3">
      <c r="A1417" t="s">
        <v>1767</v>
      </c>
      <c r="B1417" s="1">
        <v>45515</v>
      </c>
      <c r="C1417" t="s">
        <v>695</v>
      </c>
      <c r="D1417" t="s">
        <v>131</v>
      </c>
      <c r="E1417" t="s">
        <v>132</v>
      </c>
      <c r="F1417" t="s">
        <v>40</v>
      </c>
      <c r="G1417" t="s">
        <v>56</v>
      </c>
      <c r="H1417" t="s">
        <v>57</v>
      </c>
      <c r="I1417">
        <v>4</v>
      </c>
      <c r="J1417">
        <v>8987.0400000000009</v>
      </c>
      <c r="K1417">
        <v>0.08</v>
      </c>
      <c r="L1417">
        <v>33072.31</v>
      </c>
      <c r="M1417" t="s">
        <v>48</v>
      </c>
      <c r="N1417" t="s">
        <v>24</v>
      </c>
      <c r="O1417" t="s">
        <v>65</v>
      </c>
      <c r="P1417" t="s">
        <v>42</v>
      </c>
    </row>
    <row r="1418" spans="1:16" x14ac:dyDescent="0.3">
      <c r="A1418" t="s">
        <v>1768</v>
      </c>
      <c r="B1418" s="1">
        <v>45316</v>
      </c>
      <c r="C1418" t="s">
        <v>385</v>
      </c>
      <c r="D1418" t="s">
        <v>170</v>
      </c>
      <c r="E1418" t="s">
        <v>171</v>
      </c>
      <c r="F1418" t="s">
        <v>31</v>
      </c>
      <c r="G1418" t="s">
        <v>32</v>
      </c>
      <c r="H1418" t="s">
        <v>33</v>
      </c>
      <c r="I1418">
        <v>5</v>
      </c>
      <c r="J1418">
        <v>64130.61</v>
      </c>
      <c r="K1418">
        <v>0.2</v>
      </c>
      <c r="L1418">
        <v>256522.44</v>
      </c>
      <c r="M1418" t="s">
        <v>23</v>
      </c>
      <c r="N1418" t="s">
        <v>58</v>
      </c>
      <c r="O1418" t="s">
        <v>35</v>
      </c>
      <c r="P1418" t="s">
        <v>72</v>
      </c>
    </row>
    <row r="1419" spans="1:16" x14ac:dyDescent="0.3">
      <c r="A1419" t="s">
        <v>1769</v>
      </c>
      <c r="B1419" s="1">
        <v>46154</v>
      </c>
      <c r="C1419" t="s">
        <v>277</v>
      </c>
      <c r="D1419" t="s">
        <v>18</v>
      </c>
      <c r="E1419" t="s">
        <v>19</v>
      </c>
      <c r="F1419" t="s">
        <v>20</v>
      </c>
      <c r="G1419" t="s">
        <v>56</v>
      </c>
      <c r="H1419" t="s">
        <v>64</v>
      </c>
      <c r="I1419">
        <v>4</v>
      </c>
      <c r="J1419">
        <v>796.85</v>
      </c>
      <c r="K1419">
        <v>0</v>
      </c>
      <c r="L1419">
        <v>3187.4</v>
      </c>
      <c r="M1419" t="s">
        <v>48</v>
      </c>
      <c r="N1419" t="s">
        <v>49</v>
      </c>
      <c r="O1419" t="s">
        <v>25</v>
      </c>
      <c r="P1419" t="s">
        <v>102</v>
      </c>
    </row>
    <row r="1420" spans="1:16" x14ac:dyDescent="0.3">
      <c r="A1420" t="s">
        <v>1770</v>
      </c>
      <c r="B1420" s="1">
        <v>46171</v>
      </c>
      <c r="C1420" t="s">
        <v>468</v>
      </c>
      <c r="D1420" t="s">
        <v>89</v>
      </c>
      <c r="E1420" t="s">
        <v>90</v>
      </c>
      <c r="F1420" t="s">
        <v>20</v>
      </c>
      <c r="G1420" t="s">
        <v>81</v>
      </c>
      <c r="H1420" t="s">
        <v>135</v>
      </c>
      <c r="I1420">
        <v>4</v>
      </c>
      <c r="J1420">
        <v>753.5</v>
      </c>
      <c r="K1420">
        <v>0.15</v>
      </c>
      <c r="L1420">
        <v>2561.9</v>
      </c>
      <c r="M1420" t="s">
        <v>23</v>
      </c>
      <c r="N1420" t="s">
        <v>71</v>
      </c>
      <c r="O1420" t="s">
        <v>65</v>
      </c>
      <c r="P1420" t="s">
        <v>72</v>
      </c>
    </row>
    <row r="1421" spans="1:16" x14ac:dyDescent="0.3">
      <c r="A1421" t="s">
        <v>1771</v>
      </c>
      <c r="B1421" s="1">
        <v>45918</v>
      </c>
      <c r="C1421" t="s">
        <v>204</v>
      </c>
      <c r="D1421" t="s">
        <v>105</v>
      </c>
      <c r="E1421" t="s">
        <v>106</v>
      </c>
      <c r="F1421" t="s">
        <v>40</v>
      </c>
      <c r="G1421" t="s">
        <v>81</v>
      </c>
      <c r="H1421" t="s">
        <v>135</v>
      </c>
      <c r="I1421">
        <v>5</v>
      </c>
      <c r="J1421">
        <v>7772.89</v>
      </c>
      <c r="K1421">
        <v>0.15</v>
      </c>
      <c r="L1421">
        <v>33034.78</v>
      </c>
      <c r="M1421" t="s">
        <v>48</v>
      </c>
      <c r="N1421" t="s">
        <v>49</v>
      </c>
      <c r="O1421" t="s">
        <v>65</v>
      </c>
      <c r="P1421" t="s">
        <v>59</v>
      </c>
    </row>
    <row r="1422" spans="1:16" x14ac:dyDescent="0.3">
      <c r="A1422" t="s">
        <v>1772</v>
      </c>
      <c r="B1422" s="1">
        <v>46139</v>
      </c>
      <c r="C1422" t="s">
        <v>687</v>
      </c>
      <c r="D1422" t="s">
        <v>170</v>
      </c>
      <c r="E1422" t="s">
        <v>171</v>
      </c>
      <c r="F1422" t="s">
        <v>31</v>
      </c>
      <c r="G1422" t="s">
        <v>21</v>
      </c>
      <c r="H1422" t="s">
        <v>41</v>
      </c>
      <c r="I1422">
        <v>4</v>
      </c>
      <c r="J1422">
        <v>69257.119999999995</v>
      </c>
      <c r="K1422">
        <v>0.15</v>
      </c>
      <c r="L1422">
        <v>235474.21</v>
      </c>
      <c r="M1422" t="s">
        <v>23</v>
      </c>
      <c r="N1422" t="s">
        <v>58</v>
      </c>
      <c r="O1422" t="s">
        <v>65</v>
      </c>
      <c r="P1422" t="s">
        <v>42</v>
      </c>
    </row>
    <row r="1423" spans="1:16" x14ac:dyDescent="0.3">
      <c r="A1423" t="s">
        <v>1773</v>
      </c>
      <c r="B1423" s="1">
        <v>45620</v>
      </c>
      <c r="C1423" t="s">
        <v>817</v>
      </c>
      <c r="D1423" t="s">
        <v>79</v>
      </c>
      <c r="E1423" t="s">
        <v>80</v>
      </c>
      <c r="F1423" t="s">
        <v>31</v>
      </c>
      <c r="G1423" t="s">
        <v>21</v>
      </c>
      <c r="H1423" t="s">
        <v>93</v>
      </c>
      <c r="I1423">
        <v>1</v>
      </c>
      <c r="J1423">
        <v>13422.04</v>
      </c>
      <c r="K1423">
        <v>0.15</v>
      </c>
      <c r="L1423">
        <v>11408.73</v>
      </c>
      <c r="M1423" t="s">
        <v>48</v>
      </c>
      <c r="N1423" t="s">
        <v>24</v>
      </c>
      <c r="O1423" t="s">
        <v>65</v>
      </c>
      <c r="P1423" t="s">
        <v>72</v>
      </c>
    </row>
    <row r="1424" spans="1:16" x14ac:dyDescent="0.3">
      <c r="A1424" t="s">
        <v>1774</v>
      </c>
      <c r="B1424" s="1">
        <v>45987</v>
      </c>
      <c r="C1424" t="s">
        <v>319</v>
      </c>
      <c r="D1424" t="s">
        <v>79</v>
      </c>
      <c r="E1424" t="s">
        <v>80</v>
      </c>
      <c r="F1424" t="s">
        <v>31</v>
      </c>
      <c r="G1424" t="s">
        <v>32</v>
      </c>
      <c r="H1424" t="s">
        <v>47</v>
      </c>
      <c r="I1424">
        <v>2</v>
      </c>
      <c r="J1424">
        <v>12441.69</v>
      </c>
      <c r="K1424">
        <v>0.03</v>
      </c>
      <c r="L1424">
        <v>24136.880000000001</v>
      </c>
      <c r="M1424" t="s">
        <v>76</v>
      </c>
      <c r="N1424" t="s">
        <v>58</v>
      </c>
      <c r="O1424" t="s">
        <v>65</v>
      </c>
      <c r="P1424" t="s">
        <v>50</v>
      </c>
    </row>
    <row r="1425" spans="1:16" x14ac:dyDescent="0.3">
      <c r="A1425" t="s">
        <v>1775</v>
      </c>
      <c r="B1425" s="1">
        <v>46047</v>
      </c>
      <c r="D1425" t="s">
        <v>79</v>
      </c>
      <c r="E1425" t="s">
        <v>80</v>
      </c>
      <c r="F1425" t="s">
        <v>31</v>
      </c>
      <c r="G1425" t="s">
        <v>81</v>
      </c>
      <c r="H1425" t="s">
        <v>135</v>
      </c>
      <c r="I1425">
        <v>1</v>
      </c>
      <c r="J1425">
        <v>12909.85</v>
      </c>
      <c r="K1425">
        <v>0.05</v>
      </c>
      <c r="L1425">
        <v>12264.36</v>
      </c>
      <c r="M1425" t="s">
        <v>23</v>
      </c>
      <c r="N1425" t="s">
        <v>34</v>
      </c>
      <c r="O1425" t="s">
        <v>65</v>
      </c>
      <c r="P1425" t="s">
        <v>50</v>
      </c>
    </row>
    <row r="1426" spans="1:16" x14ac:dyDescent="0.3">
      <c r="A1426" t="s">
        <v>1776</v>
      </c>
      <c r="B1426" s="1">
        <v>45618</v>
      </c>
      <c r="C1426" t="s">
        <v>389</v>
      </c>
      <c r="D1426" t="s">
        <v>85</v>
      </c>
      <c r="E1426" t="s">
        <v>86</v>
      </c>
      <c r="F1426" t="s">
        <v>20</v>
      </c>
      <c r="G1426" t="s">
        <v>81</v>
      </c>
      <c r="H1426" t="s">
        <v>87</v>
      </c>
      <c r="I1426">
        <v>5</v>
      </c>
      <c r="J1426">
        <v>1779.81</v>
      </c>
      <c r="K1426">
        <v>0.03</v>
      </c>
      <c r="L1426">
        <v>8632.08</v>
      </c>
      <c r="M1426" t="s">
        <v>48</v>
      </c>
      <c r="N1426" t="s">
        <v>24</v>
      </c>
      <c r="O1426" t="s">
        <v>65</v>
      </c>
      <c r="P1426" t="s">
        <v>26</v>
      </c>
    </row>
    <row r="1427" spans="1:16" x14ac:dyDescent="0.3">
      <c r="A1427" t="s">
        <v>1777</v>
      </c>
      <c r="B1427" s="1">
        <v>45935</v>
      </c>
      <c r="C1427" t="s">
        <v>643</v>
      </c>
      <c r="D1427" t="s">
        <v>79</v>
      </c>
      <c r="E1427" t="s">
        <v>80</v>
      </c>
      <c r="F1427" t="s">
        <v>31</v>
      </c>
      <c r="G1427" t="s">
        <v>32</v>
      </c>
      <c r="H1427" t="s">
        <v>33</v>
      </c>
      <c r="I1427">
        <v>2</v>
      </c>
      <c r="J1427">
        <v>12928.91</v>
      </c>
      <c r="K1427">
        <v>0.03</v>
      </c>
      <c r="L1427">
        <v>25082.09</v>
      </c>
      <c r="M1427" t="s">
        <v>48</v>
      </c>
      <c r="N1427" t="s">
        <v>34</v>
      </c>
      <c r="O1427" t="s">
        <v>65</v>
      </c>
      <c r="P1427" t="s">
        <v>102</v>
      </c>
    </row>
    <row r="1428" spans="1:16" x14ac:dyDescent="0.3">
      <c r="A1428" t="s">
        <v>1778</v>
      </c>
      <c r="B1428" s="1">
        <v>45567</v>
      </c>
      <c r="C1428" t="s">
        <v>245</v>
      </c>
      <c r="D1428" t="s">
        <v>62</v>
      </c>
      <c r="E1428" t="s">
        <v>63</v>
      </c>
      <c r="F1428" t="s">
        <v>31</v>
      </c>
      <c r="G1428" t="s">
        <v>56</v>
      </c>
      <c r="H1428" t="s">
        <v>64</v>
      </c>
      <c r="I1428">
        <v>1</v>
      </c>
      <c r="J1428">
        <v>2988.84</v>
      </c>
      <c r="K1428">
        <v>0.15</v>
      </c>
      <c r="L1428">
        <v>2540.5100000000002</v>
      </c>
      <c r="M1428" t="s">
        <v>76</v>
      </c>
      <c r="N1428" t="s">
        <v>49</v>
      </c>
      <c r="O1428" t="s">
        <v>65</v>
      </c>
      <c r="P1428" t="s">
        <v>72</v>
      </c>
    </row>
    <row r="1429" spans="1:16" x14ac:dyDescent="0.3">
      <c r="A1429" t="s">
        <v>1779</v>
      </c>
      <c r="B1429" s="1">
        <v>45333</v>
      </c>
      <c r="C1429" t="s">
        <v>266</v>
      </c>
      <c r="D1429" t="s">
        <v>29</v>
      </c>
      <c r="E1429" t="s">
        <v>30</v>
      </c>
      <c r="F1429" t="s">
        <v>31</v>
      </c>
      <c r="G1429" t="s">
        <v>32</v>
      </c>
      <c r="H1429" t="s">
        <v>47</v>
      </c>
      <c r="I1429">
        <v>1</v>
      </c>
      <c r="J1429">
        <v>3104.52</v>
      </c>
      <c r="K1429">
        <v>0</v>
      </c>
      <c r="L1429">
        <v>3104.52</v>
      </c>
      <c r="M1429" t="s">
        <v>76</v>
      </c>
      <c r="N1429" t="s">
        <v>34</v>
      </c>
      <c r="O1429" t="s">
        <v>65</v>
      </c>
      <c r="P1429" t="s">
        <v>102</v>
      </c>
    </row>
    <row r="1430" spans="1:16" x14ac:dyDescent="0.3">
      <c r="A1430" t="s">
        <v>1780</v>
      </c>
      <c r="B1430" s="1">
        <v>45699</v>
      </c>
      <c r="C1430" t="s">
        <v>648</v>
      </c>
      <c r="D1430" t="s">
        <v>53</v>
      </c>
      <c r="E1430" t="s">
        <v>54</v>
      </c>
      <c r="F1430" t="s">
        <v>55</v>
      </c>
      <c r="G1430" t="s">
        <v>81</v>
      </c>
      <c r="H1430" t="s">
        <v>82</v>
      </c>
      <c r="I1430">
        <v>1</v>
      </c>
      <c r="J1430">
        <v>206</v>
      </c>
      <c r="K1430">
        <v>0.03</v>
      </c>
      <c r="L1430">
        <v>199.82</v>
      </c>
      <c r="M1430" t="s">
        <v>48</v>
      </c>
      <c r="N1430" t="s">
        <v>71</v>
      </c>
      <c r="O1430" t="s">
        <v>65</v>
      </c>
      <c r="P1430" t="s">
        <v>102</v>
      </c>
    </row>
    <row r="1431" spans="1:16" x14ac:dyDescent="0.3">
      <c r="A1431" t="s">
        <v>1781</v>
      </c>
      <c r="B1431" s="1">
        <v>45660</v>
      </c>
      <c r="C1431" t="s">
        <v>243</v>
      </c>
      <c r="D1431" t="s">
        <v>45</v>
      </c>
      <c r="E1431" t="s">
        <v>46</v>
      </c>
      <c r="F1431" t="s">
        <v>31</v>
      </c>
      <c r="G1431" t="s">
        <v>81</v>
      </c>
      <c r="H1431" t="s">
        <v>82</v>
      </c>
      <c r="I1431">
        <v>5</v>
      </c>
      <c r="J1431">
        <v>1905.46</v>
      </c>
      <c r="K1431">
        <v>0.05</v>
      </c>
      <c r="L1431">
        <v>9050.93</v>
      </c>
      <c r="M1431" t="s">
        <v>23</v>
      </c>
      <c r="N1431" t="s">
        <v>71</v>
      </c>
      <c r="O1431" t="s">
        <v>65</v>
      </c>
      <c r="P1431" t="s">
        <v>50</v>
      </c>
    </row>
    <row r="1432" spans="1:16" x14ac:dyDescent="0.3">
      <c r="A1432" t="s">
        <v>1782</v>
      </c>
      <c r="B1432" s="1">
        <v>45777</v>
      </c>
      <c r="D1432" t="s">
        <v>105</v>
      </c>
      <c r="E1432" t="s">
        <v>106</v>
      </c>
      <c r="F1432" t="s">
        <v>40</v>
      </c>
      <c r="G1432" t="s">
        <v>32</v>
      </c>
      <c r="H1432" t="s">
        <v>75</v>
      </c>
      <c r="I1432">
        <v>1</v>
      </c>
      <c r="J1432">
        <v>7375.44</v>
      </c>
      <c r="K1432">
        <v>0.15</v>
      </c>
      <c r="L1432">
        <v>6269.12</v>
      </c>
      <c r="M1432" t="s">
        <v>23</v>
      </c>
      <c r="N1432" t="s">
        <v>58</v>
      </c>
      <c r="O1432" t="s">
        <v>35</v>
      </c>
      <c r="P1432" t="s">
        <v>111</v>
      </c>
    </row>
    <row r="1433" spans="1:16" x14ac:dyDescent="0.3">
      <c r="A1433" t="s">
        <v>1783</v>
      </c>
      <c r="B1433" s="1">
        <v>45627</v>
      </c>
      <c r="C1433" t="s">
        <v>483</v>
      </c>
      <c r="D1433" t="s">
        <v>96</v>
      </c>
      <c r="E1433" t="s">
        <v>97</v>
      </c>
      <c r="F1433" t="s">
        <v>31</v>
      </c>
      <c r="G1433" t="s">
        <v>81</v>
      </c>
      <c r="H1433" t="s">
        <v>87</v>
      </c>
      <c r="I1433">
        <v>5</v>
      </c>
      <c r="J1433">
        <v>1106.57</v>
      </c>
      <c r="K1433">
        <v>0.08</v>
      </c>
      <c r="L1433">
        <v>5090.22</v>
      </c>
      <c r="M1433" t="s">
        <v>76</v>
      </c>
      <c r="N1433" t="s">
        <v>34</v>
      </c>
      <c r="O1433" t="s">
        <v>65</v>
      </c>
      <c r="P1433" t="s">
        <v>102</v>
      </c>
    </row>
    <row r="1434" spans="1:16" x14ac:dyDescent="0.3">
      <c r="A1434" t="s">
        <v>1784</v>
      </c>
      <c r="B1434" s="1">
        <v>45802</v>
      </c>
      <c r="C1434" t="s">
        <v>493</v>
      </c>
      <c r="D1434" t="s">
        <v>105</v>
      </c>
      <c r="E1434" t="s">
        <v>106</v>
      </c>
      <c r="F1434" t="s">
        <v>40</v>
      </c>
      <c r="G1434" t="s">
        <v>32</v>
      </c>
      <c r="H1434" t="s">
        <v>68</v>
      </c>
      <c r="I1434">
        <v>4</v>
      </c>
      <c r="J1434">
        <v>7269.37</v>
      </c>
      <c r="K1434">
        <v>0.15</v>
      </c>
      <c r="L1434">
        <v>24715.86</v>
      </c>
      <c r="M1434" t="s">
        <v>23</v>
      </c>
      <c r="N1434" t="s">
        <v>34</v>
      </c>
      <c r="O1434" t="s">
        <v>413</v>
      </c>
      <c r="P1434" t="s">
        <v>111</v>
      </c>
    </row>
    <row r="1435" spans="1:16" x14ac:dyDescent="0.3">
      <c r="A1435" t="s">
        <v>1785</v>
      </c>
      <c r="B1435" s="1">
        <v>45448</v>
      </c>
      <c r="C1435" t="s">
        <v>426</v>
      </c>
      <c r="D1435" t="s">
        <v>79</v>
      </c>
      <c r="E1435" t="s">
        <v>80</v>
      </c>
      <c r="F1435" t="s">
        <v>31</v>
      </c>
      <c r="G1435" t="s">
        <v>32</v>
      </c>
      <c r="H1435" t="s">
        <v>47</v>
      </c>
      <c r="I1435">
        <v>3</v>
      </c>
      <c r="J1435">
        <v>12173.84</v>
      </c>
      <c r="K1435">
        <v>0.2</v>
      </c>
      <c r="L1435">
        <v>29217.22</v>
      </c>
      <c r="M1435" t="s">
        <v>23</v>
      </c>
      <c r="N1435" t="s">
        <v>71</v>
      </c>
      <c r="O1435" t="s">
        <v>65</v>
      </c>
      <c r="P1435" t="s">
        <v>26</v>
      </c>
    </row>
    <row r="1436" spans="1:16" x14ac:dyDescent="0.3">
      <c r="A1436" t="s">
        <v>1786</v>
      </c>
      <c r="B1436" s="1">
        <v>45422</v>
      </c>
      <c r="C1436" t="s">
        <v>208</v>
      </c>
      <c r="D1436" t="s">
        <v>131</v>
      </c>
      <c r="E1436" t="s">
        <v>132</v>
      </c>
      <c r="F1436" t="s">
        <v>40</v>
      </c>
      <c r="G1436" t="s">
        <v>56</v>
      </c>
      <c r="H1436" t="s">
        <v>101</v>
      </c>
      <c r="I1436">
        <v>1</v>
      </c>
      <c r="J1436">
        <v>9454.11</v>
      </c>
      <c r="K1436">
        <v>0.05</v>
      </c>
      <c r="L1436">
        <v>8981.4</v>
      </c>
      <c r="M1436" t="s">
        <v>76</v>
      </c>
      <c r="N1436" t="s">
        <v>24</v>
      </c>
      <c r="O1436" t="s">
        <v>65</v>
      </c>
      <c r="P1436" t="s">
        <v>102</v>
      </c>
    </row>
    <row r="1437" spans="1:16" x14ac:dyDescent="0.3">
      <c r="A1437" t="s">
        <v>1787</v>
      </c>
      <c r="B1437" s="1">
        <v>45346</v>
      </c>
      <c r="C1437" t="s">
        <v>845</v>
      </c>
      <c r="D1437" t="s">
        <v>53</v>
      </c>
      <c r="E1437" t="s">
        <v>54</v>
      </c>
      <c r="F1437" t="s">
        <v>55</v>
      </c>
      <c r="G1437" t="s">
        <v>81</v>
      </c>
      <c r="H1437" t="s">
        <v>98</v>
      </c>
      <c r="I1437">
        <v>5</v>
      </c>
      <c r="J1437">
        <v>224.36</v>
      </c>
      <c r="K1437">
        <v>0.1</v>
      </c>
      <c r="L1437">
        <v>1009.62</v>
      </c>
      <c r="M1437" t="s">
        <v>48</v>
      </c>
      <c r="N1437" t="s">
        <v>58</v>
      </c>
      <c r="O1437" t="s">
        <v>65</v>
      </c>
      <c r="P1437" t="s">
        <v>116</v>
      </c>
    </row>
    <row r="1438" spans="1:16" x14ac:dyDescent="0.3">
      <c r="A1438" t="s">
        <v>1788</v>
      </c>
      <c r="B1438" s="1">
        <v>45634</v>
      </c>
      <c r="C1438" t="s">
        <v>419</v>
      </c>
      <c r="D1438" t="s">
        <v>176</v>
      </c>
      <c r="E1438" t="s">
        <v>177</v>
      </c>
      <c r="F1438" t="s">
        <v>31</v>
      </c>
      <c r="G1438" t="s">
        <v>81</v>
      </c>
      <c r="H1438" t="s">
        <v>98</v>
      </c>
      <c r="I1438">
        <v>5</v>
      </c>
      <c r="J1438">
        <v>2216.9899999999998</v>
      </c>
      <c r="K1438">
        <v>0.05</v>
      </c>
      <c r="L1438">
        <v>10530.7</v>
      </c>
      <c r="M1438" t="s">
        <v>76</v>
      </c>
      <c r="N1438" t="s">
        <v>49</v>
      </c>
      <c r="O1438" t="s">
        <v>65</v>
      </c>
      <c r="P1438" t="s">
        <v>50</v>
      </c>
    </row>
    <row r="1439" spans="1:16" x14ac:dyDescent="0.3">
      <c r="A1439" t="s">
        <v>1789</v>
      </c>
      <c r="B1439" s="1">
        <v>45341</v>
      </c>
      <c r="C1439" t="s">
        <v>1250</v>
      </c>
      <c r="D1439" t="s">
        <v>38</v>
      </c>
      <c r="E1439" t="s">
        <v>39</v>
      </c>
      <c r="F1439" t="s">
        <v>40</v>
      </c>
      <c r="G1439" t="s">
        <v>81</v>
      </c>
      <c r="H1439" t="s">
        <v>82</v>
      </c>
      <c r="I1439">
        <v>3</v>
      </c>
      <c r="J1439">
        <v>1523.26</v>
      </c>
      <c r="K1439">
        <v>0.15</v>
      </c>
      <c r="L1439">
        <v>3884.31</v>
      </c>
      <c r="M1439" t="s">
        <v>23</v>
      </c>
      <c r="N1439" t="s">
        <v>24</v>
      </c>
      <c r="O1439" t="s">
        <v>65</v>
      </c>
      <c r="P1439" t="s">
        <v>59</v>
      </c>
    </row>
    <row r="1440" spans="1:16" x14ac:dyDescent="0.3">
      <c r="A1440" t="s">
        <v>1790</v>
      </c>
      <c r="B1440" s="1">
        <v>45569</v>
      </c>
      <c r="C1440" t="s">
        <v>304</v>
      </c>
      <c r="D1440" t="s">
        <v>38</v>
      </c>
      <c r="E1440" t="s">
        <v>39</v>
      </c>
      <c r="F1440" t="s">
        <v>40</v>
      </c>
      <c r="G1440" t="s">
        <v>32</v>
      </c>
      <c r="H1440" t="s">
        <v>33</v>
      </c>
      <c r="I1440">
        <v>4</v>
      </c>
      <c r="J1440">
        <v>1670.83</v>
      </c>
      <c r="K1440">
        <v>0.15</v>
      </c>
      <c r="L1440">
        <v>5680.82</v>
      </c>
      <c r="M1440" t="s">
        <v>76</v>
      </c>
      <c r="N1440" t="s">
        <v>49</v>
      </c>
      <c r="O1440" t="s">
        <v>65</v>
      </c>
      <c r="P1440" t="s">
        <v>26</v>
      </c>
    </row>
    <row r="1441" spans="1:16" x14ac:dyDescent="0.3">
      <c r="A1441" t="s">
        <v>1791</v>
      </c>
      <c r="B1441" s="1">
        <v>45954</v>
      </c>
      <c r="C1441" t="s">
        <v>776</v>
      </c>
      <c r="D1441" t="s">
        <v>79</v>
      </c>
      <c r="E1441" t="s">
        <v>80</v>
      </c>
      <c r="F1441" t="s">
        <v>31</v>
      </c>
      <c r="G1441" t="s">
        <v>21</v>
      </c>
      <c r="H1441" t="s">
        <v>126</v>
      </c>
      <c r="I1441">
        <v>1</v>
      </c>
      <c r="J1441">
        <v>13466.08</v>
      </c>
      <c r="K1441">
        <v>0.05</v>
      </c>
      <c r="L1441">
        <v>12792.78</v>
      </c>
      <c r="M1441" t="s">
        <v>76</v>
      </c>
      <c r="N1441" t="s">
        <v>49</v>
      </c>
      <c r="O1441" t="s">
        <v>35</v>
      </c>
      <c r="P1441" t="s">
        <v>72</v>
      </c>
    </row>
    <row r="1442" spans="1:16" x14ac:dyDescent="0.3">
      <c r="A1442" t="s">
        <v>1792</v>
      </c>
      <c r="B1442" s="1">
        <v>45966</v>
      </c>
      <c r="C1442" t="s">
        <v>113</v>
      </c>
      <c r="D1442" t="s">
        <v>131</v>
      </c>
      <c r="E1442" t="s">
        <v>132</v>
      </c>
      <c r="F1442" t="s">
        <v>40</v>
      </c>
      <c r="G1442" t="s">
        <v>81</v>
      </c>
      <c r="H1442" t="s">
        <v>98</v>
      </c>
      <c r="I1442">
        <v>3</v>
      </c>
      <c r="J1442">
        <v>9519.4</v>
      </c>
      <c r="K1442">
        <v>0</v>
      </c>
      <c r="L1442">
        <v>28558.2</v>
      </c>
      <c r="M1442" t="s">
        <v>48</v>
      </c>
      <c r="N1442" t="s">
        <v>71</v>
      </c>
      <c r="O1442" t="s">
        <v>65</v>
      </c>
      <c r="P1442" t="s">
        <v>59</v>
      </c>
    </row>
    <row r="1443" spans="1:16" x14ac:dyDescent="0.3">
      <c r="A1443" t="s">
        <v>1793</v>
      </c>
      <c r="B1443" s="1">
        <v>45932</v>
      </c>
      <c r="C1443" t="s">
        <v>539</v>
      </c>
      <c r="D1443" t="s">
        <v>121</v>
      </c>
      <c r="E1443" t="s">
        <v>122</v>
      </c>
      <c r="F1443" t="s">
        <v>55</v>
      </c>
      <c r="G1443" t="s">
        <v>32</v>
      </c>
      <c r="H1443" t="s">
        <v>47</v>
      </c>
      <c r="I1443">
        <v>5</v>
      </c>
      <c r="J1443">
        <v>469.5</v>
      </c>
      <c r="K1443">
        <v>0.15</v>
      </c>
      <c r="L1443">
        <v>1995.38</v>
      </c>
      <c r="M1443" t="s">
        <v>48</v>
      </c>
      <c r="N1443" t="s">
        <v>71</v>
      </c>
      <c r="O1443" t="s">
        <v>65</v>
      </c>
      <c r="P1443" t="s">
        <v>26</v>
      </c>
    </row>
    <row r="1444" spans="1:16" x14ac:dyDescent="0.3">
      <c r="A1444" t="s">
        <v>1794</v>
      </c>
      <c r="B1444" s="1">
        <v>45422</v>
      </c>
      <c r="C1444" t="s">
        <v>643</v>
      </c>
      <c r="D1444" t="s">
        <v>89</v>
      </c>
      <c r="E1444" t="s">
        <v>90</v>
      </c>
      <c r="F1444" t="s">
        <v>20</v>
      </c>
      <c r="G1444" t="s">
        <v>21</v>
      </c>
      <c r="H1444" t="s">
        <v>22</v>
      </c>
      <c r="I1444">
        <v>3</v>
      </c>
      <c r="J1444">
        <v>755.86</v>
      </c>
      <c r="K1444">
        <v>0.2</v>
      </c>
      <c r="L1444">
        <v>1814.06</v>
      </c>
      <c r="M1444" t="s">
        <v>23</v>
      </c>
      <c r="N1444" t="s">
        <v>71</v>
      </c>
      <c r="O1444" t="s">
        <v>65</v>
      </c>
      <c r="P1444" t="s">
        <v>50</v>
      </c>
    </row>
    <row r="1445" spans="1:16" x14ac:dyDescent="0.3">
      <c r="A1445" t="s">
        <v>1795</v>
      </c>
      <c r="B1445" s="1">
        <v>45448</v>
      </c>
      <c r="C1445" t="s">
        <v>155</v>
      </c>
      <c r="D1445" t="s">
        <v>38</v>
      </c>
      <c r="E1445" t="s">
        <v>39</v>
      </c>
      <c r="F1445" t="s">
        <v>40</v>
      </c>
      <c r="G1445" t="s">
        <v>56</v>
      </c>
      <c r="H1445" t="s">
        <v>57</v>
      </c>
      <c r="I1445">
        <v>2</v>
      </c>
      <c r="J1445">
        <v>1597.76</v>
      </c>
      <c r="K1445">
        <v>0.05</v>
      </c>
      <c r="L1445">
        <v>3035.74</v>
      </c>
      <c r="M1445" t="s">
        <v>23</v>
      </c>
      <c r="N1445" t="s">
        <v>24</v>
      </c>
      <c r="O1445" t="s">
        <v>35</v>
      </c>
      <c r="P1445" t="s">
        <v>116</v>
      </c>
    </row>
    <row r="1446" spans="1:16" x14ac:dyDescent="0.3">
      <c r="A1446" t="s">
        <v>1796</v>
      </c>
      <c r="B1446" s="1">
        <v>46083</v>
      </c>
      <c r="C1446" t="s">
        <v>173</v>
      </c>
      <c r="D1446" t="s">
        <v>62</v>
      </c>
      <c r="E1446" t="s">
        <v>63</v>
      </c>
      <c r="F1446" t="s">
        <v>31</v>
      </c>
      <c r="G1446" t="s">
        <v>56</v>
      </c>
      <c r="H1446" t="s">
        <v>123</v>
      </c>
      <c r="I1446">
        <v>5</v>
      </c>
      <c r="J1446">
        <v>2581.79</v>
      </c>
      <c r="K1446">
        <v>0.03</v>
      </c>
      <c r="L1446">
        <v>12521.68</v>
      </c>
      <c r="M1446" t="s">
        <v>76</v>
      </c>
      <c r="N1446" t="s">
        <v>24</v>
      </c>
      <c r="O1446" t="s">
        <v>25</v>
      </c>
      <c r="P1446" t="s">
        <v>42</v>
      </c>
    </row>
    <row r="1447" spans="1:16" x14ac:dyDescent="0.3">
      <c r="A1447" t="s">
        <v>1797</v>
      </c>
      <c r="B1447" s="1">
        <v>45796</v>
      </c>
      <c r="C1447" t="s">
        <v>329</v>
      </c>
      <c r="D1447" t="s">
        <v>96</v>
      </c>
      <c r="E1447" t="s">
        <v>97</v>
      </c>
      <c r="F1447" t="s">
        <v>31</v>
      </c>
      <c r="G1447" t="s">
        <v>81</v>
      </c>
      <c r="H1447" t="s">
        <v>82</v>
      </c>
      <c r="I1447">
        <v>1</v>
      </c>
      <c r="J1447">
        <v>1232.55</v>
      </c>
      <c r="K1447">
        <v>0.15</v>
      </c>
      <c r="L1447">
        <v>1047.67</v>
      </c>
      <c r="M1447" t="s">
        <v>48</v>
      </c>
      <c r="N1447" t="s">
        <v>34</v>
      </c>
      <c r="O1447" t="s">
        <v>65</v>
      </c>
      <c r="P1447" t="s">
        <v>111</v>
      </c>
    </row>
    <row r="1448" spans="1:16" x14ac:dyDescent="0.3">
      <c r="A1448" t="s">
        <v>1798</v>
      </c>
      <c r="B1448" s="1">
        <v>46163</v>
      </c>
      <c r="C1448" t="s">
        <v>92</v>
      </c>
      <c r="D1448" t="s">
        <v>29</v>
      </c>
      <c r="E1448" t="s">
        <v>30</v>
      </c>
      <c r="F1448" t="s">
        <v>31</v>
      </c>
      <c r="G1448" t="s">
        <v>81</v>
      </c>
      <c r="H1448" t="s">
        <v>82</v>
      </c>
      <c r="I1448">
        <v>4</v>
      </c>
      <c r="J1448">
        <v>3212.88</v>
      </c>
      <c r="K1448">
        <v>0.1</v>
      </c>
      <c r="L1448">
        <v>11566.37</v>
      </c>
      <c r="M1448" t="s">
        <v>76</v>
      </c>
      <c r="N1448" t="s">
        <v>49</v>
      </c>
      <c r="O1448" t="s">
        <v>35</v>
      </c>
      <c r="P1448" t="s">
        <v>42</v>
      </c>
    </row>
    <row r="1449" spans="1:16" x14ac:dyDescent="0.3">
      <c r="A1449" t="s">
        <v>1799</v>
      </c>
      <c r="B1449" s="1">
        <v>45848</v>
      </c>
      <c r="C1449" t="s">
        <v>352</v>
      </c>
      <c r="D1449" t="s">
        <v>18</v>
      </c>
      <c r="E1449" t="s">
        <v>19</v>
      </c>
      <c r="F1449" t="s">
        <v>20</v>
      </c>
      <c r="G1449" t="s">
        <v>56</v>
      </c>
      <c r="H1449" t="s">
        <v>101</v>
      </c>
      <c r="I1449">
        <v>4</v>
      </c>
      <c r="J1449">
        <v>877.46</v>
      </c>
      <c r="K1449">
        <v>0</v>
      </c>
      <c r="L1449">
        <v>3509.84</v>
      </c>
      <c r="M1449" t="s">
        <v>76</v>
      </c>
      <c r="N1449" t="s">
        <v>58</v>
      </c>
      <c r="O1449" t="s">
        <v>35</v>
      </c>
      <c r="P1449" t="s">
        <v>42</v>
      </c>
    </row>
    <row r="1450" spans="1:16" x14ac:dyDescent="0.3">
      <c r="A1450" t="s">
        <v>1800</v>
      </c>
      <c r="B1450" s="1">
        <v>45339</v>
      </c>
      <c r="C1450" t="s">
        <v>17</v>
      </c>
      <c r="D1450" t="s">
        <v>79</v>
      </c>
      <c r="E1450" t="s">
        <v>80</v>
      </c>
      <c r="F1450" t="s">
        <v>31</v>
      </c>
      <c r="G1450" t="s">
        <v>21</v>
      </c>
      <c r="H1450" t="s">
        <v>41</v>
      </c>
      <c r="I1450">
        <v>5</v>
      </c>
      <c r="J1450">
        <v>12622.1</v>
      </c>
      <c r="K1450">
        <v>0.08</v>
      </c>
      <c r="L1450">
        <v>58061.66</v>
      </c>
      <c r="M1450" t="s">
        <v>76</v>
      </c>
      <c r="N1450" t="s">
        <v>24</v>
      </c>
      <c r="O1450" t="s">
        <v>35</v>
      </c>
      <c r="P1450" t="s">
        <v>26</v>
      </c>
    </row>
    <row r="1451" spans="1:16" x14ac:dyDescent="0.3">
      <c r="A1451" t="s">
        <v>1801</v>
      </c>
      <c r="B1451" s="1">
        <v>45773</v>
      </c>
      <c r="C1451" t="s">
        <v>257</v>
      </c>
      <c r="D1451" t="s">
        <v>121</v>
      </c>
      <c r="E1451" t="s">
        <v>122</v>
      </c>
      <c r="F1451" t="s">
        <v>55</v>
      </c>
      <c r="G1451" t="s">
        <v>32</v>
      </c>
      <c r="H1451" t="s">
        <v>75</v>
      </c>
      <c r="I1451">
        <v>1</v>
      </c>
      <c r="J1451">
        <v>416.47</v>
      </c>
      <c r="K1451">
        <v>0</v>
      </c>
      <c r="L1451">
        <v>416.47</v>
      </c>
      <c r="M1451" t="s">
        <v>76</v>
      </c>
      <c r="N1451" t="s">
        <v>58</v>
      </c>
      <c r="O1451" t="s">
        <v>65</v>
      </c>
      <c r="P1451" t="s">
        <v>116</v>
      </c>
    </row>
    <row r="1452" spans="1:16" x14ac:dyDescent="0.3">
      <c r="A1452" t="s">
        <v>1802</v>
      </c>
      <c r="B1452" s="1">
        <v>46159</v>
      </c>
      <c r="C1452" t="s">
        <v>836</v>
      </c>
      <c r="D1452" t="s">
        <v>18</v>
      </c>
      <c r="E1452" t="s">
        <v>19</v>
      </c>
      <c r="F1452" t="s">
        <v>20</v>
      </c>
      <c r="G1452" t="s">
        <v>21</v>
      </c>
      <c r="H1452" t="s">
        <v>93</v>
      </c>
      <c r="I1452">
        <v>1</v>
      </c>
      <c r="J1452">
        <v>875.66</v>
      </c>
      <c r="K1452">
        <v>0.03</v>
      </c>
      <c r="L1452">
        <v>849.39</v>
      </c>
      <c r="M1452" t="s">
        <v>48</v>
      </c>
      <c r="N1452" t="s">
        <v>58</v>
      </c>
      <c r="O1452" t="s">
        <v>65</v>
      </c>
      <c r="P1452" t="s">
        <v>26</v>
      </c>
    </row>
    <row r="1453" spans="1:16" x14ac:dyDescent="0.3">
      <c r="A1453" t="s">
        <v>1803</v>
      </c>
      <c r="B1453" s="1">
        <v>45480</v>
      </c>
      <c r="C1453" t="s">
        <v>504</v>
      </c>
      <c r="D1453" t="s">
        <v>18</v>
      </c>
      <c r="E1453" t="s">
        <v>19</v>
      </c>
      <c r="F1453" t="s">
        <v>20</v>
      </c>
      <c r="G1453" t="s">
        <v>21</v>
      </c>
      <c r="H1453" t="s">
        <v>126</v>
      </c>
      <c r="I1453">
        <v>4</v>
      </c>
      <c r="J1453">
        <v>886.98</v>
      </c>
      <c r="K1453">
        <v>0.08</v>
      </c>
      <c r="L1453">
        <v>3264.09</v>
      </c>
      <c r="M1453" t="s">
        <v>48</v>
      </c>
      <c r="N1453" t="s">
        <v>58</v>
      </c>
      <c r="O1453" t="s">
        <v>65</v>
      </c>
      <c r="P1453" t="s">
        <v>111</v>
      </c>
    </row>
    <row r="1454" spans="1:16" x14ac:dyDescent="0.3">
      <c r="A1454" t="s">
        <v>1804</v>
      </c>
      <c r="B1454" s="1">
        <v>45541</v>
      </c>
      <c r="C1454" t="s">
        <v>640</v>
      </c>
      <c r="D1454" t="s">
        <v>53</v>
      </c>
      <c r="E1454" t="s">
        <v>54</v>
      </c>
      <c r="F1454" t="s">
        <v>55</v>
      </c>
      <c r="G1454" t="s">
        <v>21</v>
      </c>
      <c r="H1454" t="s">
        <v>126</v>
      </c>
      <c r="I1454">
        <v>1</v>
      </c>
      <c r="J1454">
        <v>235.78</v>
      </c>
      <c r="K1454">
        <v>0.03</v>
      </c>
      <c r="L1454">
        <v>228.71</v>
      </c>
      <c r="M1454" t="s">
        <v>48</v>
      </c>
      <c r="N1454" t="s">
        <v>58</v>
      </c>
      <c r="O1454" t="s">
        <v>65</v>
      </c>
      <c r="P1454" t="s">
        <v>59</v>
      </c>
    </row>
    <row r="1455" spans="1:16" x14ac:dyDescent="0.3">
      <c r="A1455" t="s">
        <v>1805</v>
      </c>
      <c r="B1455" s="1">
        <v>45940</v>
      </c>
      <c r="C1455" t="s">
        <v>289</v>
      </c>
      <c r="D1455" t="s">
        <v>105</v>
      </c>
      <c r="E1455" t="s">
        <v>106</v>
      </c>
      <c r="F1455" t="s">
        <v>40</v>
      </c>
      <c r="G1455" t="s">
        <v>56</v>
      </c>
      <c r="H1455" t="s">
        <v>64</v>
      </c>
      <c r="I1455">
        <v>1</v>
      </c>
      <c r="J1455">
        <v>7230.64</v>
      </c>
      <c r="K1455">
        <v>0.08</v>
      </c>
      <c r="L1455">
        <v>6652.19</v>
      </c>
      <c r="M1455" t="s">
        <v>76</v>
      </c>
      <c r="N1455" t="s">
        <v>58</v>
      </c>
      <c r="O1455" t="s">
        <v>65</v>
      </c>
      <c r="P1455" t="s">
        <v>102</v>
      </c>
    </row>
    <row r="1456" spans="1:16" x14ac:dyDescent="0.3">
      <c r="A1456" t="s">
        <v>1806</v>
      </c>
      <c r="B1456" s="1">
        <v>45592</v>
      </c>
      <c r="C1456" t="s">
        <v>560</v>
      </c>
      <c r="D1456" t="s">
        <v>79</v>
      </c>
      <c r="E1456" t="s">
        <v>80</v>
      </c>
      <c r="F1456" t="s">
        <v>31</v>
      </c>
      <c r="G1456" t="s">
        <v>21</v>
      </c>
      <c r="H1456" t="s">
        <v>22</v>
      </c>
      <c r="I1456">
        <v>5</v>
      </c>
      <c r="J1456">
        <v>12565.26</v>
      </c>
      <c r="K1456">
        <v>0.08</v>
      </c>
      <c r="L1456">
        <v>57800.2</v>
      </c>
      <c r="M1456" t="s">
        <v>23</v>
      </c>
      <c r="N1456" t="s">
        <v>24</v>
      </c>
      <c r="O1456" t="s">
        <v>65</v>
      </c>
      <c r="P1456" t="s">
        <v>72</v>
      </c>
    </row>
    <row r="1457" spans="1:16" x14ac:dyDescent="0.3">
      <c r="A1457" t="s">
        <v>1807</v>
      </c>
      <c r="B1457" s="1">
        <v>45455</v>
      </c>
      <c r="C1457" t="s">
        <v>329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>
        <v>2</v>
      </c>
      <c r="J1457">
        <v>901.3</v>
      </c>
      <c r="K1457">
        <v>0.2</v>
      </c>
      <c r="L1457">
        <v>1442.08</v>
      </c>
      <c r="M1457" t="s">
        <v>23</v>
      </c>
      <c r="N1457" t="s">
        <v>58</v>
      </c>
      <c r="O1457" t="s">
        <v>65</v>
      </c>
      <c r="P1457" t="s">
        <v>50</v>
      </c>
    </row>
    <row r="1458" spans="1:16" x14ac:dyDescent="0.3">
      <c r="A1458" t="s">
        <v>1808</v>
      </c>
      <c r="B1458" s="1">
        <v>45641</v>
      </c>
      <c r="C1458" t="s">
        <v>828</v>
      </c>
      <c r="D1458" t="s">
        <v>89</v>
      </c>
      <c r="E1458" t="s">
        <v>90</v>
      </c>
      <c r="F1458" t="s">
        <v>20</v>
      </c>
      <c r="G1458" t="s">
        <v>81</v>
      </c>
      <c r="H1458" t="s">
        <v>135</v>
      </c>
      <c r="I1458">
        <v>2</v>
      </c>
      <c r="J1458">
        <v>713.54</v>
      </c>
      <c r="K1458">
        <v>0.2</v>
      </c>
      <c r="L1458">
        <v>1141.6600000000001</v>
      </c>
      <c r="M1458" t="s">
        <v>76</v>
      </c>
      <c r="N1458" t="s">
        <v>24</v>
      </c>
      <c r="O1458" t="s">
        <v>65</v>
      </c>
      <c r="P1458" t="s">
        <v>116</v>
      </c>
    </row>
    <row r="1459" spans="1:16" x14ac:dyDescent="0.3">
      <c r="A1459" t="s">
        <v>1809</v>
      </c>
      <c r="B1459" s="1">
        <v>45903</v>
      </c>
      <c r="C1459" t="s">
        <v>1186</v>
      </c>
      <c r="D1459" t="s">
        <v>89</v>
      </c>
      <c r="E1459" t="s">
        <v>90</v>
      </c>
      <c r="F1459" t="s">
        <v>20</v>
      </c>
      <c r="G1459" t="s">
        <v>81</v>
      </c>
      <c r="H1459" t="s">
        <v>87</v>
      </c>
      <c r="I1459">
        <v>1</v>
      </c>
      <c r="J1459">
        <v>653.23</v>
      </c>
      <c r="K1459">
        <v>0</v>
      </c>
      <c r="L1459">
        <v>653.23</v>
      </c>
      <c r="M1459" t="s">
        <v>23</v>
      </c>
      <c r="N1459" t="s">
        <v>34</v>
      </c>
      <c r="O1459" t="s">
        <v>35</v>
      </c>
      <c r="P1459" t="s">
        <v>116</v>
      </c>
    </row>
    <row r="1460" spans="1:16" x14ac:dyDescent="0.3">
      <c r="A1460" t="s">
        <v>1810</v>
      </c>
      <c r="B1460" s="1">
        <v>46102</v>
      </c>
      <c r="C1460" t="s">
        <v>190</v>
      </c>
      <c r="D1460" t="s">
        <v>18</v>
      </c>
      <c r="E1460" t="s">
        <v>19</v>
      </c>
      <c r="F1460" t="s">
        <v>20</v>
      </c>
      <c r="G1460" t="s">
        <v>21</v>
      </c>
      <c r="H1460" t="s">
        <v>126</v>
      </c>
      <c r="I1460">
        <v>2</v>
      </c>
      <c r="J1460">
        <v>913.4</v>
      </c>
      <c r="K1460">
        <v>0.2</v>
      </c>
      <c r="L1460">
        <v>1461.44</v>
      </c>
      <c r="M1460" t="s">
        <v>76</v>
      </c>
      <c r="N1460" t="s">
        <v>34</v>
      </c>
      <c r="O1460" t="s">
        <v>25</v>
      </c>
      <c r="P1460" t="s">
        <v>72</v>
      </c>
    </row>
    <row r="1461" spans="1:16" x14ac:dyDescent="0.3">
      <c r="A1461" t="s">
        <v>1811</v>
      </c>
      <c r="B1461" s="1">
        <v>45874</v>
      </c>
      <c r="C1461" t="s">
        <v>787</v>
      </c>
      <c r="D1461" t="s">
        <v>176</v>
      </c>
      <c r="E1461" t="s">
        <v>177</v>
      </c>
      <c r="F1461" t="s">
        <v>31</v>
      </c>
      <c r="G1461" t="s">
        <v>21</v>
      </c>
      <c r="H1461" t="s">
        <v>126</v>
      </c>
      <c r="I1461">
        <v>5</v>
      </c>
      <c r="J1461">
        <v>2250.37</v>
      </c>
      <c r="K1461">
        <v>0.03</v>
      </c>
      <c r="L1461">
        <v>10914.29</v>
      </c>
      <c r="M1461" t="s">
        <v>23</v>
      </c>
      <c r="N1461" t="s">
        <v>34</v>
      </c>
      <c r="O1461" t="s">
        <v>35</v>
      </c>
      <c r="P1461" t="s">
        <v>102</v>
      </c>
    </row>
    <row r="1462" spans="1:16" x14ac:dyDescent="0.3">
      <c r="A1462" t="s">
        <v>1812</v>
      </c>
      <c r="B1462" s="1">
        <v>45841</v>
      </c>
      <c r="C1462" t="s">
        <v>657</v>
      </c>
      <c r="D1462" t="s">
        <v>105</v>
      </c>
      <c r="E1462" t="s">
        <v>106</v>
      </c>
      <c r="F1462" t="s">
        <v>40</v>
      </c>
      <c r="G1462" t="s">
        <v>56</v>
      </c>
      <c r="H1462" t="s">
        <v>101</v>
      </c>
      <c r="I1462">
        <v>5</v>
      </c>
      <c r="J1462">
        <v>7304.12</v>
      </c>
      <c r="K1462">
        <v>0.03</v>
      </c>
      <c r="L1462">
        <v>35424.980000000003</v>
      </c>
      <c r="M1462" t="s">
        <v>23</v>
      </c>
      <c r="N1462" t="s">
        <v>71</v>
      </c>
      <c r="O1462" t="s">
        <v>65</v>
      </c>
      <c r="P1462" t="s">
        <v>111</v>
      </c>
    </row>
    <row r="1463" spans="1:16" x14ac:dyDescent="0.3">
      <c r="A1463" t="s">
        <v>1813</v>
      </c>
      <c r="B1463" s="1">
        <v>45362</v>
      </c>
      <c r="C1463" t="s">
        <v>44</v>
      </c>
      <c r="D1463" t="s">
        <v>176</v>
      </c>
      <c r="E1463" t="s">
        <v>177</v>
      </c>
      <c r="F1463" t="s">
        <v>31</v>
      </c>
      <c r="G1463" t="s">
        <v>81</v>
      </c>
      <c r="H1463" t="s">
        <v>82</v>
      </c>
      <c r="I1463">
        <v>4</v>
      </c>
      <c r="J1463">
        <v>2098.6799999999998</v>
      </c>
      <c r="K1463">
        <v>0.2</v>
      </c>
      <c r="L1463">
        <v>6715.78</v>
      </c>
      <c r="M1463" t="s">
        <v>48</v>
      </c>
      <c r="N1463" t="s">
        <v>49</v>
      </c>
      <c r="O1463" t="s">
        <v>65</v>
      </c>
      <c r="P1463" t="s">
        <v>26</v>
      </c>
    </row>
    <row r="1464" spans="1:16" x14ac:dyDescent="0.3">
      <c r="A1464" t="s">
        <v>1814</v>
      </c>
      <c r="B1464" s="1">
        <v>45490</v>
      </c>
      <c r="C1464" t="s">
        <v>385</v>
      </c>
      <c r="D1464" t="s">
        <v>79</v>
      </c>
      <c r="E1464" t="s">
        <v>80</v>
      </c>
      <c r="F1464" t="s">
        <v>31</v>
      </c>
      <c r="G1464" t="s">
        <v>32</v>
      </c>
      <c r="H1464" t="s">
        <v>75</v>
      </c>
      <c r="I1464">
        <v>3</v>
      </c>
      <c r="J1464">
        <v>12640.81</v>
      </c>
      <c r="K1464">
        <v>0.2</v>
      </c>
      <c r="L1464">
        <v>30337.94</v>
      </c>
      <c r="M1464" t="s">
        <v>23</v>
      </c>
      <c r="N1464" t="s">
        <v>24</v>
      </c>
      <c r="O1464" t="s">
        <v>35</v>
      </c>
      <c r="P1464" t="s">
        <v>72</v>
      </c>
    </row>
    <row r="1465" spans="1:16" x14ac:dyDescent="0.3">
      <c r="A1465" t="s">
        <v>1815</v>
      </c>
      <c r="B1465" s="1">
        <v>45358</v>
      </c>
      <c r="C1465" t="s">
        <v>531</v>
      </c>
      <c r="D1465" t="s">
        <v>45</v>
      </c>
      <c r="E1465" t="s">
        <v>46</v>
      </c>
      <c r="F1465" t="s">
        <v>31</v>
      </c>
      <c r="G1465" t="s">
        <v>21</v>
      </c>
      <c r="H1465" t="s">
        <v>41</v>
      </c>
      <c r="I1465">
        <v>2</v>
      </c>
      <c r="J1465">
        <v>1728.08</v>
      </c>
      <c r="K1465">
        <v>0.08</v>
      </c>
      <c r="L1465">
        <v>3179.67</v>
      </c>
      <c r="M1465" t="s">
        <v>76</v>
      </c>
      <c r="N1465" t="s">
        <v>71</v>
      </c>
      <c r="O1465" t="s">
        <v>65</v>
      </c>
      <c r="P1465" t="s">
        <v>102</v>
      </c>
    </row>
    <row r="1466" spans="1:16" x14ac:dyDescent="0.3">
      <c r="A1466" t="s">
        <v>1816</v>
      </c>
      <c r="B1466" s="1">
        <v>46044</v>
      </c>
      <c r="C1466" t="s">
        <v>84</v>
      </c>
      <c r="D1466" t="s">
        <v>62</v>
      </c>
      <c r="E1466" t="s">
        <v>63</v>
      </c>
      <c r="F1466" t="s">
        <v>31</v>
      </c>
      <c r="G1466" t="s">
        <v>56</v>
      </c>
      <c r="H1466" t="s">
        <v>57</v>
      </c>
      <c r="I1466">
        <v>2</v>
      </c>
      <c r="J1466">
        <v>2637.59</v>
      </c>
      <c r="K1466">
        <v>0.05</v>
      </c>
      <c r="L1466">
        <v>5011.42</v>
      </c>
      <c r="M1466" t="s">
        <v>48</v>
      </c>
      <c r="N1466" t="s">
        <v>34</v>
      </c>
      <c r="O1466" t="s">
        <v>65</v>
      </c>
      <c r="P1466" t="s">
        <v>111</v>
      </c>
    </row>
    <row r="1467" spans="1:16" x14ac:dyDescent="0.3">
      <c r="A1467" t="s">
        <v>1817</v>
      </c>
      <c r="B1467" s="1">
        <v>45320</v>
      </c>
      <c r="C1467" t="s">
        <v>552</v>
      </c>
      <c r="D1467" t="s">
        <v>38</v>
      </c>
      <c r="E1467" t="s">
        <v>39</v>
      </c>
      <c r="F1467" t="s">
        <v>40</v>
      </c>
      <c r="G1467" t="s">
        <v>21</v>
      </c>
      <c r="H1467" t="s">
        <v>126</v>
      </c>
      <c r="I1467">
        <v>5</v>
      </c>
      <c r="J1467">
        <v>1618.88</v>
      </c>
      <c r="K1467">
        <v>0</v>
      </c>
      <c r="L1467">
        <v>8094.4</v>
      </c>
      <c r="M1467" t="s">
        <v>23</v>
      </c>
      <c r="N1467" t="s">
        <v>71</v>
      </c>
      <c r="O1467" t="s">
        <v>65</v>
      </c>
      <c r="P1467" t="s">
        <v>111</v>
      </c>
    </row>
    <row r="1468" spans="1:16" x14ac:dyDescent="0.3">
      <c r="A1468" t="s">
        <v>1818</v>
      </c>
      <c r="B1468" s="1">
        <v>45390</v>
      </c>
      <c r="C1468" t="s">
        <v>946</v>
      </c>
      <c r="D1468" t="s">
        <v>79</v>
      </c>
      <c r="E1468" t="s">
        <v>80</v>
      </c>
      <c r="F1468" t="s">
        <v>31</v>
      </c>
      <c r="G1468" t="s">
        <v>56</v>
      </c>
      <c r="H1468" t="s">
        <v>123</v>
      </c>
      <c r="J1468">
        <v>13424.61</v>
      </c>
      <c r="K1468">
        <v>0</v>
      </c>
      <c r="L1468">
        <v>40273.83</v>
      </c>
      <c r="M1468" t="s">
        <v>76</v>
      </c>
      <c r="N1468" t="s">
        <v>71</v>
      </c>
      <c r="O1468" t="s">
        <v>25</v>
      </c>
      <c r="P1468" t="s">
        <v>111</v>
      </c>
    </row>
    <row r="1469" spans="1:16" x14ac:dyDescent="0.3">
      <c r="A1469" t="s">
        <v>1819</v>
      </c>
      <c r="B1469" s="1">
        <v>45615</v>
      </c>
      <c r="D1469" t="s">
        <v>121</v>
      </c>
      <c r="E1469" t="s">
        <v>122</v>
      </c>
      <c r="F1469" t="s">
        <v>55</v>
      </c>
      <c r="G1469" t="s">
        <v>32</v>
      </c>
      <c r="H1469" t="s">
        <v>68</v>
      </c>
      <c r="I1469">
        <v>2</v>
      </c>
      <c r="J1469">
        <v>464.94</v>
      </c>
      <c r="K1469">
        <v>0.03</v>
      </c>
      <c r="L1469">
        <v>901.98</v>
      </c>
      <c r="M1469" t="s">
        <v>23</v>
      </c>
      <c r="N1469" t="s">
        <v>34</v>
      </c>
      <c r="O1469" t="s">
        <v>25</v>
      </c>
      <c r="P1469" t="s">
        <v>102</v>
      </c>
    </row>
    <row r="1470" spans="1:16" x14ac:dyDescent="0.3">
      <c r="A1470" t="s">
        <v>1820</v>
      </c>
      <c r="B1470" t="s">
        <v>1821</v>
      </c>
      <c r="C1470" t="s">
        <v>687</v>
      </c>
      <c r="D1470" t="s">
        <v>121</v>
      </c>
      <c r="E1470" t="s">
        <v>122</v>
      </c>
      <c r="F1470" t="s">
        <v>55</v>
      </c>
      <c r="G1470" t="s">
        <v>56</v>
      </c>
      <c r="H1470" t="s">
        <v>123</v>
      </c>
      <c r="I1470">
        <v>3</v>
      </c>
      <c r="J1470">
        <v>433.8</v>
      </c>
      <c r="K1470">
        <v>0</v>
      </c>
      <c r="L1470">
        <v>1301.4000000000001</v>
      </c>
      <c r="M1470" t="s">
        <v>48</v>
      </c>
      <c r="N1470" t="s">
        <v>34</v>
      </c>
      <c r="O1470" t="s">
        <v>35</v>
      </c>
      <c r="P1470" t="s">
        <v>59</v>
      </c>
    </row>
    <row r="1471" spans="1:16" x14ac:dyDescent="0.3">
      <c r="A1471" t="s">
        <v>1822</v>
      </c>
      <c r="B1471" s="1">
        <v>45770</v>
      </c>
      <c r="C1471" t="s">
        <v>468</v>
      </c>
      <c r="D1471" t="s">
        <v>53</v>
      </c>
      <c r="E1471" t="s">
        <v>54</v>
      </c>
      <c r="F1471" t="s">
        <v>55</v>
      </c>
      <c r="G1471" t="s">
        <v>81</v>
      </c>
      <c r="H1471" t="s">
        <v>82</v>
      </c>
      <c r="I1471">
        <v>5</v>
      </c>
      <c r="J1471">
        <v>206.45</v>
      </c>
      <c r="K1471">
        <v>0.2</v>
      </c>
      <c r="L1471">
        <v>825.8</v>
      </c>
      <c r="M1471" t="s">
        <v>23</v>
      </c>
      <c r="N1471" t="s">
        <v>71</v>
      </c>
      <c r="O1471" t="s">
        <v>65</v>
      </c>
      <c r="P1471" t="s">
        <v>50</v>
      </c>
    </row>
    <row r="1472" spans="1:16" x14ac:dyDescent="0.3">
      <c r="A1472" t="s">
        <v>1823</v>
      </c>
      <c r="B1472" s="1">
        <v>45354</v>
      </c>
      <c r="C1472" t="s">
        <v>946</v>
      </c>
      <c r="D1472" t="s">
        <v>170</v>
      </c>
      <c r="E1472" t="s">
        <v>171</v>
      </c>
      <c r="F1472" t="s">
        <v>31</v>
      </c>
      <c r="G1472" t="s">
        <v>21</v>
      </c>
      <c r="H1472" t="s">
        <v>93</v>
      </c>
      <c r="I1472">
        <v>2</v>
      </c>
      <c r="J1472">
        <v>65224.06</v>
      </c>
      <c r="K1472">
        <v>0.03</v>
      </c>
      <c r="L1472">
        <v>126534.68</v>
      </c>
      <c r="M1472" t="s">
        <v>48</v>
      </c>
      <c r="N1472" t="s">
        <v>49</v>
      </c>
      <c r="O1472" t="s">
        <v>35</v>
      </c>
      <c r="P1472" t="s">
        <v>50</v>
      </c>
    </row>
    <row r="1473" spans="1:16" x14ac:dyDescent="0.3">
      <c r="A1473" t="s">
        <v>1824</v>
      </c>
      <c r="B1473" s="1">
        <v>45419</v>
      </c>
      <c r="C1473" t="s">
        <v>558</v>
      </c>
      <c r="D1473" t="s">
        <v>85</v>
      </c>
      <c r="E1473" t="s">
        <v>86</v>
      </c>
      <c r="F1473" t="s">
        <v>20</v>
      </c>
      <c r="G1473" t="s">
        <v>81</v>
      </c>
      <c r="H1473" t="s">
        <v>82</v>
      </c>
      <c r="I1473">
        <v>3</v>
      </c>
      <c r="J1473">
        <v>1844.13</v>
      </c>
      <c r="K1473">
        <v>0.1</v>
      </c>
      <c r="L1473">
        <v>4979.1499999999996</v>
      </c>
      <c r="M1473" t="s">
        <v>76</v>
      </c>
      <c r="N1473" t="s">
        <v>58</v>
      </c>
      <c r="O1473" t="s">
        <v>35</v>
      </c>
      <c r="P1473" t="s">
        <v>111</v>
      </c>
    </row>
    <row r="1474" spans="1:16" x14ac:dyDescent="0.3">
      <c r="A1474" t="s">
        <v>1825</v>
      </c>
      <c r="B1474" s="1">
        <v>45584</v>
      </c>
      <c r="C1474" t="s">
        <v>514</v>
      </c>
      <c r="D1474" t="s">
        <v>96</v>
      </c>
      <c r="E1474" t="s">
        <v>97</v>
      </c>
      <c r="F1474" t="s">
        <v>31</v>
      </c>
      <c r="G1474" t="s">
        <v>81</v>
      </c>
      <c r="H1474" t="s">
        <v>87</v>
      </c>
      <c r="I1474">
        <v>4</v>
      </c>
      <c r="J1474">
        <v>1229.6500000000001</v>
      </c>
      <c r="K1474">
        <v>0.1</v>
      </c>
      <c r="L1474">
        <v>4426.74</v>
      </c>
      <c r="M1474" t="s">
        <v>76</v>
      </c>
      <c r="N1474" t="s">
        <v>58</v>
      </c>
      <c r="O1474" t="s">
        <v>35</v>
      </c>
      <c r="P1474" t="s">
        <v>26</v>
      </c>
    </row>
    <row r="1475" spans="1:16" x14ac:dyDescent="0.3">
      <c r="A1475" t="s">
        <v>1826</v>
      </c>
      <c r="B1475" s="1">
        <v>45339</v>
      </c>
      <c r="C1475" t="s">
        <v>309</v>
      </c>
      <c r="D1475" t="s">
        <v>96</v>
      </c>
      <c r="E1475" t="s">
        <v>97</v>
      </c>
      <c r="F1475" t="s">
        <v>31</v>
      </c>
      <c r="G1475" t="s">
        <v>21</v>
      </c>
      <c r="H1475" t="s">
        <v>22</v>
      </c>
      <c r="I1475">
        <v>4</v>
      </c>
      <c r="J1475">
        <v>1235.02</v>
      </c>
      <c r="K1475">
        <v>0.03</v>
      </c>
      <c r="L1475">
        <v>4791.88</v>
      </c>
      <c r="M1475" t="s">
        <v>76</v>
      </c>
      <c r="N1475" t="s">
        <v>71</v>
      </c>
      <c r="O1475" t="s">
        <v>65</v>
      </c>
      <c r="P1475" t="s">
        <v>26</v>
      </c>
    </row>
    <row r="1476" spans="1:16" x14ac:dyDescent="0.3">
      <c r="A1476" t="s">
        <v>1827</v>
      </c>
      <c r="B1476" s="1">
        <v>45494</v>
      </c>
      <c r="D1476" t="s">
        <v>170</v>
      </c>
      <c r="E1476" t="s">
        <v>171</v>
      </c>
      <c r="F1476" t="s">
        <v>31</v>
      </c>
      <c r="G1476" t="s">
        <v>32</v>
      </c>
      <c r="H1476" t="s">
        <v>33</v>
      </c>
      <c r="I1476">
        <v>2</v>
      </c>
      <c r="J1476">
        <v>68220.759999999995</v>
      </c>
      <c r="K1476">
        <v>0.08</v>
      </c>
      <c r="L1476">
        <v>125526.2</v>
      </c>
      <c r="M1476" t="s">
        <v>48</v>
      </c>
      <c r="N1476" t="s">
        <v>71</v>
      </c>
      <c r="O1476" t="s">
        <v>65</v>
      </c>
      <c r="P1476" t="s">
        <v>50</v>
      </c>
    </row>
    <row r="1477" spans="1:16" x14ac:dyDescent="0.3">
      <c r="A1477" t="s">
        <v>1828</v>
      </c>
      <c r="B1477" s="1">
        <v>45773</v>
      </c>
      <c r="C1477" t="s">
        <v>309</v>
      </c>
      <c r="D1477" t="s">
        <v>62</v>
      </c>
      <c r="E1477" t="s">
        <v>63</v>
      </c>
      <c r="F1477" t="s">
        <v>31</v>
      </c>
      <c r="G1477" t="s">
        <v>32</v>
      </c>
      <c r="H1477" t="s">
        <v>68</v>
      </c>
      <c r="I1477">
        <v>5</v>
      </c>
      <c r="J1477">
        <v>2900.53</v>
      </c>
      <c r="K1477">
        <v>0</v>
      </c>
      <c r="L1477">
        <v>14502.65</v>
      </c>
      <c r="M1477" t="s">
        <v>23</v>
      </c>
      <c r="N1477" t="s">
        <v>34</v>
      </c>
      <c r="O1477" t="s">
        <v>65</v>
      </c>
      <c r="P1477" t="s">
        <v>26</v>
      </c>
    </row>
    <row r="1478" spans="1:16" x14ac:dyDescent="0.3">
      <c r="A1478" t="s">
        <v>1829</v>
      </c>
      <c r="B1478" s="1">
        <v>46154</v>
      </c>
      <c r="C1478" t="s">
        <v>1211</v>
      </c>
      <c r="D1478" t="s">
        <v>53</v>
      </c>
      <c r="E1478" t="s">
        <v>54</v>
      </c>
      <c r="F1478" t="s">
        <v>55</v>
      </c>
      <c r="G1478" t="s">
        <v>81</v>
      </c>
      <c r="H1478" t="s">
        <v>82</v>
      </c>
      <c r="I1478">
        <v>3</v>
      </c>
      <c r="J1478">
        <v>214.58</v>
      </c>
      <c r="K1478">
        <v>0.03</v>
      </c>
      <c r="L1478">
        <v>624.42999999999995</v>
      </c>
      <c r="M1478" t="s">
        <v>48</v>
      </c>
      <c r="N1478" t="s">
        <v>24</v>
      </c>
      <c r="O1478" t="s">
        <v>65</v>
      </c>
      <c r="P1478" t="s">
        <v>50</v>
      </c>
    </row>
    <row r="1479" spans="1:16" x14ac:dyDescent="0.3">
      <c r="A1479" t="s">
        <v>1830</v>
      </c>
      <c r="B1479" s="1">
        <v>45774</v>
      </c>
      <c r="C1479" t="s">
        <v>362</v>
      </c>
      <c r="D1479" t="s">
        <v>18</v>
      </c>
      <c r="E1479" t="s">
        <v>19</v>
      </c>
      <c r="F1479" t="s">
        <v>20</v>
      </c>
      <c r="G1479" t="s">
        <v>81</v>
      </c>
      <c r="H1479" t="s">
        <v>98</v>
      </c>
      <c r="I1479">
        <v>2</v>
      </c>
      <c r="J1479">
        <v>835.32</v>
      </c>
      <c r="K1479">
        <v>0.1</v>
      </c>
      <c r="L1479">
        <v>1503.58</v>
      </c>
      <c r="M1479" t="s">
        <v>76</v>
      </c>
      <c r="O1479" t="s">
        <v>65</v>
      </c>
      <c r="P1479" t="s">
        <v>116</v>
      </c>
    </row>
    <row r="1480" spans="1:16" x14ac:dyDescent="0.3">
      <c r="A1480" t="s">
        <v>1831</v>
      </c>
      <c r="B1480" s="1">
        <v>45433</v>
      </c>
      <c r="C1480" t="s">
        <v>181</v>
      </c>
      <c r="D1480" t="s">
        <v>53</v>
      </c>
      <c r="E1480" t="s">
        <v>54</v>
      </c>
      <c r="F1480" t="s">
        <v>55</v>
      </c>
      <c r="G1480" t="s">
        <v>21</v>
      </c>
      <c r="H1480" t="s">
        <v>22</v>
      </c>
      <c r="I1480">
        <v>5</v>
      </c>
      <c r="J1480">
        <v>235.59</v>
      </c>
      <c r="K1480">
        <v>0.03</v>
      </c>
      <c r="L1480">
        <v>1142.6099999999999</v>
      </c>
      <c r="M1480" t="s">
        <v>48</v>
      </c>
      <c r="N1480" t="s">
        <v>34</v>
      </c>
      <c r="O1480" t="s">
        <v>65</v>
      </c>
      <c r="P1480" t="s">
        <v>59</v>
      </c>
    </row>
    <row r="1481" spans="1:16" x14ac:dyDescent="0.3">
      <c r="A1481" t="s">
        <v>1832</v>
      </c>
      <c r="B1481" s="1">
        <v>45505</v>
      </c>
      <c r="C1481" t="s">
        <v>147</v>
      </c>
      <c r="D1481" t="s">
        <v>131</v>
      </c>
      <c r="E1481" t="s">
        <v>132</v>
      </c>
      <c r="F1481" t="s">
        <v>40</v>
      </c>
      <c r="G1481" t="s">
        <v>81</v>
      </c>
      <c r="H1481" t="s">
        <v>98</v>
      </c>
      <c r="I1481">
        <v>1</v>
      </c>
      <c r="J1481">
        <v>8755.4599999999991</v>
      </c>
      <c r="K1481">
        <v>0.08</v>
      </c>
      <c r="L1481">
        <v>8055.02</v>
      </c>
      <c r="M1481" t="s">
        <v>23</v>
      </c>
      <c r="N1481" t="s">
        <v>24</v>
      </c>
      <c r="O1481" t="s">
        <v>25</v>
      </c>
      <c r="P1481" t="s">
        <v>26</v>
      </c>
    </row>
    <row r="1482" spans="1:16" x14ac:dyDescent="0.3">
      <c r="A1482" t="s">
        <v>1833</v>
      </c>
      <c r="B1482" s="1">
        <v>45321</v>
      </c>
      <c r="C1482" t="s">
        <v>426</v>
      </c>
      <c r="D1482" t="s">
        <v>45</v>
      </c>
      <c r="E1482" t="s">
        <v>46</v>
      </c>
      <c r="F1482" t="s">
        <v>31</v>
      </c>
      <c r="G1482" t="s">
        <v>21</v>
      </c>
      <c r="H1482" t="s">
        <v>126</v>
      </c>
      <c r="I1482">
        <v>4</v>
      </c>
      <c r="J1482">
        <v>1870.03</v>
      </c>
      <c r="K1482">
        <v>0.05</v>
      </c>
      <c r="L1482">
        <v>7106.11</v>
      </c>
      <c r="M1482" t="s">
        <v>48</v>
      </c>
      <c r="N1482" t="s">
        <v>71</v>
      </c>
      <c r="O1482" t="s">
        <v>35</v>
      </c>
      <c r="P1482" t="s">
        <v>102</v>
      </c>
    </row>
    <row r="1483" spans="1:16" x14ac:dyDescent="0.3">
      <c r="A1483" t="s">
        <v>1834</v>
      </c>
      <c r="B1483" s="1">
        <v>45496</v>
      </c>
      <c r="C1483" t="s">
        <v>266</v>
      </c>
      <c r="D1483" t="s">
        <v>170</v>
      </c>
      <c r="E1483" t="s">
        <v>171</v>
      </c>
      <c r="F1483" t="s">
        <v>31</v>
      </c>
      <c r="G1483" t="s">
        <v>56</v>
      </c>
      <c r="H1483" t="s">
        <v>57</v>
      </c>
      <c r="I1483">
        <v>2</v>
      </c>
      <c r="J1483">
        <v>66676.59</v>
      </c>
      <c r="K1483">
        <v>0.2</v>
      </c>
      <c r="L1483">
        <v>106682.54</v>
      </c>
      <c r="M1483" t="s">
        <v>48</v>
      </c>
      <c r="N1483" t="s">
        <v>34</v>
      </c>
      <c r="O1483" t="s">
        <v>35</v>
      </c>
      <c r="P1483" t="s">
        <v>50</v>
      </c>
    </row>
    <row r="1484" spans="1:16" x14ac:dyDescent="0.3">
      <c r="A1484" t="s">
        <v>1835</v>
      </c>
      <c r="B1484" s="1">
        <v>45954</v>
      </c>
      <c r="C1484" t="s">
        <v>285</v>
      </c>
      <c r="D1484" t="s">
        <v>131</v>
      </c>
      <c r="E1484" t="s">
        <v>132</v>
      </c>
      <c r="F1484" t="s">
        <v>40</v>
      </c>
      <c r="G1484" t="s">
        <v>56</v>
      </c>
      <c r="H1484" t="s">
        <v>101</v>
      </c>
      <c r="I1484">
        <v>4</v>
      </c>
      <c r="J1484">
        <v>9608.25</v>
      </c>
      <c r="K1484">
        <v>0.05</v>
      </c>
      <c r="L1484">
        <v>36511.35</v>
      </c>
      <c r="M1484" t="s">
        <v>48</v>
      </c>
      <c r="N1484" t="s">
        <v>49</v>
      </c>
      <c r="O1484" t="s">
        <v>65</v>
      </c>
      <c r="P1484" t="s">
        <v>111</v>
      </c>
    </row>
    <row r="1485" spans="1:16" x14ac:dyDescent="0.3">
      <c r="A1485" t="s">
        <v>1836</v>
      </c>
      <c r="B1485" s="1">
        <v>45561</v>
      </c>
      <c r="C1485" t="s">
        <v>558</v>
      </c>
      <c r="D1485" t="s">
        <v>38</v>
      </c>
      <c r="E1485" t="s">
        <v>39</v>
      </c>
      <c r="F1485" t="s">
        <v>40</v>
      </c>
      <c r="G1485" t="s">
        <v>21</v>
      </c>
      <c r="H1485" t="s">
        <v>22</v>
      </c>
      <c r="I1485">
        <v>1</v>
      </c>
      <c r="J1485">
        <v>1701.06</v>
      </c>
      <c r="K1485">
        <v>0.03</v>
      </c>
      <c r="L1485">
        <v>1650.03</v>
      </c>
      <c r="M1485" t="s">
        <v>48</v>
      </c>
      <c r="N1485" t="s">
        <v>34</v>
      </c>
      <c r="O1485" t="s">
        <v>35</v>
      </c>
      <c r="P1485" t="s">
        <v>59</v>
      </c>
    </row>
    <row r="1486" spans="1:16" x14ac:dyDescent="0.3">
      <c r="A1486" t="s">
        <v>1837</v>
      </c>
      <c r="B1486" s="1">
        <v>45755</v>
      </c>
      <c r="C1486" t="s">
        <v>828</v>
      </c>
      <c r="D1486" t="s">
        <v>121</v>
      </c>
      <c r="E1486" t="s">
        <v>122</v>
      </c>
      <c r="F1486" t="s">
        <v>55</v>
      </c>
      <c r="G1486" t="s">
        <v>81</v>
      </c>
      <c r="H1486" t="s">
        <v>98</v>
      </c>
      <c r="I1486">
        <v>3</v>
      </c>
      <c r="J1486">
        <v>446.95</v>
      </c>
      <c r="K1486">
        <v>0.03</v>
      </c>
      <c r="L1486">
        <v>1300.6199999999999</v>
      </c>
      <c r="M1486" t="s">
        <v>48</v>
      </c>
      <c r="N1486" t="s">
        <v>34</v>
      </c>
      <c r="O1486" t="s">
        <v>35</v>
      </c>
      <c r="P1486" t="s">
        <v>42</v>
      </c>
    </row>
    <row r="1487" spans="1:16" x14ac:dyDescent="0.3">
      <c r="A1487" t="s">
        <v>1838</v>
      </c>
      <c r="B1487" s="1">
        <v>45440</v>
      </c>
      <c r="D1487" t="s">
        <v>53</v>
      </c>
      <c r="E1487" t="s">
        <v>54</v>
      </c>
      <c r="F1487" t="s">
        <v>55</v>
      </c>
      <c r="G1487" t="s">
        <v>21</v>
      </c>
      <c r="H1487" t="s">
        <v>93</v>
      </c>
      <c r="I1487">
        <v>1</v>
      </c>
      <c r="J1487">
        <v>231.26</v>
      </c>
      <c r="K1487">
        <v>0.15</v>
      </c>
      <c r="L1487">
        <v>196.57</v>
      </c>
      <c r="M1487" t="s">
        <v>76</v>
      </c>
      <c r="N1487" t="s">
        <v>71</v>
      </c>
      <c r="O1487" t="s">
        <v>35</v>
      </c>
      <c r="P1487" t="s">
        <v>102</v>
      </c>
    </row>
    <row r="1488" spans="1:16" x14ac:dyDescent="0.3">
      <c r="A1488" t="s">
        <v>1839</v>
      </c>
      <c r="B1488" s="1">
        <v>45785</v>
      </c>
      <c r="C1488" t="s">
        <v>480</v>
      </c>
      <c r="D1488" t="s">
        <v>105</v>
      </c>
      <c r="E1488" t="s">
        <v>106</v>
      </c>
      <c r="F1488" t="s">
        <v>40</v>
      </c>
      <c r="G1488" t="s">
        <v>21</v>
      </c>
      <c r="H1488" t="s">
        <v>93</v>
      </c>
      <c r="I1488">
        <v>2</v>
      </c>
      <c r="J1488">
        <v>6928.1</v>
      </c>
      <c r="K1488">
        <v>0.05</v>
      </c>
      <c r="L1488">
        <v>13163.39</v>
      </c>
      <c r="M1488" t="s">
        <v>48</v>
      </c>
      <c r="N1488" t="s">
        <v>24</v>
      </c>
      <c r="O1488" t="s">
        <v>65</v>
      </c>
      <c r="P1488" t="s">
        <v>111</v>
      </c>
    </row>
    <row r="1489" spans="1:16" x14ac:dyDescent="0.3">
      <c r="A1489" t="s">
        <v>1840</v>
      </c>
      <c r="B1489" s="1">
        <v>45967</v>
      </c>
      <c r="C1489" t="s">
        <v>556</v>
      </c>
      <c r="D1489" t="s">
        <v>131</v>
      </c>
      <c r="E1489" t="s">
        <v>132</v>
      </c>
      <c r="F1489" t="s">
        <v>40</v>
      </c>
      <c r="G1489" t="s">
        <v>32</v>
      </c>
      <c r="H1489" t="s">
        <v>47</v>
      </c>
      <c r="I1489">
        <v>5</v>
      </c>
      <c r="J1489">
        <v>10144.18</v>
      </c>
      <c r="K1489">
        <v>0.2</v>
      </c>
      <c r="L1489">
        <v>40576.720000000001</v>
      </c>
      <c r="M1489" t="s">
        <v>76</v>
      </c>
      <c r="N1489" t="s">
        <v>58</v>
      </c>
      <c r="O1489" t="s">
        <v>65</v>
      </c>
      <c r="P1489" t="s">
        <v>102</v>
      </c>
    </row>
    <row r="1490" spans="1:16" x14ac:dyDescent="0.3">
      <c r="A1490" t="s">
        <v>1841</v>
      </c>
      <c r="B1490" s="1">
        <v>45750</v>
      </c>
      <c r="C1490" t="s">
        <v>225</v>
      </c>
      <c r="D1490" t="s">
        <v>62</v>
      </c>
      <c r="E1490" t="s">
        <v>63</v>
      </c>
      <c r="F1490" t="s">
        <v>31</v>
      </c>
      <c r="G1490" t="s">
        <v>21</v>
      </c>
      <c r="H1490" t="s">
        <v>22</v>
      </c>
      <c r="I1490">
        <v>3</v>
      </c>
      <c r="J1490">
        <v>2624.95</v>
      </c>
      <c r="K1490">
        <v>0</v>
      </c>
      <c r="L1490">
        <v>7874.85</v>
      </c>
      <c r="M1490" t="s">
        <v>76</v>
      </c>
      <c r="N1490" t="s">
        <v>58</v>
      </c>
      <c r="O1490" t="s">
        <v>35</v>
      </c>
      <c r="P1490" t="s">
        <v>59</v>
      </c>
    </row>
    <row r="1491" spans="1:16" x14ac:dyDescent="0.3">
      <c r="A1491" t="s">
        <v>1842</v>
      </c>
      <c r="B1491" s="1">
        <v>45660</v>
      </c>
      <c r="C1491" t="s">
        <v>581</v>
      </c>
      <c r="D1491" t="s">
        <v>96</v>
      </c>
      <c r="E1491" t="s">
        <v>97</v>
      </c>
      <c r="F1491" t="s">
        <v>31</v>
      </c>
      <c r="G1491" t="s">
        <v>56</v>
      </c>
      <c r="H1491" t="s">
        <v>57</v>
      </c>
      <c r="I1491">
        <v>3</v>
      </c>
      <c r="J1491">
        <v>1109.33</v>
      </c>
      <c r="K1491">
        <v>0.1</v>
      </c>
      <c r="L1491">
        <v>2995.19</v>
      </c>
      <c r="M1491" t="s">
        <v>48</v>
      </c>
      <c r="N1491" t="s">
        <v>58</v>
      </c>
      <c r="O1491" t="s">
        <v>65</v>
      </c>
      <c r="P1491" t="s">
        <v>50</v>
      </c>
    </row>
    <row r="1492" spans="1:16" x14ac:dyDescent="0.3">
      <c r="A1492" t="s">
        <v>1843</v>
      </c>
      <c r="B1492" s="1">
        <v>46117</v>
      </c>
      <c r="C1492" t="s">
        <v>803</v>
      </c>
      <c r="D1492" t="s">
        <v>170</v>
      </c>
      <c r="E1492" t="s">
        <v>171</v>
      </c>
      <c r="F1492" t="s">
        <v>31</v>
      </c>
      <c r="G1492" t="s">
        <v>56</v>
      </c>
      <c r="H1492" t="s">
        <v>64</v>
      </c>
      <c r="I1492">
        <v>5</v>
      </c>
      <c r="J1492">
        <v>60791.19</v>
      </c>
      <c r="K1492">
        <v>0.15</v>
      </c>
      <c r="L1492">
        <v>258362.56</v>
      </c>
      <c r="M1492" t="s">
        <v>23</v>
      </c>
      <c r="N1492" t="s">
        <v>71</v>
      </c>
      <c r="O1492" t="s">
        <v>65</v>
      </c>
      <c r="P1492" t="s">
        <v>72</v>
      </c>
    </row>
    <row r="1493" spans="1:16" x14ac:dyDescent="0.3">
      <c r="A1493" t="s">
        <v>1844</v>
      </c>
      <c r="B1493" s="1">
        <v>45461</v>
      </c>
      <c r="C1493" t="s">
        <v>313</v>
      </c>
      <c r="D1493" t="s">
        <v>121</v>
      </c>
      <c r="E1493" t="s">
        <v>122</v>
      </c>
      <c r="F1493" t="s">
        <v>55</v>
      </c>
      <c r="G1493" t="s">
        <v>21</v>
      </c>
      <c r="H1493" t="s">
        <v>93</v>
      </c>
      <c r="I1493">
        <v>4</v>
      </c>
      <c r="J1493">
        <v>453.58</v>
      </c>
      <c r="K1493">
        <v>0</v>
      </c>
      <c r="L1493">
        <v>1814.32</v>
      </c>
      <c r="M1493" t="s">
        <v>48</v>
      </c>
      <c r="N1493" t="s">
        <v>24</v>
      </c>
      <c r="O1493" t="s">
        <v>65</v>
      </c>
      <c r="P1493" t="s">
        <v>59</v>
      </c>
    </row>
    <row r="1494" spans="1:16" x14ac:dyDescent="0.3">
      <c r="A1494" t="s">
        <v>1845</v>
      </c>
      <c r="B1494" s="1">
        <v>45354</v>
      </c>
      <c r="C1494" t="s">
        <v>776</v>
      </c>
      <c r="D1494" t="s">
        <v>45</v>
      </c>
      <c r="E1494" t="s">
        <v>46</v>
      </c>
      <c r="F1494" t="s">
        <v>31</v>
      </c>
      <c r="G1494" t="s">
        <v>56</v>
      </c>
      <c r="H1494" t="s">
        <v>64</v>
      </c>
      <c r="I1494">
        <v>2</v>
      </c>
      <c r="J1494">
        <v>1689.2</v>
      </c>
      <c r="K1494">
        <v>0.05</v>
      </c>
      <c r="L1494">
        <v>3209.48</v>
      </c>
      <c r="M1494" t="s">
        <v>48</v>
      </c>
      <c r="N1494" t="s">
        <v>71</v>
      </c>
      <c r="O1494" t="s">
        <v>65</v>
      </c>
      <c r="P1494" t="s">
        <v>116</v>
      </c>
    </row>
    <row r="1495" spans="1:16" x14ac:dyDescent="0.3">
      <c r="A1495" t="s">
        <v>1846</v>
      </c>
      <c r="B1495" s="1">
        <v>45572</v>
      </c>
      <c r="C1495" t="s">
        <v>373</v>
      </c>
      <c r="D1495" t="s">
        <v>131</v>
      </c>
      <c r="E1495" t="s">
        <v>132</v>
      </c>
      <c r="F1495" t="s">
        <v>40</v>
      </c>
      <c r="G1495" t="s">
        <v>81</v>
      </c>
      <c r="H1495" t="s">
        <v>135</v>
      </c>
      <c r="I1495">
        <v>3</v>
      </c>
      <c r="J1495">
        <v>10144.700000000001</v>
      </c>
      <c r="K1495">
        <v>0.15</v>
      </c>
      <c r="L1495">
        <v>25868.99</v>
      </c>
      <c r="M1495" t="s">
        <v>76</v>
      </c>
      <c r="N1495" t="s">
        <v>49</v>
      </c>
      <c r="O1495" t="s">
        <v>65</v>
      </c>
      <c r="P1495" t="s">
        <v>111</v>
      </c>
    </row>
    <row r="1496" spans="1:16" x14ac:dyDescent="0.3">
      <c r="A1496" t="s">
        <v>1847</v>
      </c>
      <c r="B1496" s="1">
        <v>45748</v>
      </c>
      <c r="C1496" t="s">
        <v>394</v>
      </c>
      <c r="D1496" t="s">
        <v>121</v>
      </c>
      <c r="E1496" t="s">
        <v>122</v>
      </c>
      <c r="F1496" t="s">
        <v>55</v>
      </c>
      <c r="G1496" t="s">
        <v>81</v>
      </c>
      <c r="H1496" t="s">
        <v>82</v>
      </c>
      <c r="I1496">
        <v>5</v>
      </c>
      <c r="J1496">
        <v>414.12</v>
      </c>
      <c r="K1496">
        <v>0.08</v>
      </c>
      <c r="L1496">
        <v>1904.95</v>
      </c>
      <c r="M1496" t="s">
        <v>76</v>
      </c>
      <c r="N1496" t="s">
        <v>58</v>
      </c>
      <c r="O1496" t="s">
        <v>65</v>
      </c>
      <c r="P1496" t="s">
        <v>26</v>
      </c>
    </row>
    <row r="1497" spans="1:16" x14ac:dyDescent="0.3">
      <c r="A1497" t="s">
        <v>1848</v>
      </c>
      <c r="B1497" s="1">
        <v>45370</v>
      </c>
      <c r="C1497" t="s">
        <v>200</v>
      </c>
      <c r="D1497" t="s">
        <v>176</v>
      </c>
      <c r="E1497" t="s">
        <v>177</v>
      </c>
      <c r="F1497" t="s">
        <v>31</v>
      </c>
      <c r="G1497" t="s">
        <v>32</v>
      </c>
      <c r="H1497" t="s">
        <v>47</v>
      </c>
      <c r="I1497">
        <v>1</v>
      </c>
      <c r="J1497">
        <v>2281.02</v>
      </c>
      <c r="K1497">
        <v>0</v>
      </c>
      <c r="L1497">
        <v>2281.02</v>
      </c>
      <c r="M1497" t="s">
        <v>23</v>
      </c>
      <c r="N1497" t="s">
        <v>24</v>
      </c>
      <c r="O1497" t="s">
        <v>65</v>
      </c>
      <c r="P1497" t="s">
        <v>42</v>
      </c>
    </row>
    <row r="1498" spans="1:16" x14ac:dyDescent="0.3">
      <c r="A1498" t="s">
        <v>1849</v>
      </c>
      <c r="B1498" s="1">
        <v>45572</v>
      </c>
      <c r="C1498" t="s">
        <v>173</v>
      </c>
      <c r="D1498" t="s">
        <v>176</v>
      </c>
      <c r="E1498" t="s">
        <v>177</v>
      </c>
      <c r="F1498" t="s">
        <v>31</v>
      </c>
      <c r="G1498" t="s">
        <v>32</v>
      </c>
      <c r="H1498" t="s">
        <v>33</v>
      </c>
      <c r="I1498">
        <v>5</v>
      </c>
      <c r="J1498">
        <v>2112.25</v>
      </c>
      <c r="K1498">
        <v>0</v>
      </c>
      <c r="L1498">
        <v>10561.25</v>
      </c>
      <c r="M1498" t="s">
        <v>76</v>
      </c>
      <c r="N1498" t="s">
        <v>49</v>
      </c>
      <c r="O1498" t="s">
        <v>25</v>
      </c>
      <c r="P1498" t="s">
        <v>26</v>
      </c>
    </row>
    <row r="1499" spans="1:16" x14ac:dyDescent="0.3">
      <c r="A1499" t="s">
        <v>1850</v>
      </c>
      <c r="B1499" s="1">
        <v>45564</v>
      </c>
      <c r="C1499" t="s">
        <v>817</v>
      </c>
      <c r="D1499" t="s">
        <v>45</v>
      </c>
      <c r="E1499" t="s">
        <v>46</v>
      </c>
      <c r="F1499" t="s">
        <v>31</v>
      </c>
      <c r="G1499" t="s">
        <v>56</v>
      </c>
      <c r="H1499" t="s">
        <v>64</v>
      </c>
      <c r="I1499">
        <v>4</v>
      </c>
      <c r="J1499">
        <v>1706.75</v>
      </c>
      <c r="K1499">
        <v>0.2</v>
      </c>
      <c r="L1499">
        <v>5461.6</v>
      </c>
      <c r="M1499" t="s">
        <v>76</v>
      </c>
      <c r="N1499" t="s">
        <v>24</v>
      </c>
      <c r="O1499" t="s">
        <v>65</v>
      </c>
      <c r="P1499" t="s">
        <v>72</v>
      </c>
    </row>
    <row r="1500" spans="1:16" x14ac:dyDescent="0.3">
      <c r="A1500" t="s">
        <v>1851</v>
      </c>
      <c r="B1500" s="1">
        <v>45690</v>
      </c>
      <c r="C1500" t="s">
        <v>115</v>
      </c>
      <c r="D1500" t="s">
        <v>45</v>
      </c>
      <c r="E1500" t="s">
        <v>46</v>
      </c>
      <c r="F1500" t="s">
        <v>31</v>
      </c>
      <c r="G1500" t="s">
        <v>56</v>
      </c>
      <c r="H1500" t="s">
        <v>123</v>
      </c>
      <c r="I1500">
        <v>4</v>
      </c>
      <c r="J1500">
        <v>1803</v>
      </c>
      <c r="K1500">
        <v>0.03</v>
      </c>
      <c r="L1500">
        <v>6995.64</v>
      </c>
      <c r="M1500" t="s">
        <v>76</v>
      </c>
      <c r="N1500" t="s">
        <v>71</v>
      </c>
      <c r="O1500" t="s">
        <v>65</v>
      </c>
      <c r="P1500" t="s">
        <v>102</v>
      </c>
    </row>
    <row r="1501" spans="1:16" x14ac:dyDescent="0.3">
      <c r="A1501" t="s">
        <v>1852</v>
      </c>
      <c r="B1501" s="1">
        <v>45878</v>
      </c>
      <c r="C1501" t="s">
        <v>266</v>
      </c>
      <c r="D1501" t="s">
        <v>18</v>
      </c>
      <c r="E1501" t="s">
        <v>19</v>
      </c>
      <c r="F1501" t="s">
        <v>20</v>
      </c>
      <c r="G1501" t="s">
        <v>32</v>
      </c>
      <c r="H1501" t="s">
        <v>47</v>
      </c>
      <c r="I1501">
        <v>1</v>
      </c>
      <c r="J1501">
        <v>872.41</v>
      </c>
      <c r="K1501">
        <v>0.15</v>
      </c>
      <c r="L1501">
        <v>741.55</v>
      </c>
      <c r="M1501" t="s">
        <v>76</v>
      </c>
      <c r="N1501" t="s">
        <v>34</v>
      </c>
      <c r="O1501" t="s">
        <v>65</v>
      </c>
      <c r="P1501" t="s">
        <v>50</v>
      </c>
    </row>
    <row r="1502" spans="1:16" x14ac:dyDescent="0.3">
      <c r="A1502" t="s">
        <v>961</v>
      </c>
      <c r="B1502" s="1">
        <v>45992</v>
      </c>
      <c r="C1502" t="s">
        <v>212</v>
      </c>
      <c r="D1502" t="s">
        <v>131</v>
      </c>
      <c r="E1502" t="s">
        <v>132</v>
      </c>
      <c r="F1502" t="s">
        <v>40</v>
      </c>
      <c r="G1502" t="s">
        <v>56</v>
      </c>
      <c r="H1502" t="s">
        <v>123</v>
      </c>
      <c r="I1502">
        <v>5</v>
      </c>
      <c r="J1502">
        <v>10055.08</v>
      </c>
      <c r="K1502">
        <v>0.1</v>
      </c>
      <c r="L1502">
        <v>45247.86</v>
      </c>
      <c r="M1502" t="s">
        <v>76</v>
      </c>
      <c r="N1502" t="s">
        <v>24</v>
      </c>
      <c r="O1502" t="s">
        <v>35</v>
      </c>
      <c r="P1502" t="s">
        <v>102</v>
      </c>
    </row>
    <row r="1503" spans="1:16" x14ac:dyDescent="0.3">
      <c r="A1503" t="s">
        <v>195</v>
      </c>
      <c r="B1503" s="1">
        <v>45737</v>
      </c>
      <c r="C1503" t="s">
        <v>196</v>
      </c>
      <c r="D1503" t="s">
        <v>176</v>
      </c>
      <c r="E1503" t="s">
        <v>177</v>
      </c>
      <c r="F1503" t="s">
        <v>31</v>
      </c>
      <c r="G1503" t="s">
        <v>21</v>
      </c>
      <c r="H1503" t="s">
        <v>126</v>
      </c>
      <c r="I1503">
        <v>3</v>
      </c>
      <c r="J1503">
        <v>2260.27</v>
      </c>
      <c r="K1503">
        <v>0.2</v>
      </c>
      <c r="L1503">
        <v>5424.65</v>
      </c>
      <c r="M1503" t="s">
        <v>76</v>
      </c>
      <c r="N1503" t="s">
        <v>49</v>
      </c>
      <c r="O1503" t="s">
        <v>25</v>
      </c>
      <c r="P1503" t="s">
        <v>111</v>
      </c>
    </row>
    <row r="1504" spans="1:16" x14ac:dyDescent="0.3">
      <c r="A1504" t="s">
        <v>1596</v>
      </c>
      <c r="B1504" s="1">
        <v>45533</v>
      </c>
      <c r="C1504" t="s">
        <v>44</v>
      </c>
      <c r="D1504" t="s">
        <v>62</v>
      </c>
      <c r="E1504" t="s">
        <v>63</v>
      </c>
      <c r="F1504" t="s">
        <v>31</v>
      </c>
      <c r="G1504" t="s">
        <v>32</v>
      </c>
      <c r="H1504" t="s">
        <v>68</v>
      </c>
      <c r="I1504">
        <v>3</v>
      </c>
      <c r="J1504">
        <v>2960.82</v>
      </c>
      <c r="K1504">
        <v>0</v>
      </c>
      <c r="L1504">
        <v>8882.4599999999991</v>
      </c>
      <c r="M1504" t="s">
        <v>48</v>
      </c>
      <c r="N1504" t="s">
        <v>24</v>
      </c>
      <c r="O1504" t="s">
        <v>65</v>
      </c>
      <c r="P1504" t="s">
        <v>59</v>
      </c>
    </row>
    <row r="1505" spans="1:16" x14ac:dyDescent="0.3">
      <c r="A1505" t="s">
        <v>1657</v>
      </c>
      <c r="B1505" s="1">
        <v>45397</v>
      </c>
      <c r="C1505" t="s">
        <v>411</v>
      </c>
      <c r="D1505" t="s">
        <v>29</v>
      </c>
      <c r="E1505" t="s">
        <v>30</v>
      </c>
      <c r="F1505" t="s">
        <v>31</v>
      </c>
      <c r="G1505" t="s">
        <v>56</v>
      </c>
      <c r="H1505" t="s">
        <v>64</v>
      </c>
      <c r="I1505">
        <v>2</v>
      </c>
      <c r="J1505">
        <v>3150.95</v>
      </c>
      <c r="K1505">
        <v>0.08</v>
      </c>
      <c r="L1505">
        <v>5797.75</v>
      </c>
      <c r="M1505" t="s">
        <v>48</v>
      </c>
      <c r="N1505" t="s">
        <v>34</v>
      </c>
      <c r="O1505" t="s">
        <v>65</v>
      </c>
      <c r="P1505" t="s">
        <v>26</v>
      </c>
    </row>
    <row r="1506" spans="1:16" x14ac:dyDescent="0.3">
      <c r="A1506" t="s">
        <v>1380</v>
      </c>
      <c r="B1506" s="1">
        <v>45860</v>
      </c>
      <c r="C1506" t="s">
        <v>490</v>
      </c>
      <c r="D1506" t="s">
        <v>53</v>
      </c>
      <c r="E1506" t="s">
        <v>54</v>
      </c>
      <c r="F1506" t="s">
        <v>55</v>
      </c>
      <c r="G1506" t="s">
        <v>32</v>
      </c>
      <c r="H1506" t="s">
        <v>33</v>
      </c>
      <c r="I1506">
        <v>1</v>
      </c>
      <c r="J1506">
        <v>218.54</v>
      </c>
      <c r="K1506">
        <v>0</v>
      </c>
      <c r="L1506">
        <v>218.54</v>
      </c>
      <c r="M1506" t="s">
        <v>76</v>
      </c>
      <c r="N1506" t="s">
        <v>71</v>
      </c>
      <c r="O1506" t="s">
        <v>65</v>
      </c>
      <c r="P1506" t="s">
        <v>116</v>
      </c>
    </row>
    <row r="1507" spans="1:16" x14ac:dyDescent="0.3">
      <c r="A1507" t="s">
        <v>527</v>
      </c>
      <c r="B1507" s="1">
        <v>45972</v>
      </c>
      <c r="C1507" t="s">
        <v>528</v>
      </c>
      <c r="D1507" t="s">
        <v>18</v>
      </c>
      <c r="E1507" t="s">
        <v>19</v>
      </c>
      <c r="F1507" t="s">
        <v>20</v>
      </c>
      <c r="G1507" t="s">
        <v>32</v>
      </c>
      <c r="H1507" t="s">
        <v>47</v>
      </c>
      <c r="I1507">
        <v>2</v>
      </c>
      <c r="J1507">
        <v>854.26</v>
      </c>
      <c r="K1507">
        <v>0.03</v>
      </c>
      <c r="L1507">
        <v>1657.26</v>
      </c>
      <c r="M1507" t="s">
        <v>48</v>
      </c>
      <c r="N1507" t="s">
        <v>58</v>
      </c>
      <c r="O1507" t="s">
        <v>35</v>
      </c>
      <c r="P1507" t="s">
        <v>50</v>
      </c>
    </row>
    <row r="1508" spans="1:16" x14ac:dyDescent="0.3">
      <c r="A1508" t="s">
        <v>1600</v>
      </c>
      <c r="B1508" s="1">
        <v>45654</v>
      </c>
      <c r="C1508" t="s">
        <v>599</v>
      </c>
      <c r="D1508" t="s">
        <v>105</v>
      </c>
      <c r="E1508" t="s">
        <v>106</v>
      </c>
      <c r="F1508" t="s">
        <v>40</v>
      </c>
      <c r="G1508" t="s">
        <v>21</v>
      </c>
      <c r="H1508" t="s">
        <v>126</v>
      </c>
      <c r="I1508">
        <v>2</v>
      </c>
      <c r="J1508">
        <v>7290.71</v>
      </c>
      <c r="K1508">
        <v>0.05</v>
      </c>
      <c r="L1508">
        <v>13852.35</v>
      </c>
      <c r="M1508" t="s">
        <v>48</v>
      </c>
      <c r="N1508" t="s">
        <v>71</v>
      </c>
      <c r="O1508" t="s">
        <v>25</v>
      </c>
      <c r="P1508" t="s">
        <v>102</v>
      </c>
    </row>
    <row r="1509" spans="1:16" x14ac:dyDescent="0.3">
      <c r="A1509" t="s">
        <v>1234</v>
      </c>
      <c r="B1509" s="1">
        <v>45374</v>
      </c>
      <c r="C1509" t="s">
        <v>520</v>
      </c>
      <c r="D1509" t="s">
        <v>18</v>
      </c>
      <c r="E1509" t="s">
        <v>19</v>
      </c>
      <c r="F1509" t="s">
        <v>20</v>
      </c>
      <c r="G1509" t="s">
        <v>32</v>
      </c>
      <c r="H1509" t="s">
        <v>47</v>
      </c>
      <c r="I1509">
        <v>5</v>
      </c>
      <c r="J1509">
        <v>892.4</v>
      </c>
      <c r="K1509">
        <v>0.2</v>
      </c>
      <c r="L1509">
        <v>3569.6</v>
      </c>
      <c r="M1509" t="s">
        <v>76</v>
      </c>
      <c r="N1509" t="s">
        <v>49</v>
      </c>
      <c r="O1509" t="s">
        <v>35</v>
      </c>
      <c r="P1509" t="s">
        <v>72</v>
      </c>
    </row>
    <row r="1510" spans="1:16" x14ac:dyDescent="0.3">
      <c r="A1510" t="s">
        <v>250</v>
      </c>
      <c r="B1510" s="1">
        <v>45903</v>
      </c>
      <c r="C1510" t="s">
        <v>251</v>
      </c>
      <c r="D1510" t="s">
        <v>18</v>
      </c>
      <c r="E1510" t="s">
        <v>19</v>
      </c>
      <c r="F1510" t="s">
        <v>20</v>
      </c>
      <c r="G1510" t="s">
        <v>32</v>
      </c>
      <c r="H1510" t="s">
        <v>75</v>
      </c>
      <c r="I1510">
        <v>4</v>
      </c>
      <c r="J1510">
        <v>831.86</v>
      </c>
      <c r="K1510">
        <v>0</v>
      </c>
      <c r="L1510">
        <v>3327.44</v>
      </c>
      <c r="M1510" t="s">
        <v>48</v>
      </c>
      <c r="N1510" t="s">
        <v>58</v>
      </c>
      <c r="O1510" t="s">
        <v>25</v>
      </c>
      <c r="P1510" t="s">
        <v>111</v>
      </c>
    </row>
    <row r="1511" spans="1:16" x14ac:dyDescent="0.3">
      <c r="A1511" t="s">
        <v>1590</v>
      </c>
      <c r="B1511" s="1">
        <v>45933</v>
      </c>
      <c r="C1511" t="s">
        <v>166</v>
      </c>
      <c r="D1511" t="s">
        <v>18</v>
      </c>
      <c r="E1511" t="s">
        <v>19</v>
      </c>
      <c r="F1511" t="s">
        <v>20</v>
      </c>
      <c r="G1511" t="s">
        <v>32</v>
      </c>
      <c r="H1511" t="s">
        <v>33</v>
      </c>
      <c r="I1511">
        <v>1</v>
      </c>
      <c r="J1511">
        <v>860.49</v>
      </c>
      <c r="K1511">
        <v>0.1</v>
      </c>
      <c r="L1511">
        <v>774.44</v>
      </c>
      <c r="M1511" t="s">
        <v>48</v>
      </c>
      <c r="N1511" t="s">
        <v>49</v>
      </c>
      <c r="O1511" t="s">
        <v>65</v>
      </c>
      <c r="P1511" t="s">
        <v>102</v>
      </c>
    </row>
    <row r="1512" spans="1:16" x14ac:dyDescent="0.3">
      <c r="A1512" t="s">
        <v>718</v>
      </c>
      <c r="B1512" s="1">
        <v>45552</v>
      </c>
      <c r="C1512" t="s">
        <v>416</v>
      </c>
      <c r="D1512" t="s">
        <v>18</v>
      </c>
      <c r="E1512" t="s">
        <v>19</v>
      </c>
      <c r="F1512" t="s">
        <v>20</v>
      </c>
      <c r="G1512" t="s">
        <v>21</v>
      </c>
      <c r="H1512" t="s">
        <v>93</v>
      </c>
      <c r="I1512">
        <v>2</v>
      </c>
      <c r="J1512">
        <v>873.31</v>
      </c>
      <c r="K1512">
        <v>0.03</v>
      </c>
      <c r="L1512">
        <v>1694.22</v>
      </c>
      <c r="M1512" t="s">
        <v>76</v>
      </c>
      <c r="N1512" t="s">
        <v>24</v>
      </c>
      <c r="O1512" t="s">
        <v>65</v>
      </c>
      <c r="P1512" t="s">
        <v>102</v>
      </c>
    </row>
    <row r="1513" spans="1:16" x14ac:dyDescent="0.3">
      <c r="A1513" t="s">
        <v>1112</v>
      </c>
      <c r="B1513" s="1">
        <v>46067</v>
      </c>
      <c r="C1513" t="s">
        <v>169</v>
      </c>
      <c r="D1513" t="s">
        <v>38</v>
      </c>
      <c r="E1513" t="s">
        <v>39</v>
      </c>
      <c r="F1513" t="s">
        <v>40</v>
      </c>
      <c r="G1513" t="s">
        <v>81</v>
      </c>
      <c r="H1513" t="s">
        <v>98</v>
      </c>
      <c r="I1513">
        <v>1</v>
      </c>
      <c r="J1513">
        <v>1629.44</v>
      </c>
      <c r="K1513">
        <v>0.15</v>
      </c>
      <c r="L1513">
        <v>1385.02</v>
      </c>
      <c r="M1513" t="s">
        <v>23</v>
      </c>
      <c r="N1513" t="s">
        <v>58</v>
      </c>
      <c r="O1513" t="s">
        <v>25</v>
      </c>
      <c r="P1513" t="s">
        <v>111</v>
      </c>
    </row>
    <row r="1514" spans="1:16" x14ac:dyDescent="0.3">
      <c r="A1514" t="s">
        <v>1580</v>
      </c>
      <c r="B1514" s="1">
        <v>45899</v>
      </c>
      <c r="C1514" t="s">
        <v>125</v>
      </c>
      <c r="D1514" t="s">
        <v>53</v>
      </c>
      <c r="E1514" t="s">
        <v>54</v>
      </c>
      <c r="F1514" t="s">
        <v>55</v>
      </c>
      <c r="G1514" t="s">
        <v>32</v>
      </c>
      <c r="H1514" t="s">
        <v>68</v>
      </c>
      <c r="I1514">
        <v>1</v>
      </c>
      <c r="J1514">
        <v>235.63</v>
      </c>
      <c r="K1514">
        <v>0.08</v>
      </c>
      <c r="L1514">
        <v>216.78</v>
      </c>
      <c r="M1514" t="s">
        <v>76</v>
      </c>
      <c r="N1514" t="s">
        <v>34</v>
      </c>
      <c r="O1514" t="s">
        <v>65</v>
      </c>
      <c r="P1514" t="s">
        <v>72</v>
      </c>
    </row>
    <row r="1515" spans="1:16" x14ac:dyDescent="0.3">
      <c r="A1515" t="s">
        <v>456</v>
      </c>
      <c r="B1515" s="1">
        <v>45645</v>
      </c>
      <c r="C1515" t="s">
        <v>457</v>
      </c>
      <c r="D1515" t="s">
        <v>85</v>
      </c>
      <c r="E1515" t="s">
        <v>86</v>
      </c>
      <c r="F1515" t="s">
        <v>20</v>
      </c>
      <c r="G1515" t="s">
        <v>32</v>
      </c>
      <c r="H1515" t="s">
        <v>47</v>
      </c>
      <c r="I1515">
        <v>5</v>
      </c>
      <c r="J1515">
        <v>1858.99</v>
      </c>
      <c r="K1515">
        <v>0.03</v>
      </c>
      <c r="L1515">
        <v>9016.1</v>
      </c>
      <c r="M1515" t="s">
        <v>76</v>
      </c>
      <c r="N1515" t="s">
        <v>24</v>
      </c>
      <c r="O1515" t="s">
        <v>65</v>
      </c>
      <c r="P1515" t="s">
        <v>111</v>
      </c>
    </row>
    <row r="1516" spans="1:16" x14ac:dyDescent="0.3">
      <c r="A1516" t="s">
        <v>1375</v>
      </c>
      <c r="B1516" s="1">
        <v>46100</v>
      </c>
      <c r="C1516" t="s">
        <v>672</v>
      </c>
      <c r="D1516" t="s">
        <v>38</v>
      </c>
      <c r="E1516" t="s">
        <v>39</v>
      </c>
      <c r="F1516" t="s">
        <v>40</v>
      </c>
      <c r="G1516" t="s">
        <v>81</v>
      </c>
      <c r="H1516" t="s">
        <v>87</v>
      </c>
      <c r="I1516">
        <v>2</v>
      </c>
      <c r="J1516">
        <v>1602.56</v>
      </c>
      <c r="K1516">
        <v>0.03</v>
      </c>
      <c r="L1516">
        <v>3108.97</v>
      </c>
      <c r="M1516" t="s">
        <v>76</v>
      </c>
      <c r="N1516" t="s">
        <v>49</v>
      </c>
      <c r="O1516" t="s">
        <v>35</v>
      </c>
      <c r="P1516" t="s">
        <v>72</v>
      </c>
    </row>
    <row r="1517" spans="1:16" x14ac:dyDescent="0.3">
      <c r="A1517" t="s">
        <v>920</v>
      </c>
      <c r="B1517" s="1">
        <v>45822</v>
      </c>
      <c r="C1517" t="s">
        <v>299</v>
      </c>
      <c r="D1517" t="s">
        <v>89</v>
      </c>
      <c r="E1517" t="s">
        <v>90</v>
      </c>
      <c r="F1517" t="s">
        <v>20</v>
      </c>
      <c r="G1517" t="s">
        <v>21</v>
      </c>
      <c r="H1517" t="s">
        <v>22</v>
      </c>
      <c r="I1517">
        <v>3</v>
      </c>
      <c r="J1517">
        <v>750.73</v>
      </c>
      <c r="K1517">
        <v>0.03</v>
      </c>
      <c r="L1517">
        <v>2184.62</v>
      </c>
      <c r="M1517" t="s">
        <v>23</v>
      </c>
      <c r="N1517" t="s">
        <v>34</v>
      </c>
      <c r="O1517" t="s">
        <v>65</v>
      </c>
      <c r="P1517" t="s">
        <v>42</v>
      </c>
    </row>
    <row r="1518" spans="1:16" x14ac:dyDescent="0.3">
      <c r="A1518" t="s">
        <v>1841</v>
      </c>
      <c r="B1518" s="1">
        <v>45750</v>
      </c>
      <c r="C1518" t="s">
        <v>225</v>
      </c>
      <c r="D1518" t="s">
        <v>62</v>
      </c>
      <c r="E1518" t="s">
        <v>63</v>
      </c>
      <c r="F1518" t="s">
        <v>31</v>
      </c>
      <c r="G1518" t="s">
        <v>21</v>
      </c>
      <c r="H1518" t="s">
        <v>22</v>
      </c>
      <c r="I1518">
        <v>3</v>
      </c>
      <c r="J1518">
        <v>2624.95</v>
      </c>
      <c r="K1518">
        <v>0</v>
      </c>
      <c r="L1518">
        <v>7874.85</v>
      </c>
      <c r="M1518" t="s">
        <v>76</v>
      </c>
      <c r="N1518" t="s">
        <v>58</v>
      </c>
      <c r="O1518" t="s">
        <v>35</v>
      </c>
      <c r="P1518" t="s">
        <v>59</v>
      </c>
    </row>
    <row r="1519" spans="1:16" x14ac:dyDescent="0.3">
      <c r="A1519" t="s">
        <v>1255</v>
      </c>
      <c r="B1519" s="1">
        <v>45558</v>
      </c>
      <c r="C1519" t="s">
        <v>365</v>
      </c>
      <c r="D1519" t="s">
        <v>18</v>
      </c>
      <c r="E1519" t="s">
        <v>19</v>
      </c>
      <c r="F1519" t="s">
        <v>20</v>
      </c>
      <c r="G1519" t="s">
        <v>81</v>
      </c>
      <c r="H1519" t="s">
        <v>82</v>
      </c>
      <c r="I1519">
        <v>4</v>
      </c>
      <c r="J1519">
        <v>796.25</v>
      </c>
      <c r="K1519">
        <v>0.2</v>
      </c>
      <c r="L1519">
        <v>2548</v>
      </c>
      <c r="M1519" t="s">
        <v>76</v>
      </c>
      <c r="N1519" t="s">
        <v>58</v>
      </c>
      <c r="O1519" t="s">
        <v>65</v>
      </c>
      <c r="P1519" t="s">
        <v>42</v>
      </c>
    </row>
    <row r="1520" spans="1:16" x14ac:dyDescent="0.3">
      <c r="A1520" t="s">
        <v>667</v>
      </c>
      <c r="B1520" s="1">
        <v>45477</v>
      </c>
      <c r="C1520" t="s">
        <v>311</v>
      </c>
      <c r="D1520" t="s">
        <v>79</v>
      </c>
      <c r="E1520" t="s">
        <v>80</v>
      </c>
      <c r="F1520" t="s">
        <v>31</v>
      </c>
      <c r="G1520" t="s">
        <v>21</v>
      </c>
      <c r="H1520" t="s">
        <v>126</v>
      </c>
      <c r="I1520">
        <v>3</v>
      </c>
      <c r="J1520">
        <v>12159.57</v>
      </c>
      <c r="K1520">
        <v>0.15</v>
      </c>
      <c r="L1520">
        <v>31006.9</v>
      </c>
      <c r="M1520" t="s">
        <v>48</v>
      </c>
      <c r="N1520" t="s">
        <v>24</v>
      </c>
      <c r="O1520" t="s">
        <v>35</v>
      </c>
      <c r="P1520" t="s">
        <v>102</v>
      </c>
    </row>
    <row r="1521" spans="1:16" x14ac:dyDescent="0.3">
      <c r="A1521" t="s">
        <v>1789</v>
      </c>
      <c r="B1521" s="1">
        <v>45341</v>
      </c>
      <c r="C1521" t="s">
        <v>1250</v>
      </c>
      <c r="D1521" t="s">
        <v>38</v>
      </c>
      <c r="E1521" t="s">
        <v>39</v>
      </c>
      <c r="F1521" t="s">
        <v>40</v>
      </c>
      <c r="G1521" t="s">
        <v>81</v>
      </c>
      <c r="H1521" t="s">
        <v>82</v>
      </c>
      <c r="I1521">
        <v>3</v>
      </c>
      <c r="J1521">
        <v>1523.26</v>
      </c>
      <c r="K1521">
        <v>0.15</v>
      </c>
      <c r="L1521">
        <v>3884.31</v>
      </c>
      <c r="M1521" t="s">
        <v>23</v>
      </c>
      <c r="N1521" t="s">
        <v>24</v>
      </c>
      <c r="O1521" t="s">
        <v>65</v>
      </c>
      <c r="P1521" t="s">
        <v>59</v>
      </c>
    </row>
    <row r="1522" spans="1:16" x14ac:dyDescent="0.3">
      <c r="A1522" t="s">
        <v>145</v>
      </c>
      <c r="B1522" s="1">
        <v>46178</v>
      </c>
      <c r="C1522" t="s">
        <v>651</v>
      </c>
      <c r="D1522" t="s">
        <v>53</v>
      </c>
      <c r="E1522" t="s">
        <v>54</v>
      </c>
      <c r="F1522" t="s">
        <v>55</v>
      </c>
      <c r="G1522" t="s">
        <v>21</v>
      </c>
      <c r="H1522" t="s">
        <v>22</v>
      </c>
      <c r="J1522">
        <v>202.89</v>
      </c>
      <c r="K1522">
        <v>0.03</v>
      </c>
      <c r="L1522">
        <v>590.41</v>
      </c>
      <c r="M1522" t="s">
        <v>23</v>
      </c>
      <c r="N1522" t="s">
        <v>71</v>
      </c>
      <c r="O1522" t="s">
        <v>65</v>
      </c>
      <c r="P1522" t="s">
        <v>26</v>
      </c>
    </row>
    <row r="1523" spans="1:16" x14ac:dyDescent="0.3">
      <c r="A1523" t="s">
        <v>1835</v>
      </c>
      <c r="B1523" s="1">
        <v>45954</v>
      </c>
      <c r="C1523" t="s">
        <v>285</v>
      </c>
      <c r="D1523" t="s">
        <v>131</v>
      </c>
      <c r="E1523" t="s">
        <v>132</v>
      </c>
      <c r="F1523" t="s">
        <v>40</v>
      </c>
      <c r="G1523" t="s">
        <v>56</v>
      </c>
      <c r="H1523" t="s">
        <v>101</v>
      </c>
      <c r="I1523">
        <v>4</v>
      </c>
      <c r="J1523">
        <v>9608.25</v>
      </c>
      <c r="K1523">
        <v>0.05</v>
      </c>
      <c r="L1523">
        <v>36511.35</v>
      </c>
      <c r="M1523" t="s">
        <v>48</v>
      </c>
      <c r="N1523" t="s">
        <v>49</v>
      </c>
      <c r="O1523" t="s">
        <v>65</v>
      </c>
      <c r="P1523" t="s">
        <v>111</v>
      </c>
    </row>
    <row r="1524" spans="1:16" x14ac:dyDescent="0.3">
      <c r="A1524" t="s">
        <v>1540</v>
      </c>
      <c r="B1524" s="1">
        <v>45839</v>
      </c>
      <c r="C1524" t="s">
        <v>315</v>
      </c>
      <c r="D1524" t="s">
        <v>105</v>
      </c>
      <c r="E1524" t="s">
        <v>106</v>
      </c>
      <c r="F1524" t="s">
        <v>40</v>
      </c>
      <c r="G1524" t="s">
        <v>81</v>
      </c>
      <c r="H1524" t="s">
        <v>87</v>
      </c>
      <c r="I1524">
        <v>4</v>
      </c>
      <c r="J1524">
        <v>7128.76</v>
      </c>
      <c r="K1524">
        <v>0.1</v>
      </c>
      <c r="L1524">
        <v>25663.54</v>
      </c>
      <c r="M1524" t="s">
        <v>76</v>
      </c>
      <c r="N1524" t="s">
        <v>58</v>
      </c>
      <c r="O1524" t="s">
        <v>65</v>
      </c>
      <c r="P1524" t="s">
        <v>111</v>
      </c>
    </row>
    <row r="1525" spans="1:16" x14ac:dyDescent="0.3">
      <c r="A1525" t="s">
        <v>1560</v>
      </c>
      <c r="B1525" s="1">
        <v>46059</v>
      </c>
      <c r="C1525" t="s">
        <v>373</v>
      </c>
      <c r="D1525" t="s">
        <v>170</v>
      </c>
      <c r="E1525" t="s">
        <v>171</v>
      </c>
      <c r="F1525" t="s">
        <v>31</v>
      </c>
      <c r="G1525" t="s">
        <v>21</v>
      </c>
      <c r="H1525" t="s">
        <v>22</v>
      </c>
      <c r="I1525">
        <v>4</v>
      </c>
      <c r="J1525">
        <v>60204.77</v>
      </c>
      <c r="K1525">
        <v>0.1</v>
      </c>
      <c r="L1525">
        <v>216737.17</v>
      </c>
      <c r="M1525" t="s">
        <v>48</v>
      </c>
      <c r="N1525" t="s">
        <v>24</v>
      </c>
      <c r="O1525" t="s">
        <v>65</v>
      </c>
      <c r="P1525" t="s">
        <v>26</v>
      </c>
    </row>
    <row r="1526" spans="1:16" x14ac:dyDescent="0.3">
      <c r="A1526" t="s">
        <v>152</v>
      </c>
      <c r="B1526" s="1">
        <v>45798</v>
      </c>
      <c r="C1526" t="s">
        <v>153</v>
      </c>
      <c r="D1526" t="s">
        <v>45</v>
      </c>
      <c r="E1526" t="s">
        <v>46</v>
      </c>
      <c r="F1526" t="s">
        <v>31</v>
      </c>
      <c r="G1526" t="s">
        <v>21</v>
      </c>
      <c r="H1526" t="s">
        <v>93</v>
      </c>
      <c r="I1526">
        <v>5</v>
      </c>
      <c r="J1526">
        <v>1696.42</v>
      </c>
      <c r="K1526">
        <v>0</v>
      </c>
      <c r="L1526">
        <v>8482.1</v>
      </c>
      <c r="M1526" t="s">
        <v>23</v>
      </c>
      <c r="N1526" t="s">
        <v>34</v>
      </c>
      <c r="O1526" t="s">
        <v>65</v>
      </c>
      <c r="P1526" t="s">
        <v>116</v>
      </c>
    </row>
    <row r="1527" spans="1:16" x14ac:dyDescent="0.3">
      <c r="A1527" t="s">
        <v>317</v>
      </c>
      <c r="B1527" s="1">
        <v>46197</v>
      </c>
      <c r="C1527" t="s">
        <v>139</v>
      </c>
      <c r="D1527" t="s">
        <v>85</v>
      </c>
      <c r="E1527" t="s">
        <v>86</v>
      </c>
      <c r="F1527" t="s">
        <v>20</v>
      </c>
      <c r="G1527" t="s">
        <v>21</v>
      </c>
      <c r="H1527" t="s">
        <v>41</v>
      </c>
      <c r="I1527">
        <v>2</v>
      </c>
      <c r="J1527">
        <v>1914.42</v>
      </c>
      <c r="K1527">
        <v>0</v>
      </c>
      <c r="L1527">
        <v>3828.84</v>
      </c>
      <c r="M1527" t="s">
        <v>76</v>
      </c>
      <c r="N1527" t="s">
        <v>24</v>
      </c>
      <c r="O1527" t="s">
        <v>65</v>
      </c>
      <c r="P1527" t="s">
        <v>116</v>
      </c>
    </row>
    <row r="1528" spans="1:16" x14ac:dyDescent="0.3">
      <c r="A1528" t="s">
        <v>449</v>
      </c>
      <c r="B1528" s="1">
        <v>46098</v>
      </c>
      <c r="C1528" t="s">
        <v>230</v>
      </c>
      <c r="D1528" t="s">
        <v>176</v>
      </c>
      <c r="E1528" t="s">
        <v>177</v>
      </c>
      <c r="F1528" t="s">
        <v>31</v>
      </c>
      <c r="G1528" t="s">
        <v>56</v>
      </c>
      <c r="H1528" t="s">
        <v>64</v>
      </c>
      <c r="I1528">
        <v>3</v>
      </c>
      <c r="J1528">
        <v>2036.64</v>
      </c>
      <c r="K1528">
        <v>0</v>
      </c>
      <c r="L1528">
        <v>6109.92</v>
      </c>
      <c r="M1528" t="s">
        <v>76</v>
      </c>
      <c r="N1528" t="s">
        <v>58</v>
      </c>
      <c r="O1528" t="s">
        <v>25</v>
      </c>
      <c r="P1528" t="s">
        <v>59</v>
      </c>
    </row>
    <row r="1529" spans="1:16" x14ac:dyDescent="0.3">
      <c r="A1529" t="s">
        <v>536</v>
      </c>
      <c r="B1529" s="1">
        <v>45874</v>
      </c>
      <c r="C1529" t="s">
        <v>74</v>
      </c>
      <c r="D1529" t="s">
        <v>121</v>
      </c>
      <c r="E1529" t="s">
        <v>122</v>
      </c>
      <c r="F1529" t="s">
        <v>55</v>
      </c>
      <c r="G1529" t="s">
        <v>21</v>
      </c>
      <c r="I1529">
        <v>5</v>
      </c>
      <c r="J1529">
        <v>446.21</v>
      </c>
      <c r="K1529">
        <v>0.1</v>
      </c>
      <c r="L1529">
        <v>2007.94</v>
      </c>
      <c r="M1529" t="s">
        <v>23</v>
      </c>
      <c r="N1529" t="s">
        <v>24</v>
      </c>
      <c r="O1529" t="s">
        <v>65</v>
      </c>
      <c r="P1529" t="s">
        <v>50</v>
      </c>
    </row>
  </sheetData>
  <phoneticPr fontId="18" type="noConversion"/>
  <conditionalFormatting sqref="R9"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E36E-0498-4188-9AA3-D7926DD33935}">
  <dimension ref="A1:Y1529"/>
  <sheetViews>
    <sheetView tabSelected="1" zoomScale="80" zoomScaleNormal="80" workbookViewId="0">
      <selection activeCell="AB12" sqref="AB12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1.6640625" bestFit="1" customWidth="1"/>
    <col min="4" max="4" width="10.109375" bestFit="1" customWidth="1"/>
    <col min="5" max="5" width="14.21875" bestFit="1" customWidth="1"/>
    <col min="6" max="6" width="10.44140625" bestFit="1" customWidth="1"/>
    <col min="7" max="7" width="6.5546875" bestFit="1" customWidth="1"/>
    <col min="8" max="8" width="13.5546875" bestFit="1" customWidth="1"/>
    <col min="9" max="9" width="8" bestFit="1" customWidth="1"/>
    <col min="10" max="10" width="9.44140625" bestFit="1" customWidth="1"/>
    <col min="11" max="11" width="8.109375" bestFit="1" customWidth="1"/>
    <col min="12" max="12" width="12.5546875" bestFit="1" customWidth="1"/>
    <col min="13" max="13" width="12.6640625" bestFit="1" customWidth="1"/>
    <col min="14" max="14" width="15.6640625" bestFit="1" customWidth="1"/>
    <col min="15" max="15" width="12.21875" bestFit="1" customWidth="1"/>
    <col min="16" max="16" width="11.33203125" bestFit="1" customWidth="1"/>
    <col min="17" max="17" width="17.44140625" bestFit="1" customWidth="1"/>
    <col min="18" max="18" width="19.21875" bestFit="1" customWidth="1"/>
    <col min="19" max="19" width="22.5546875" bestFit="1" customWidth="1"/>
    <col min="20" max="20" width="14.5546875" bestFit="1" customWidth="1"/>
    <col min="21" max="21" width="15.21875" bestFit="1" customWidth="1"/>
    <col min="22" max="22" width="15.77734375" bestFit="1" customWidth="1"/>
    <col min="23" max="23" width="15.21875" bestFit="1" customWidth="1"/>
    <col min="24" max="24" width="11.33203125" bestFit="1" customWidth="1"/>
  </cols>
  <sheetData>
    <row r="1" spans="1:25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1861</v>
      </c>
      <c r="R1" s="6" t="s">
        <v>1862</v>
      </c>
      <c r="S1" s="6" t="s">
        <v>1863</v>
      </c>
      <c r="T1" s="6" t="s">
        <v>1864</v>
      </c>
      <c r="U1" s="6" t="s">
        <v>1865</v>
      </c>
      <c r="V1" s="6" t="s">
        <v>1866</v>
      </c>
      <c r="W1" s="6" t="s">
        <v>1867</v>
      </c>
      <c r="X1" s="6" t="s">
        <v>1868</v>
      </c>
      <c r="Y1" s="6" t="s">
        <v>1869</v>
      </c>
    </row>
    <row r="2" spans="1:25" x14ac:dyDescent="0.3">
      <c r="A2" t="s">
        <v>16</v>
      </c>
      <c r="B2" s="1">
        <v>45373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>
        <v>876.84</v>
      </c>
      <c r="K2">
        <v>0.08</v>
      </c>
      <c r="L2">
        <v>2420.08</v>
      </c>
      <c r="M2" t="s">
        <v>23</v>
      </c>
      <c r="N2" t="s">
        <v>24</v>
      </c>
      <c r="O2" t="s">
        <v>25</v>
      </c>
      <c r="P2" t="s">
        <v>26</v>
      </c>
      <c r="Q2" t="str">
        <f>PROPER(O2)</f>
        <v>Returned</v>
      </c>
      <c r="R2" t="str">
        <f>PROPER(M2)</f>
        <v>Online</v>
      </c>
      <c r="S2" t="str" cm="1">
        <f t="array" ref="S2:S1529">PROPER(N2:N1529)</f>
        <v>Debit Card</v>
      </c>
      <c r="T2" t="str" cm="1">
        <f t="array" ref="T2:T1529">PROPER(F2:F1529)</f>
        <v>Accessories</v>
      </c>
      <c r="U2" t="str">
        <f>IF(I2&lt;=0,"INVALID","VALID")</f>
        <v>VALID</v>
      </c>
      <c r="V2" t="str">
        <f>IF(I2&gt;100,"REVIEW","NORMAL")</f>
        <v>NORMAL</v>
      </c>
      <c r="W2" t="str">
        <f>IF(OR(K2&lt;0,K2&gt;1),"Invalid","Valid")</f>
        <v>Valid</v>
      </c>
      <c r="X2">
        <f>I2*J2</f>
        <v>2630.52</v>
      </c>
      <c r="Y2">
        <f>I2*J2-(I2*J2*K2)</f>
        <v>2420.0783999999999</v>
      </c>
    </row>
    <row r="3" spans="1:25" x14ac:dyDescent="0.3">
      <c r="A3" t="s">
        <v>27</v>
      </c>
      <c r="B3" s="1">
        <v>45986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3</v>
      </c>
      <c r="J3">
        <v>3174.6</v>
      </c>
      <c r="K3">
        <v>0</v>
      </c>
      <c r="L3">
        <v>9523.7999999999993</v>
      </c>
      <c r="M3" t="s">
        <v>23</v>
      </c>
      <c r="N3" t="s">
        <v>34</v>
      </c>
      <c r="O3" t="s">
        <v>35</v>
      </c>
      <c r="P3" t="s">
        <v>26</v>
      </c>
      <c r="Q3" t="str">
        <f t="shared" ref="Q3:Q66" si="0">PROPER(O3)</f>
        <v>Cancelled</v>
      </c>
      <c r="R3" t="str">
        <f t="shared" ref="R3:R66" si="1">PROPER(M3)</f>
        <v>Online</v>
      </c>
      <c r="S3" t="str">
        <v>Cash On Delivery</v>
      </c>
      <c r="T3" t="str">
        <v>Electronics</v>
      </c>
      <c r="U3" t="str">
        <f t="shared" ref="U3:U66" si="2">IF(I3&lt;=0,"INVALID","VALID")</f>
        <v>VALID</v>
      </c>
      <c r="V3" t="str">
        <f t="shared" ref="V3:V66" si="3">IF(I3&gt;100,"REVIEW","NORMAL")</f>
        <v>NORMAL</v>
      </c>
      <c r="W3" t="str">
        <f t="shared" ref="W3:W66" si="4">IF(OR(K3&lt;0,K3&gt;1),"Invalid","Valid")</f>
        <v>Valid</v>
      </c>
      <c r="X3">
        <f>I3*J3</f>
        <v>9523.7999999999993</v>
      </c>
      <c r="Y3">
        <f t="shared" ref="Y3:Y66" si="5">I3*J3-(I3*J3*K3)</f>
        <v>9523.7999999999993</v>
      </c>
    </row>
    <row r="4" spans="1:25" x14ac:dyDescent="0.3">
      <c r="A4" t="s">
        <v>36</v>
      </c>
      <c r="B4" s="1">
        <v>45659</v>
      </c>
      <c r="C4" t="s">
        <v>37</v>
      </c>
      <c r="D4" t="s">
        <v>38</v>
      </c>
      <c r="E4" t="s">
        <v>39</v>
      </c>
      <c r="F4" t="s">
        <v>40</v>
      </c>
      <c r="G4" t="s">
        <v>21</v>
      </c>
      <c r="H4" t="s">
        <v>41</v>
      </c>
      <c r="I4">
        <v>3</v>
      </c>
      <c r="J4">
        <v>1613.97</v>
      </c>
      <c r="K4">
        <v>0.08</v>
      </c>
      <c r="L4">
        <v>4454.5600000000004</v>
      </c>
      <c r="M4" t="s">
        <v>23</v>
      </c>
      <c r="N4" t="s">
        <v>34</v>
      </c>
      <c r="O4" t="s">
        <v>35</v>
      </c>
      <c r="P4" t="s">
        <v>42</v>
      </c>
      <c r="Q4" t="str">
        <f t="shared" si="0"/>
        <v>Cancelled</v>
      </c>
      <c r="R4" t="str">
        <f t="shared" si="1"/>
        <v>Online</v>
      </c>
      <c r="S4" t="str">
        <v>Cash On Delivery</v>
      </c>
      <c r="T4" t="str">
        <v>Furniture</v>
      </c>
      <c r="U4" t="str">
        <f t="shared" si="2"/>
        <v>VALID</v>
      </c>
      <c r="V4" t="str">
        <f t="shared" si="3"/>
        <v>NORMAL</v>
      </c>
      <c r="W4" t="str">
        <f t="shared" si="4"/>
        <v>Valid</v>
      </c>
      <c r="X4">
        <f t="shared" ref="X4:X67" si="6">I4*J4</f>
        <v>4841.91</v>
      </c>
      <c r="Y4">
        <f t="shared" si="5"/>
        <v>4454.5572000000002</v>
      </c>
    </row>
    <row r="5" spans="1:25" x14ac:dyDescent="0.3">
      <c r="A5" t="s">
        <v>43</v>
      </c>
      <c r="B5" s="1">
        <v>45868</v>
      </c>
      <c r="C5" t="s">
        <v>44</v>
      </c>
      <c r="D5" t="s">
        <v>45</v>
      </c>
      <c r="E5" t="s">
        <v>46</v>
      </c>
      <c r="F5" t="s">
        <v>31</v>
      </c>
      <c r="G5" t="s">
        <v>32</v>
      </c>
      <c r="H5" t="s">
        <v>47</v>
      </c>
      <c r="I5">
        <v>4</v>
      </c>
      <c r="J5">
        <v>1935.56</v>
      </c>
      <c r="K5">
        <v>0.05</v>
      </c>
      <c r="L5">
        <v>7355.13</v>
      </c>
      <c r="M5" t="s">
        <v>48</v>
      </c>
      <c r="N5" t="s">
        <v>49</v>
      </c>
      <c r="O5" t="s">
        <v>35</v>
      </c>
      <c r="P5" t="s">
        <v>50</v>
      </c>
      <c r="Q5" t="str">
        <f t="shared" si="0"/>
        <v>Cancelled</v>
      </c>
      <c r="R5" t="str">
        <f t="shared" si="1"/>
        <v>Marketplace</v>
      </c>
      <c r="S5" t="str">
        <v>Net Banking</v>
      </c>
      <c r="T5" t="str">
        <v>Electronics</v>
      </c>
      <c r="U5" t="str">
        <f t="shared" si="2"/>
        <v>VALID</v>
      </c>
      <c r="V5" t="str">
        <f t="shared" si="3"/>
        <v>NORMAL</v>
      </c>
      <c r="W5" t="str">
        <f t="shared" si="4"/>
        <v>Valid</v>
      </c>
      <c r="X5">
        <f t="shared" si="6"/>
        <v>7742.24</v>
      </c>
      <c r="Y5">
        <f t="shared" si="5"/>
        <v>7355.1279999999997</v>
      </c>
    </row>
    <row r="6" spans="1:25" x14ac:dyDescent="0.3">
      <c r="A6" t="s">
        <v>51</v>
      </c>
      <c r="B6" s="1">
        <v>45623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>
        <v>1</v>
      </c>
      <c r="J6">
        <v>226.44</v>
      </c>
      <c r="K6">
        <v>0.08</v>
      </c>
      <c r="L6">
        <v>208.32</v>
      </c>
      <c r="M6" t="s">
        <v>48</v>
      </c>
      <c r="N6" t="s">
        <v>58</v>
      </c>
      <c r="O6" t="s">
        <v>25</v>
      </c>
      <c r="P6" t="s">
        <v>59</v>
      </c>
      <c r="Q6" t="str">
        <f t="shared" si="0"/>
        <v>Returned</v>
      </c>
      <c r="R6" t="str">
        <f t="shared" si="1"/>
        <v>Marketplace</v>
      </c>
      <c r="S6" t="str">
        <v>Credit Card</v>
      </c>
      <c r="T6" t="str">
        <v>Stationery</v>
      </c>
      <c r="U6" t="str">
        <f t="shared" si="2"/>
        <v>VALID</v>
      </c>
      <c r="V6" t="str">
        <f t="shared" si="3"/>
        <v>NORMAL</v>
      </c>
      <c r="W6" t="str">
        <f t="shared" si="4"/>
        <v>Valid</v>
      </c>
      <c r="X6">
        <f t="shared" si="6"/>
        <v>226.44</v>
      </c>
      <c r="Y6">
        <f t="shared" si="5"/>
        <v>208.32479999999998</v>
      </c>
    </row>
    <row r="7" spans="1:25" x14ac:dyDescent="0.3">
      <c r="A7" t="s">
        <v>60</v>
      </c>
      <c r="B7" s="1">
        <v>45589</v>
      </c>
      <c r="C7" t="s">
        <v>61</v>
      </c>
      <c r="D7" t="s">
        <v>62</v>
      </c>
      <c r="E7" t="s">
        <v>63</v>
      </c>
      <c r="F7" t="s">
        <v>31</v>
      </c>
      <c r="G7" t="s">
        <v>56</v>
      </c>
      <c r="H7" t="s">
        <v>64</v>
      </c>
      <c r="I7">
        <v>1</v>
      </c>
      <c r="J7">
        <v>2660.88</v>
      </c>
      <c r="K7">
        <v>0.08</v>
      </c>
      <c r="L7">
        <v>2448.0100000000002</v>
      </c>
      <c r="M7" t="s">
        <v>48</v>
      </c>
      <c r="N7" t="s">
        <v>24</v>
      </c>
      <c r="O7" t="s">
        <v>65</v>
      </c>
      <c r="P7" t="s">
        <v>50</v>
      </c>
      <c r="Q7" t="str">
        <f t="shared" si="0"/>
        <v>Completed</v>
      </c>
      <c r="R7" t="str">
        <f t="shared" si="1"/>
        <v>Marketplace</v>
      </c>
      <c r="S7" t="str">
        <v>Debit Card</v>
      </c>
      <c r="T7" t="str">
        <v>Electronics</v>
      </c>
      <c r="U7" t="str">
        <f t="shared" si="2"/>
        <v>VALID</v>
      </c>
      <c r="V7" t="str">
        <f t="shared" si="3"/>
        <v>NORMAL</v>
      </c>
      <c r="W7" t="str">
        <f t="shared" si="4"/>
        <v>Valid</v>
      </c>
      <c r="X7">
        <f t="shared" si="6"/>
        <v>2660.88</v>
      </c>
      <c r="Y7">
        <f t="shared" si="5"/>
        <v>2448.0096000000003</v>
      </c>
    </row>
    <row r="8" spans="1:25" x14ac:dyDescent="0.3">
      <c r="A8" t="s">
        <v>66</v>
      </c>
      <c r="B8" s="1">
        <v>45806</v>
      </c>
      <c r="C8" t="s">
        <v>67</v>
      </c>
      <c r="D8" t="s">
        <v>29</v>
      </c>
      <c r="E8" t="s">
        <v>30</v>
      </c>
      <c r="F8" t="s">
        <v>31</v>
      </c>
      <c r="G8" t="s">
        <v>32</v>
      </c>
      <c r="H8" t="s">
        <v>68</v>
      </c>
      <c r="I8">
        <v>3</v>
      </c>
      <c r="J8">
        <v>3302.54</v>
      </c>
      <c r="K8">
        <v>0.03</v>
      </c>
      <c r="L8">
        <v>9610.39</v>
      </c>
      <c r="M8" t="s">
        <v>23</v>
      </c>
      <c r="N8" t="s">
        <v>49</v>
      </c>
      <c r="O8" t="s">
        <v>35</v>
      </c>
      <c r="P8" t="s">
        <v>59</v>
      </c>
      <c r="Q8" t="str">
        <f t="shared" si="0"/>
        <v>Cancelled</v>
      </c>
      <c r="R8" t="str">
        <f t="shared" si="1"/>
        <v>Online</v>
      </c>
      <c r="S8" t="str">
        <v>Net Banking</v>
      </c>
      <c r="T8" t="str">
        <v>Electronics</v>
      </c>
      <c r="U8" t="str">
        <f t="shared" si="2"/>
        <v>VALID</v>
      </c>
      <c r="V8" t="str">
        <f t="shared" si="3"/>
        <v>NORMAL</v>
      </c>
      <c r="W8" t="str">
        <f t="shared" si="4"/>
        <v>Valid</v>
      </c>
      <c r="X8">
        <f t="shared" si="6"/>
        <v>9907.619999999999</v>
      </c>
      <c r="Y8">
        <f t="shared" si="5"/>
        <v>9610.3913999999986</v>
      </c>
    </row>
    <row r="9" spans="1:25" x14ac:dyDescent="0.3">
      <c r="A9" t="s">
        <v>69</v>
      </c>
      <c r="B9" s="1">
        <v>46025</v>
      </c>
      <c r="C9" t="s">
        <v>70</v>
      </c>
      <c r="D9" t="s">
        <v>38</v>
      </c>
      <c r="E9" t="s">
        <v>39</v>
      </c>
      <c r="F9" t="s">
        <v>40</v>
      </c>
      <c r="G9" t="s">
        <v>56</v>
      </c>
      <c r="H9" t="s">
        <v>64</v>
      </c>
      <c r="I9">
        <v>5</v>
      </c>
      <c r="J9">
        <v>1646.72</v>
      </c>
      <c r="K9">
        <v>0.05</v>
      </c>
      <c r="L9">
        <v>7821.92</v>
      </c>
      <c r="M9" t="s">
        <v>48</v>
      </c>
      <c r="N9" t="s">
        <v>71</v>
      </c>
      <c r="O9" t="s">
        <v>35</v>
      </c>
      <c r="P9" t="s">
        <v>72</v>
      </c>
      <c r="Q9" t="str">
        <f t="shared" si="0"/>
        <v>Cancelled</v>
      </c>
      <c r="R9" t="str">
        <f t="shared" si="1"/>
        <v>Marketplace</v>
      </c>
      <c r="S9" t="str">
        <v>Upi</v>
      </c>
      <c r="T9" t="str">
        <v>Furniture</v>
      </c>
      <c r="U9" t="str">
        <f t="shared" si="2"/>
        <v>VALID</v>
      </c>
      <c r="V9" t="str">
        <f t="shared" si="3"/>
        <v>NORMAL</v>
      </c>
      <c r="W9" t="str">
        <f t="shared" si="4"/>
        <v>Valid</v>
      </c>
      <c r="X9">
        <f t="shared" si="6"/>
        <v>8233.6</v>
      </c>
      <c r="Y9">
        <f t="shared" si="5"/>
        <v>7821.92</v>
      </c>
    </row>
    <row r="10" spans="1:25" x14ac:dyDescent="0.3">
      <c r="A10" t="s">
        <v>73</v>
      </c>
      <c r="B10" s="1">
        <v>46018</v>
      </c>
      <c r="C10" t="s">
        <v>74</v>
      </c>
      <c r="D10" t="s">
        <v>18</v>
      </c>
      <c r="E10" t="s">
        <v>19</v>
      </c>
      <c r="F10" t="s">
        <v>20</v>
      </c>
      <c r="G10" t="s">
        <v>32</v>
      </c>
      <c r="H10" t="s">
        <v>75</v>
      </c>
      <c r="I10">
        <v>4</v>
      </c>
      <c r="J10">
        <v>888.18</v>
      </c>
      <c r="K10">
        <v>0.08</v>
      </c>
      <c r="L10">
        <v>3268.5</v>
      </c>
      <c r="M10" t="s">
        <v>76</v>
      </c>
      <c r="N10" t="s">
        <v>24</v>
      </c>
      <c r="O10" t="s">
        <v>65</v>
      </c>
      <c r="P10" t="s">
        <v>72</v>
      </c>
      <c r="Q10" t="str">
        <f t="shared" si="0"/>
        <v>Completed</v>
      </c>
      <c r="R10" t="str">
        <f t="shared" si="1"/>
        <v>Store</v>
      </c>
      <c r="S10" t="str">
        <v>Debit Card</v>
      </c>
      <c r="T10" t="str">
        <v>Accessories</v>
      </c>
      <c r="U10" t="str">
        <f t="shared" si="2"/>
        <v>VALID</v>
      </c>
      <c r="V10" t="str">
        <f t="shared" si="3"/>
        <v>NORMAL</v>
      </c>
      <c r="W10" t="str">
        <f t="shared" si="4"/>
        <v>Valid</v>
      </c>
      <c r="X10">
        <f t="shared" si="6"/>
        <v>3552.72</v>
      </c>
      <c r="Y10">
        <f t="shared" si="5"/>
        <v>3268.5023999999999</v>
      </c>
    </row>
    <row r="11" spans="1:25" x14ac:dyDescent="0.3">
      <c r="A11" t="s">
        <v>77</v>
      </c>
      <c r="B11" s="1">
        <v>45419</v>
      </c>
      <c r="C11" t="s">
        <v>78</v>
      </c>
      <c r="D11" t="s">
        <v>79</v>
      </c>
      <c r="E11" t="s">
        <v>80</v>
      </c>
      <c r="F11" t="s">
        <v>31</v>
      </c>
      <c r="G11" t="s">
        <v>81</v>
      </c>
      <c r="H11" t="s">
        <v>82</v>
      </c>
      <c r="I11">
        <v>3</v>
      </c>
      <c r="J11">
        <v>12442.19</v>
      </c>
      <c r="K11">
        <v>0.1</v>
      </c>
      <c r="L11">
        <v>33593.910000000003</v>
      </c>
      <c r="M11" t="s">
        <v>23</v>
      </c>
      <c r="N11" t="s">
        <v>49</v>
      </c>
      <c r="O11" t="s">
        <v>65</v>
      </c>
      <c r="P11" t="s">
        <v>26</v>
      </c>
      <c r="Q11" t="str">
        <f t="shared" si="0"/>
        <v>Completed</v>
      </c>
      <c r="R11" t="str">
        <f t="shared" si="1"/>
        <v>Online</v>
      </c>
      <c r="S11" t="str">
        <v>Net Banking</v>
      </c>
      <c r="T11" t="str">
        <v>Electronics</v>
      </c>
      <c r="U11" t="str">
        <f t="shared" si="2"/>
        <v>VALID</v>
      </c>
      <c r="V11" t="str">
        <f t="shared" si="3"/>
        <v>NORMAL</v>
      </c>
      <c r="W11" t="str">
        <f t="shared" si="4"/>
        <v>Valid</v>
      </c>
      <c r="X11">
        <f t="shared" si="6"/>
        <v>37326.57</v>
      </c>
      <c r="Y11">
        <f t="shared" si="5"/>
        <v>33593.913</v>
      </c>
    </row>
    <row r="12" spans="1:25" x14ac:dyDescent="0.3">
      <c r="A12" t="s">
        <v>83</v>
      </c>
      <c r="B12" s="1">
        <v>45807</v>
      </c>
      <c r="C12" t="s">
        <v>84</v>
      </c>
      <c r="D12" t="s">
        <v>85</v>
      </c>
      <c r="E12" t="s">
        <v>86</v>
      </c>
      <c r="F12" t="s">
        <v>20</v>
      </c>
      <c r="G12" t="s">
        <v>81</v>
      </c>
      <c r="H12" t="s">
        <v>87</v>
      </c>
      <c r="I12">
        <v>3</v>
      </c>
      <c r="J12">
        <v>1664.88</v>
      </c>
      <c r="K12">
        <v>0.15</v>
      </c>
      <c r="L12">
        <v>4245.4399999999996</v>
      </c>
      <c r="M12" t="s">
        <v>76</v>
      </c>
      <c r="N12" t="s">
        <v>34</v>
      </c>
      <c r="O12" t="s">
        <v>65</v>
      </c>
      <c r="P12" t="s">
        <v>42</v>
      </c>
      <c r="Q12" t="str">
        <f t="shared" si="0"/>
        <v>Completed</v>
      </c>
      <c r="R12" t="str">
        <f t="shared" si="1"/>
        <v>Store</v>
      </c>
      <c r="S12" t="str">
        <v>Cash On Delivery</v>
      </c>
      <c r="T12" t="str">
        <v>Accessories</v>
      </c>
      <c r="U12" t="str">
        <f t="shared" si="2"/>
        <v>VALID</v>
      </c>
      <c r="V12" t="str">
        <f t="shared" si="3"/>
        <v>NORMAL</v>
      </c>
      <c r="W12" t="str">
        <f t="shared" si="4"/>
        <v>Valid</v>
      </c>
      <c r="X12">
        <f t="shared" si="6"/>
        <v>4994.6400000000003</v>
      </c>
      <c r="Y12">
        <f t="shared" si="5"/>
        <v>4245.4440000000004</v>
      </c>
    </row>
    <row r="13" spans="1:25" x14ac:dyDescent="0.3">
      <c r="A13" t="s">
        <v>88</v>
      </c>
      <c r="B13" s="1">
        <v>45664</v>
      </c>
      <c r="C13" t="s">
        <v>78</v>
      </c>
      <c r="D13" t="s">
        <v>89</v>
      </c>
      <c r="E13" t="s">
        <v>90</v>
      </c>
      <c r="F13" t="s">
        <v>20</v>
      </c>
      <c r="G13" t="s">
        <v>32</v>
      </c>
      <c r="H13" t="s">
        <v>33</v>
      </c>
      <c r="I13">
        <v>1</v>
      </c>
      <c r="J13">
        <v>650.53</v>
      </c>
      <c r="K13">
        <v>0.03</v>
      </c>
      <c r="L13">
        <v>631.01</v>
      </c>
      <c r="M13" t="s">
        <v>48</v>
      </c>
      <c r="N13" t="s">
        <v>58</v>
      </c>
      <c r="O13" t="s">
        <v>65</v>
      </c>
      <c r="P13" t="s">
        <v>26</v>
      </c>
      <c r="Q13" t="str">
        <f t="shared" si="0"/>
        <v>Completed</v>
      </c>
      <c r="R13" t="str">
        <f t="shared" si="1"/>
        <v>Marketplace</v>
      </c>
      <c r="S13" t="str">
        <v>Credit Card</v>
      </c>
      <c r="T13" t="str">
        <v>Accessories</v>
      </c>
      <c r="U13" t="str">
        <f t="shared" si="2"/>
        <v>VALID</v>
      </c>
      <c r="V13" t="str">
        <f t="shared" si="3"/>
        <v>NORMAL</v>
      </c>
      <c r="W13" t="str">
        <f t="shared" si="4"/>
        <v>Valid</v>
      </c>
      <c r="X13">
        <f t="shared" si="6"/>
        <v>650.53</v>
      </c>
      <c r="Y13">
        <f t="shared" si="5"/>
        <v>631.01409999999998</v>
      </c>
    </row>
    <row r="14" spans="1:25" x14ac:dyDescent="0.3">
      <c r="A14" t="s">
        <v>91</v>
      </c>
      <c r="B14" s="1">
        <v>45407</v>
      </c>
      <c r="C14" t="s">
        <v>92</v>
      </c>
      <c r="D14" t="s">
        <v>85</v>
      </c>
      <c r="E14" t="s">
        <v>86</v>
      </c>
      <c r="F14" t="s">
        <v>20</v>
      </c>
      <c r="G14" t="s">
        <v>21</v>
      </c>
      <c r="H14" t="s">
        <v>93</v>
      </c>
      <c r="I14">
        <v>4</v>
      </c>
      <c r="J14">
        <v>1773.04</v>
      </c>
      <c r="K14">
        <v>0.2</v>
      </c>
      <c r="L14">
        <v>5673.73</v>
      </c>
      <c r="M14" t="s">
        <v>48</v>
      </c>
      <c r="N14" t="s">
        <v>58</v>
      </c>
      <c r="O14" t="s">
        <v>65</v>
      </c>
      <c r="P14" t="s">
        <v>42</v>
      </c>
      <c r="Q14" t="str">
        <f t="shared" si="0"/>
        <v>Completed</v>
      </c>
      <c r="R14" t="str">
        <f t="shared" si="1"/>
        <v>Marketplace</v>
      </c>
      <c r="S14" t="str">
        <v>Credit Card</v>
      </c>
      <c r="T14" t="str">
        <v>Accessories</v>
      </c>
      <c r="U14" t="str">
        <f t="shared" si="2"/>
        <v>VALID</v>
      </c>
      <c r="V14" t="str">
        <f t="shared" si="3"/>
        <v>NORMAL</v>
      </c>
      <c r="W14" t="str">
        <f t="shared" si="4"/>
        <v>Valid</v>
      </c>
      <c r="X14">
        <f t="shared" si="6"/>
        <v>7092.16</v>
      </c>
      <c r="Y14">
        <f t="shared" si="5"/>
        <v>5673.7280000000001</v>
      </c>
    </row>
    <row r="15" spans="1:25" x14ac:dyDescent="0.3">
      <c r="A15" t="s">
        <v>94</v>
      </c>
      <c r="B15" s="1">
        <v>45312</v>
      </c>
      <c r="C15" t="s">
        <v>95</v>
      </c>
      <c r="D15" t="s">
        <v>96</v>
      </c>
      <c r="E15" t="s">
        <v>97</v>
      </c>
      <c r="F15" t="s">
        <v>31</v>
      </c>
      <c r="G15" t="s">
        <v>81</v>
      </c>
      <c r="H15" t="s">
        <v>98</v>
      </c>
      <c r="I15">
        <v>4</v>
      </c>
      <c r="J15">
        <v>1192.68</v>
      </c>
      <c r="K15">
        <v>0.15</v>
      </c>
      <c r="L15">
        <v>4055.11</v>
      </c>
      <c r="M15" t="s">
        <v>48</v>
      </c>
      <c r="N15" t="s">
        <v>24</v>
      </c>
      <c r="O15" t="s">
        <v>25</v>
      </c>
      <c r="P15" t="s">
        <v>50</v>
      </c>
      <c r="Q15" t="str">
        <f t="shared" si="0"/>
        <v>Returned</v>
      </c>
      <c r="R15" t="str">
        <f t="shared" si="1"/>
        <v>Marketplace</v>
      </c>
      <c r="S15" t="str">
        <v>Debit Card</v>
      </c>
      <c r="T15" t="str">
        <v>Electronics</v>
      </c>
      <c r="U15" t="str">
        <f t="shared" si="2"/>
        <v>VALID</v>
      </c>
      <c r="V15" t="str">
        <f t="shared" si="3"/>
        <v>NORMAL</v>
      </c>
      <c r="W15" t="str">
        <f t="shared" si="4"/>
        <v>Valid</v>
      </c>
      <c r="X15">
        <f t="shared" si="6"/>
        <v>4770.72</v>
      </c>
      <c r="Y15">
        <f t="shared" si="5"/>
        <v>4055.1120000000001</v>
      </c>
    </row>
    <row r="16" spans="1:25" x14ac:dyDescent="0.3">
      <c r="A16" t="s">
        <v>99</v>
      </c>
      <c r="B16" s="1">
        <v>45745</v>
      </c>
      <c r="C16" t="s">
        <v>100</v>
      </c>
      <c r="D16" t="s">
        <v>29</v>
      </c>
      <c r="E16" t="s">
        <v>30</v>
      </c>
      <c r="F16" t="s">
        <v>31</v>
      </c>
      <c r="G16" t="s">
        <v>56</v>
      </c>
      <c r="H16" t="s">
        <v>101</v>
      </c>
      <c r="I16">
        <v>3</v>
      </c>
      <c r="J16">
        <v>3098.37</v>
      </c>
      <c r="K16">
        <v>0.03</v>
      </c>
      <c r="L16">
        <v>9016.26</v>
      </c>
      <c r="M16" t="s">
        <v>76</v>
      </c>
      <c r="N16" t="s">
        <v>49</v>
      </c>
      <c r="O16" t="s">
        <v>65</v>
      </c>
      <c r="P16" t="s">
        <v>102</v>
      </c>
      <c r="Q16" t="str">
        <f t="shared" si="0"/>
        <v>Completed</v>
      </c>
      <c r="R16" t="str">
        <f t="shared" si="1"/>
        <v>Store</v>
      </c>
      <c r="S16" t="str">
        <v>Net Banking</v>
      </c>
      <c r="T16" t="str">
        <v>Electronics</v>
      </c>
      <c r="U16" t="str">
        <f t="shared" si="2"/>
        <v>VALID</v>
      </c>
      <c r="V16" t="str">
        <f t="shared" si="3"/>
        <v>NORMAL</v>
      </c>
      <c r="W16" t="str">
        <f t="shared" si="4"/>
        <v>Valid</v>
      </c>
      <c r="X16">
        <f t="shared" si="6"/>
        <v>9295.11</v>
      </c>
      <c r="Y16">
        <f t="shared" si="5"/>
        <v>9016.2566999999999</v>
      </c>
    </row>
    <row r="17" spans="1:25" x14ac:dyDescent="0.3">
      <c r="A17" t="s">
        <v>103</v>
      </c>
      <c r="B17" s="1">
        <v>45371</v>
      </c>
      <c r="C17" t="s">
        <v>104</v>
      </c>
      <c r="D17" t="s">
        <v>105</v>
      </c>
      <c r="E17" t="s">
        <v>106</v>
      </c>
      <c r="F17" t="s">
        <v>40</v>
      </c>
      <c r="G17" t="s">
        <v>81</v>
      </c>
      <c r="H17" t="s">
        <v>82</v>
      </c>
      <c r="I17">
        <v>2</v>
      </c>
      <c r="J17">
        <v>7670.68</v>
      </c>
      <c r="K17">
        <v>0.2</v>
      </c>
      <c r="L17">
        <v>12273.09</v>
      </c>
      <c r="M17" t="s">
        <v>76</v>
      </c>
      <c r="N17" t="s">
        <v>58</v>
      </c>
      <c r="O17" t="s">
        <v>35</v>
      </c>
      <c r="P17" t="s">
        <v>102</v>
      </c>
      <c r="Q17" t="str">
        <f t="shared" si="0"/>
        <v>Cancelled</v>
      </c>
      <c r="R17" t="str">
        <f t="shared" si="1"/>
        <v>Store</v>
      </c>
      <c r="S17" t="str">
        <v>Credit Card</v>
      </c>
      <c r="T17" t="str">
        <v>Furniture</v>
      </c>
      <c r="U17" t="str">
        <f t="shared" si="2"/>
        <v>VALID</v>
      </c>
      <c r="V17" t="str">
        <f t="shared" si="3"/>
        <v>NORMAL</v>
      </c>
      <c r="W17" t="str">
        <f t="shared" si="4"/>
        <v>Valid</v>
      </c>
      <c r="X17">
        <f t="shared" si="6"/>
        <v>15341.36</v>
      </c>
      <c r="Y17">
        <f t="shared" si="5"/>
        <v>12273.088</v>
      </c>
    </row>
    <row r="18" spans="1:25" x14ac:dyDescent="0.3">
      <c r="A18" t="s">
        <v>107</v>
      </c>
      <c r="B18" s="1">
        <v>45532</v>
      </c>
      <c r="C18" t="s">
        <v>108</v>
      </c>
      <c r="D18" t="s">
        <v>18</v>
      </c>
      <c r="E18" t="s">
        <v>19</v>
      </c>
      <c r="F18" t="s">
        <v>20</v>
      </c>
      <c r="G18" t="s">
        <v>56</v>
      </c>
      <c r="H18" t="s">
        <v>64</v>
      </c>
      <c r="I18">
        <v>4</v>
      </c>
      <c r="J18">
        <v>819.02</v>
      </c>
      <c r="K18">
        <v>0.15</v>
      </c>
      <c r="L18">
        <v>2784.67</v>
      </c>
      <c r="M18" t="s">
        <v>23</v>
      </c>
      <c r="N18" t="s">
        <v>24</v>
      </c>
      <c r="O18" t="s">
        <v>25</v>
      </c>
      <c r="P18" t="s">
        <v>50</v>
      </c>
      <c r="Q18" t="str">
        <f t="shared" si="0"/>
        <v>Returned</v>
      </c>
      <c r="R18" t="str">
        <f t="shared" si="1"/>
        <v>Online</v>
      </c>
      <c r="S18" t="str">
        <v>Debit Card</v>
      </c>
      <c r="T18" t="str">
        <v>Accessories</v>
      </c>
      <c r="U18" t="str">
        <f t="shared" si="2"/>
        <v>VALID</v>
      </c>
      <c r="V18" t="str">
        <f t="shared" si="3"/>
        <v>NORMAL</v>
      </c>
      <c r="W18" t="str">
        <f t="shared" si="4"/>
        <v>Valid</v>
      </c>
      <c r="X18">
        <f t="shared" si="6"/>
        <v>3276.08</v>
      </c>
      <c r="Y18">
        <f t="shared" si="5"/>
        <v>2784.6680000000001</v>
      </c>
    </row>
    <row r="19" spans="1:25" x14ac:dyDescent="0.3">
      <c r="A19" t="s">
        <v>109</v>
      </c>
      <c r="B19" s="1">
        <v>45707</v>
      </c>
      <c r="C19" t="s">
        <v>110</v>
      </c>
      <c r="D19" t="s">
        <v>29</v>
      </c>
      <c r="E19" t="s">
        <v>30</v>
      </c>
      <c r="F19" t="s">
        <v>31</v>
      </c>
      <c r="G19" t="s">
        <v>81</v>
      </c>
      <c r="H19" t="s">
        <v>98</v>
      </c>
      <c r="I19">
        <v>4</v>
      </c>
      <c r="J19">
        <v>3240.56</v>
      </c>
      <c r="K19">
        <v>0.05</v>
      </c>
      <c r="L19">
        <v>12314.13</v>
      </c>
      <c r="M19" t="s">
        <v>76</v>
      </c>
      <c r="N19" t="s">
        <v>34</v>
      </c>
      <c r="O19" t="s">
        <v>65</v>
      </c>
      <c r="P19" t="s">
        <v>111</v>
      </c>
      <c r="Q19" t="str">
        <f t="shared" si="0"/>
        <v>Completed</v>
      </c>
      <c r="R19" t="str">
        <f t="shared" si="1"/>
        <v>Store</v>
      </c>
      <c r="S19" t="str">
        <v>Cash On Delivery</v>
      </c>
      <c r="T19" t="str">
        <v>Electronics</v>
      </c>
      <c r="U19" t="str">
        <f t="shared" si="2"/>
        <v>VALID</v>
      </c>
      <c r="V19" t="str">
        <f t="shared" si="3"/>
        <v>NORMAL</v>
      </c>
      <c r="W19" t="str">
        <f t="shared" si="4"/>
        <v>Valid</v>
      </c>
      <c r="X19">
        <f t="shared" si="6"/>
        <v>12962.24</v>
      </c>
      <c r="Y19">
        <f t="shared" si="5"/>
        <v>12314.128000000001</v>
      </c>
    </row>
    <row r="20" spans="1:25" x14ac:dyDescent="0.3">
      <c r="A20" t="s">
        <v>112</v>
      </c>
      <c r="B20" s="1">
        <v>45741</v>
      </c>
      <c r="C20" t="s">
        <v>113</v>
      </c>
      <c r="D20" t="s">
        <v>29</v>
      </c>
      <c r="E20" t="s">
        <v>30</v>
      </c>
      <c r="F20" t="s">
        <v>31</v>
      </c>
      <c r="G20" t="s">
        <v>21</v>
      </c>
      <c r="H20" t="s">
        <v>22</v>
      </c>
      <c r="I20">
        <v>3</v>
      </c>
      <c r="J20">
        <v>3243.06</v>
      </c>
      <c r="K20">
        <v>0.05</v>
      </c>
      <c r="L20">
        <v>9242.7199999999993</v>
      </c>
      <c r="M20" t="s">
        <v>76</v>
      </c>
      <c r="N20" t="s">
        <v>49</v>
      </c>
      <c r="O20" t="s">
        <v>65</v>
      </c>
      <c r="P20" t="s">
        <v>111</v>
      </c>
      <c r="Q20" t="str">
        <f t="shared" si="0"/>
        <v>Completed</v>
      </c>
      <c r="R20" t="str">
        <f t="shared" si="1"/>
        <v>Store</v>
      </c>
      <c r="S20" t="str">
        <v>Net Banking</v>
      </c>
      <c r="T20" t="str">
        <v>Electronics</v>
      </c>
      <c r="U20" t="str">
        <f t="shared" si="2"/>
        <v>VALID</v>
      </c>
      <c r="V20" t="str">
        <f t="shared" si="3"/>
        <v>NORMAL</v>
      </c>
      <c r="W20" t="str">
        <f t="shared" si="4"/>
        <v>Valid</v>
      </c>
      <c r="X20">
        <f t="shared" si="6"/>
        <v>9729.18</v>
      </c>
      <c r="Y20">
        <f t="shared" si="5"/>
        <v>9242.7209999999995</v>
      </c>
    </row>
    <row r="21" spans="1:25" x14ac:dyDescent="0.3">
      <c r="A21" t="s">
        <v>114</v>
      </c>
      <c r="B21" s="1">
        <v>45671</v>
      </c>
      <c r="C21" t="s">
        <v>115</v>
      </c>
      <c r="D21" t="s">
        <v>18</v>
      </c>
      <c r="E21" t="s">
        <v>19</v>
      </c>
      <c r="F21" t="s">
        <v>20</v>
      </c>
      <c r="G21" t="s">
        <v>81</v>
      </c>
      <c r="H21" t="s">
        <v>98</v>
      </c>
      <c r="I21">
        <v>1</v>
      </c>
      <c r="J21">
        <v>826.86</v>
      </c>
      <c r="K21">
        <v>0.08</v>
      </c>
      <c r="L21">
        <v>760.71</v>
      </c>
      <c r="M21" t="s">
        <v>48</v>
      </c>
      <c r="N21" t="s">
        <v>71</v>
      </c>
      <c r="O21" t="s">
        <v>65</v>
      </c>
      <c r="P21" t="s">
        <v>116</v>
      </c>
      <c r="Q21" t="str">
        <f t="shared" si="0"/>
        <v>Completed</v>
      </c>
      <c r="R21" t="str">
        <f t="shared" si="1"/>
        <v>Marketplace</v>
      </c>
      <c r="S21" t="str">
        <v>Upi</v>
      </c>
      <c r="T21" t="str">
        <v>Accessories</v>
      </c>
      <c r="U21" t="str">
        <f t="shared" si="2"/>
        <v>VALID</v>
      </c>
      <c r="V21" t="str">
        <f t="shared" si="3"/>
        <v>NORMAL</v>
      </c>
      <c r="W21" t="str">
        <f t="shared" si="4"/>
        <v>Valid</v>
      </c>
      <c r="X21">
        <f t="shared" si="6"/>
        <v>826.86</v>
      </c>
      <c r="Y21">
        <f t="shared" si="5"/>
        <v>760.71119999999996</v>
      </c>
    </row>
    <row r="22" spans="1:25" x14ac:dyDescent="0.3">
      <c r="A22" t="s">
        <v>117</v>
      </c>
      <c r="B22" s="1">
        <v>46015</v>
      </c>
      <c r="C22" t="s">
        <v>118</v>
      </c>
      <c r="D22" t="s">
        <v>45</v>
      </c>
      <c r="E22" t="s">
        <v>46</v>
      </c>
      <c r="F22" t="s">
        <v>31</v>
      </c>
      <c r="G22" t="s">
        <v>56</v>
      </c>
      <c r="H22" t="s">
        <v>101</v>
      </c>
      <c r="I22">
        <v>5</v>
      </c>
      <c r="J22">
        <v>1755.9</v>
      </c>
      <c r="K22">
        <v>0.2</v>
      </c>
      <c r="L22">
        <v>7023.6</v>
      </c>
      <c r="M22" t="s">
        <v>76</v>
      </c>
      <c r="N22" t="s">
        <v>58</v>
      </c>
      <c r="O22" t="s">
        <v>65</v>
      </c>
      <c r="P22" t="s">
        <v>50</v>
      </c>
      <c r="Q22" t="str">
        <f t="shared" si="0"/>
        <v>Completed</v>
      </c>
      <c r="R22" t="str">
        <f t="shared" si="1"/>
        <v>Store</v>
      </c>
      <c r="S22" t="str">
        <v>Credit Card</v>
      </c>
      <c r="T22" t="str">
        <v>Electronics</v>
      </c>
      <c r="U22" t="str">
        <f t="shared" si="2"/>
        <v>VALID</v>
      </c>
      <c r="V22" t="str">
        <f t="shared" si="3"/>
        <v>NORMAL</v>
      </c>
      <c r="W22" t="str">
        <f t="shared" si="4"/>
        <v>Valid</v>
      </c>
      <c r="X22">
        <f t="shared" si="6"/>
        <v>8779.5</v>
      </c>
      <c r="Y22">
        <f t="shared" si="5"/>
        <v>7023.6</v>
      </c>
    </row>
    <row r="23" spans="1:25" x14ac:dyDescent="0.3">
      <c r="A23" t="s">
        <v>119</v>
      </c>
      <c r="B23" s="1">
        <v>46166</v>
      </c>
      <c r="C23" t="s">
        <v>120</v>
      </c>
      <c r="D23" t="s">
        <v>121</v>
      </c>
      <c r="E23" t="s">
        <v>122</v>
      </c>
      <c r="F23" t="s">
        <v>55</v>
      </c>
      <c r="G23" t="s">
        <v>56</v>
      </c>
      <c r="H23" t="s">
        <v>123</v>
      </c>
      <c r="I23">
        <v>3</v>
      </c>
      <c r="J23">
        <v>419.96</v>
      </c>
      <c r="K23">
        <v>0.15</v>
      </c>
      <c r="L23">
        <v>1070.9000000000001</v>
      </c>
      <c r="M23" t="s">
        <v>48</v>
      </c>
      <c r="N23" t="s">
        <v>24</v>
      </c>
      <c r="O23" t="s">
        <v>65</v>
      </c>
      <c r="P23" t="s">
        <v>102</v>
      </c>
      <c r="Q23" t="str">
        <f t="shared" si="0"/>
        <v>Completed</v>
      </c>
      <c r="R23" t="str">
        <f t="shared" si="1"/>
        <v>Marketplace</v>
      </c>
      <c r="S23" t="str">
        <v>Debit Card</v>
      </c>
      <c r="T23" t="str">
        <v>Stationery</v>
      </c>
      <c r="U23" t="str">
        <f t="shared" si="2"/>
        <v>VALID</v>
      </c>
      <c r="V23" t="str">
        <f t="shared" si="3"/>
        <v>NORMAL</v>
      </c>
      <c r="W23" t="str">
        <f t="shared" si="4"/>
        <v>Valid</v>
      </c>
      <c r="X23">
        <f t="shared" si="6"/>
        <v>1259.8799999999999</v>
      </c>
      <c r="Y23">
        <f t="shared" si="5"/>
        <v>1070.8979999999999</v>
      </c>
    </row>
    <row r="24" spans="1:25" x14ac:dyDescent="0.3">
      <c r="A24" t="s">
        <v>124</v>
      </c>
      <c r="B24" s="1">
        <v>45438</v>
      </c>
      <c r="C24" t="s">
        <v>125</v>
      </c>
      <c r="D24" t="s">
        <v>85</v>
      </c>
      <c r="E24" t="s">
        <v>86</v>
      </c>
      <c r="F24" t="s">
        <v>20</v>
      </c>
      <c r="G24" t="s">
        <v>21</v>
      </c>
      <c r="H24" t="s">
        <v>126</v>
      </c>
      <c r="I24">
        <v>3</v>
      </c>
      <c r="J24">
        <v>1751.49</v>
      </c>
      <c r="K24">
        <v>0.15</v>
      </c>
      <c r="L24">
        <v>4466.3</v>
      </c>
      <c r="M24" t="s">
        <v>76</v>
      </c>
      <c r="N24" t="s">
        <v>34</v>
      </c>
      <c r="O24" t="s">
        <v>65</v>
      </c>
      <c r="P24" t="s">
        <v>42</v>
      </c>
      <c r="Q24" t="str">
        <f t="shared" si="0"/>
        <v>Completed</v>
      </c>
      <c r="R24" t="str">
        <f t="shared" si="1"/>
        <v>Store</v>
      </c>
      <c r="S24" t="str">
        <v>Cash On Delivery</v>
      </c>
      <c r="T24" t="str">
        <v>Accessories</v>
      </c>
      <c r="U24" t="str">
        <f t="shared" si="2"/>
        <v>VALID</v>
      </c>
      <c r="V24" t="str">
        <f t="shared" si="3"/>
        <v>NORMAL</v>
      </c>
      <c r="W24" t="str">
        <f t="shared" si="4"/>
        <v>Valid</v>
      </c>
      <c r="X24">
        <f t="shared" si="6"/>
        <v>5254.47</v>
      </c>
      <c r="Y24">
        <f t="shared" si="5"/>
        <v>4466.2995000000001</v>
      </c>
    </row>
    <row r="25" spans="1:25" x14ac:dyDescent="0.3">
      <c r="A25" t="s">
        <v>127</v>
      </c>
      <c r="B25" s="1">
        <v>45311</v>
      </c>
      <c r="C25" t="s">
        <v>128</v>
      </c>
      <c r="D25" t="s">
        <v>105</v>
      </c>
      <c r="E25" t="s">
        <v>106</v>
      </c>
      <c r="F25" t="s">
        <v>40</v>
      </c>
      <c r="G25" t="s">
        <v>32</v>
      </c>
      <c r="H25" t="s">
        <v>75</v>
      </c>
      <c r="I25">
        <v>1</v>
      </c>
      <c r="J25">
        <v>6785.57</v>
      </c>
      <c r="K25">
        <v>0.2</v>
      </c>
      <c r="L25">
        <v>5428.46</v>
      </c>
      <c r="M25" t="s">
        <v>23</v>
      </c>
      <c r="N25" t="s">
        <v>71</v>
      </c>
      <c r="O25" t="s">
        <v>65</v>
      </c>
      <c r="P25" t="s">
        <v>26</v>
      </c>
      <c r="Q25" t="str">
        <f t="shared" si="0"/>
        <v>Completed</v>
      </c>
      <c r="R25" t="str">
        <f t="shared" si="1"/>
        <v>Online</v>
      </c>
      <c r="S25" t="str">
        <v>Upi</v>
      </c>
      <c r="T25" t="str">
        <v>Furniture</v>
      </c>
      <c r="U25" t="str">
        <f t="shared" si="2"/>
        <v>VALID</v>
      </c>
      <c r="V25" t="str">
        <f t="shared" si="3"/>
        <v>NORMAL</v>
      </c>
      <c r="W25" t="str">
        <f t="shared" si="4"/>
        <v>Valid</v>
      </c>
      <c r="X25">
        <f t="shared" si="6"/>
        <v>6785.57</v>
      </c>
      <c r="Y25">
        <f t="shared" si="5"/>
        <v>5428.4560000000001</v>
      </c>
    </row>
    <row r="26" spans="1:25" x14ac:dyDescent="0.3">
      <c r="A26" t="s">
        <v>129</v>
      </c>
      <c r="B26" s="1">
        <v>45400</v>
      </c>
      <c r="C26" t="s">
        <v>130</v>
      </c>
      <c r="D26" t="s">
        <v>131</v>
      </c>
      <c r="E26" t="s">
        <v>132</v>
      </c>
      <c r="F26" t="s">
        <v>40</v>
      </c>
      <c r="G26" t="s">
        <v>81</v>
      </c>
      <c r="H26" t="s">
        <v>87</v>
      </c>
      <c r="I26">
        <v>4</v>
      </c>
      <c r="J26">
        <v>9908.34</v>
      </c>
      <c r="K26">
        <v>0.15</v>
      </c>
      <c r="L26">
        <v>33688.36</v>
      </c>
      <c r="M26" t="s">
        <v>23</v>
      </c>
      <c r="N26" t="s">
        <v>49</v>
      </c>
      <c r="O26" t="s">
        <v>25</v>
      </c>
      <c r="P26" t="s">
        <v>102</v>
      </c>
      <c r="Q26" t="str">
        <f t="shared" si="0"/>
        <v>Returned</v>
      </c>
      <c r="R26" t="str">
        <f t="shared" si="1"/>
        <v>Online</v>
      </c>
      <c r="S26" t="str">
        <v>Net Banking</v>
      </c>
      <c r="T26" t="str">
        <v>Furniture</v>
      </c>
      <c r="U26" t="str">
        <f t="shared" si="2"/>
        <v>VALID</v>
      </c>
      <c r="V26" t="str">
        <f t="shared" si="3"/>
        <v>NORMAL</v>
      </c>
      <c r="W26" t="str">
        <f t="shared" si="4"/>
        <v>Valid</v>
      </c>
      <c r="X26">
        <f t="shared" si="6"/>
        <v>39633.360000000001</v>
      </c>
      <c r="Y26">
        <f t="shared" si="5"/>
        <v>33688.356</v>
      </c>
    </row>
    <row r="27" spans="1:25" x14ac:dyDescent="0.3">
      <c r="A27" t="s">
        <v>133</v>
      </c>
      <c r="B27" s="1">
        <v>45501</v>
      </c>
      <c r="C27" t="s">
        <v>134</v>
      </c>
      <c r="D27" t="s">
        <v>79</v>
      </c>
      <c r="E27" t="s">
        <v>80</v>
      </c>
      <c r="F27" t="s">
        <v>31</v>
      </c>
      <c r="G27" t="s">
        <v>81</v>
      </c>
      <c r="H27" t="s">
        <v>135</v>
      </c>
      <c r="I27">
        <v>1</v>
      </c>
      <c r="J27">
        <v>12241.84</v>
      </c>
      <c r="K27">
        <v>0.08</v>
      </c>
      <c r="L27">
        <v>11262.49</v>
      </c>
      <c r="M27" t="s">
        <v>76</v>
      </c>
      <c r="N27" t="s">
        <v>34</v>
      </c>
      <c r="O27" t="s">
        <v>25</v>
      </c>
      <c r="P27" t="s">
        <v>42</v>
      </c>
      <c r="Q27" t="str">
        <f t="shared" si="0"/>
        <v>Returned</v>
      </c>
      <c r="R27" t="str">
        <f t="shared" si="1"/>
        <v>Store</v>
      </c>
      <c r="S27" t="str">
        <v>Cash On Delivery</v>
      </c>
      <c r="T27" t="str">
        <v>Electronics</v>
      </c>
      <c r="U27" t="str">
        <f t="shared" si="2"/>
        <v>VALID</v>
      </c>
      <c r="V27" t="str">
        <f t="shared" si="3"/>
        <v>NORMAL</v>
      </c>
      <c r="W27" t="str">
        <f t="shared" si="4"/>
        <v>Valid</v>
      </c>
      <c r="X27">
        <f t="shared" si="6"/>
        <v>12241.84</v>
      </c>
      <c r="Y27">
        <f t="shared" si="5"/>
        <v>11262.4928</v>
      </c>
    </row>
    <row r="28" spans="1:25" x14ac:dyDescent="0.3">
      <c r="A28" t="s">
        <v>136</v>
      </c>
      <c r="B28" s="1">
        <v>45476</v>
      </c>
      <c r="C28" t="s">
        <v>137</v>
      </c>
      <c r="D28" t="s">
        <v>89</v>
      </c>
      <c r="E28" t="s">
        <v>90</v>
      </c>
      <c r="F28" t="s">
        <v>20</v>
      </c>
      <c r="G28" t="s">
        <v>21</v>
      </c>
      <c r="H28" t="s">
        <v>41</v>
      </c>
      <c r="I28">
        <v>2</v>
      </c>
      <c r="J28">
        <v>672.67</v>
      </c>
      <c r="K28">
        <v>0.1</v>
      </c>
      <c r="L28">
        <v>1210.81</v>
      </c>
      <c r="M28" t="s">
        <v>48</v>
      </c>
      <c r="N28" t="s">
        <v>71</v>
      </c>
      <c r="O28" t="s">
        <v>65</v>
      </c>
      <c r="P28" t="s">
        <v>116</v>
      </c>
      <c r="Q28" t="str">
        <f t="shared" si="0"/>
        <v>Completed</v>
      </c>
      <c r="R28" t="str">
        <f t="shared" si="1"/>
        <v>Marketplace</v>
      </c>
      <c r="S28" t="str">
        <v>Upi</v>
      </c>
      <c r="T28" t="str">
        <v>Accessories</v>
      </c>
      <c r="U28" t="str">
        <f t="shared" si="2"/>
        <v>VALID</v>
      </c>
      <c r="V28" t="str">
        <f t="shared" si="3"/>
        <v>NORMAL</v>
      </c>
      <c r="W28" t="str">
        <f t="shared" si="4"/>
        <v>Valid</v>
      </c>
      <c r="X28">
        <f t="shared" si="6"/>
        <v>1345.34</v>
      </c>
      <c r="Y28">
        <f t="shared" si="5"/>
        <v>1210.806</v>
      </c>
    </row>
    <row r="29" spans="1:25" x14ac:dyDescent="0.3">
      <c r="A29" t="s">
        <v>138</v>
      </c>
      <c r="B29" s="1">
        <v>45332</v>
      </c>
      <c r="C29" t="s">
        <v>139</v>
      </c>
      <c r="D29" t="s">
        <v>131</v>
      </c>
      <c r="E29" t="s">
        <v>132</v>
      </c>
      <c r="F29" t="s">
        <v>40</v>
      </c>
      <c r="G29" t="s">
        <v>56</v>
      </c>
      <c r="H29" t="s">
        <v>101</v>
      </c>
      <c r="I29">
        <v>5</v>
      </c>
      <c r="J29">
        <v>10095.35</v>
      </c>
      <c r="K29">
        <v>0.2</v>
      </c>
      <c r="L29">
        <v>40381.4</v>
      </c>
      <c r="M29" t="s">
        <v>48</v>
      </c>
      <c r="N29" t="s">
        <v>34</v>
      </c>
      <c r="O29" t="s">
        <v>65</v>
      </c>
      <c r="P29" t="s">
        <v>102</v>
      </c>
      <c r="Q29" t="str">
        <f t="shared" si="0"/>
        <v>Completed</v>
      </c>
      <c r="R29" t="str">
        <f t="shared" si="1"/>
        <v>Marketplace</v>
      </c>
      <c r="S29" t="str">
        <v>Cash On Delivery</v>
      </c>
      <c r="T29" t="str">
        <v>Furniture</v>
      </c>
      <c r="U29" t="str">
        <f t="shared" si="2"/>
        <v>VALID</v>
      </c>
      <c r="V29" t="str">
        <f t="shared" si="3"/>
        <v>NORMAL</v>
      </c>
      <c r="W29" t="str">
        <f t="shared" si="4"/>
        <v>Valid</v>
      </c>
      <c r="X29">
        <f t="shared" si="6"/>
        <v>50476.75</v>
      </c>
      <c r="Y29">
        <f t="shared" si="5"/>
        <v>40381.4</v>
      </c>
    </row>
    <row r="30" spans="1:25" x14ac:dyDescent="0.3">
      <c r="A30" t="s">
        <v>140</v>
      </c>
      <c r="B30" s="1">
        <v>45397</v>
      </c>
      <c r="C30" t="s">
        <v>141</v>
      </c>
      <c r="D30" t="s">
        <v>53</v>
      </c>
      <c r="E30" t="s">
        <v>54</v>
      </c>
      <c r="F30" t="s">
        <v>55</v>
      </c>
      <c r="G30" t="s">
        <v>56</v>
      </c>
      <c r="H30" t="s">
        <v>123</v>
      </c>
      <c r="I30">
        <v>2</v>
      </c>
      <c r="J30">
        <v>225.69</v>
      </c>
      <c r="K30">
        <v>0</v>
      </c>
      <c r="L30">
        <v>451.38</v>
      </c>
      <c r="M30" t="s">
        <v>76</v>
      </c>
      <c r="N30" t="s">
        <v>34</v>
      </c>
      <c r="O30" t="s">
        <v>65</v>
      </c>
      <c r="P30" t="s">
        <v>26</v>
      </c>
      <c r="Q30" t="str">
        <f t="shared" si="0"/>
        <v>Completed</v>
      </c>
      <c r="R30" t="str">
        <f t="shared" si="1"/>
        <v>Store</v>
      </c>
      <c r="S30" t="str">
        <v>Cash On Delivery</v>
      </c>
      <c r="T30" t="str">
        <v>Stationery</v>
      </c>
      <c r="U30" t="str">
        <f t="shared" si="2"/>
        <v>VALID</v>
      </c>
      <c r="V30" t="str">
        <f t="shared" si="3"/>
        <v>NORMAL</v>
      </c>
      <c r="W30" t="str">
        <f t="shared" si="4"/>
        <v>Valid</v>
      </c>
      <c r="X30">
        <f t="shared" si="6"/>
        <v>451.38</v>
      </c>
      <c r="Y30">
        <f t="shared" si="5"/>
        <v>451.38</v>
      </c>
    </row>
    <row r="31" spans="1:25" x14ac:dyDescent="0.3">
      <c r="A31" t="s">
        <v>142</v>
      </c>
      <c r="B31" s="1">
        <v>45973</v>
      </c>
      <c r="C31" t="s">
        <v>143</v>
      </c>
      <c r="D31" t="s">
        <v>105</v>
      </c>
      <c r="E31" t="s">
        <v>106</v>
      </c>
      <c r="F31" t="s">
        <v>40</v>
      </c>
      <c r="G31" t="s">
        <v>56</v>
      </c>
      <c r="H31" t="s">
        <v>64</v>
      </c>
      <c r="I31">
        <v>1</v>
      </c>
      <c r="J31">
        <v>6901.6</v>
      </c>
      <c r="K31">
        <v>0.2</v>
      </c>
      <c r="L31">
        <v>5521.28</v>
      </c>
      <c r="M31" t="s">
        <v>23</v>
      </c>
      <c r="N31" t="s">
        <v>34</v>
      </c>
      <c r="O31" t="s">
        <v>25</v>
      </c>
      <c r="P31" t="s">
        <v>50</v>
      </c>
      <c r="Q31" t="str">
        <f t="shared" si="0"/>
        <v>Returned</v>
      </c>
      <c r="R31" t="str">
        <f t="shared" si="1"/>
        <v>Online</v>
      </c>
      <c r="S31" t="str">
        <v>Cash On Delivery</v>
      </c>
      <c r="T31" t="str">
        <v>Furniture</v>
      </c>
      <c r="U31" t="str">
        <f t="shared" si="2"/>
        <v>VALID</v>
      </c>
      <c r="V31" t="str">
        <f t="shared" si="3"/>
        <v>NORMAL</v>
      </c>
      <c r="W31" t="str">
        <f t="shared" si="4"/>
        <v>Valid</v>
      </c>
      <c r="X31">
        <f t="shared" si="6"/>
        <v>6901.6</v>
      </c>
      <c r="Y31">
        <f t="shared" si="5"/>
        <v>5521.2800000000007</v>
      </c>
    </row>
    <row r="32" spans="1:25" x14ac:dyDescent="0.3">
      <c r="A32" t="s">
        <v>144</v>
      </c>
      <c r="B32" s="1">
        <v>45973</v>
      </c>
      <c r="D32" t="s">
        <v>45</v>
      </c>
      <c r="E32" t="s">
        <v>46</v>
      </c>
      <c r="F32" t="s">
        <v>31</v>
      </c>
      <c r="G32" t="s">
        <v>56</v>
      </c>
      <c r="H32" t="s">
        <v>123</v>
      </c>
      <c r="I32">
        <v>3</v>
      </c>
      <c r="J32">
        <v>1712.57</v>
      </c>
      <c r="K32">
        <v>0.15</v>
      </c>
      <c r="L32">
        <v>4367.05</v>
      </c>
      <c r="M32" t="s">
        <v>23</v>
      </c>
      <c r="N32" t="s">
        <v>34</v>
      </c>
      <c r="O32" t="s">
        <v>35</v>
      </c>
      <c r="P32" t="s">
        <v>42</v>
      </c>
      <c r="Q32" t="str">
        <f t="shared" si="0"/>
        <v>Cancelled</v>
      </c>
      <c r="R32" t="str">
        <f t="shared" si="1"/>
        <v>Online</v>
      </c>
      <c r="S32" t="str">
        <v>Cash On Delivery</v>
      </c>
      <c r="T32" t="str">
        <v>Electronics</v>
      </c>
      <c r="U32" t="str">
        <f t="shared" si="2"/>
        <v>VALID</v>
      </c>
      <c r="V32" t="str">
        <f t="shared" si="3"/>
        <v>NORMAL</v>
      </c>
      <c r="W32" t="str">
        <f t="shared" si="4"/>
        <v>Valid</v>
      </c>
      <c r="X32">
        <f t="shared" si="6"/>
        <v>5137.71</v>
      </c>
      <c r="Y32">
        <f t="shared" si="5"/>
        <v>4367.0535</v>
      </c>
    </row>
    <row r="33" spans="1:25" x14ac:dyDescent="0.3">
      <c r="A33" t="s">
        <v>145</v>
      </c>
      <c r="B33" s="1">
        <v>46178</v>
      </c>
      <c r="D33" t="s">
        <v>53</v>
      </c>
      <c r="E33" t="s">
        <v>54</v>
      </c>
      <c r="F33" t="s">
        <v>55</v>
      </c>
      <c r="G33" t="s">
        <v>21</v>
      </c>
      <c r="H33" t="s">
        <v>22</v>
      </c>
      <c r="I33">
        <v>3</v>
      </c>
      <c r="J33">
        <v>202.89</v>
      </c>
      <c r="K33">
        <v>0.03</v>
      </c>
      <c r="L33">
        <v>590.41</v>
      </c>
      <c r="M33" t="s">
        <v>23</v>
      </c>
      <c r="N33" t="s">
        <v>71</v>
      </c>
      <c r="O33" t="s">
        <v>65</v>
      </c>
      <c r="P33" t="s">
        <v>26</v>
      </c>
      <c r="Q33" t="str">
        <f t="shared" si="0"/>
        <v>Completed</v>
      </c>
      <c r="R33" t="str">
        <f t="shared" si="1"/>
        <v>Online</v>
      </c>
      <c r="S33" t="str">
        <v>Upi</v>
      </c>
      <c r="T33" t="str">
        <v>Stationery</v>
      </c>
      <c r="U33" t="str">
        <f t="shared" si="2"/>
        <v>VALID</v>
      </c>
      <c r="V33" t="str">
        <f t="shared" si="3"/>
        <v>NORMAL</v>
      </c>
      <c r="W33" t="str">
        <f t="shared" si="4"/>
        <v>Valid</v>
      </c>
      <c r="X33">
        <f t="shared" si="6"/>
        <v>608.66999999999996</v>
      </c>
      <c r="Y33">
        <f t="shared" si="5"/>
        <v>590.40989999999999</v>
      </c>
    </row>
    <row r="34" spans="1:25" x14ac:dyDescent="0.3">
      <c r="A34" t="s">
        <v>146</v>
      </c>
      <c r="B34" s="1">
        <v>46176</v>
      </c>
      <c r="C34" t="s">
        <v>147</v>
      </c>
      <c r="D34" t="s">
        <v>96</v>
      </c>
      <c r="E34" t="s">
        <v>97</v>
      </c>
      <c r="F34" t="s">
        <v>31</v>
      </c>
      <c r="G34" t="s">
        <v>56</v>
      </c>
      <c r="H34" t="s">
        <v>123</v>
      </c>
      <c r="I34">
        <v>0</v>
      </c>
      <c r="J34">
        <v>1215.57</v>
      </c>
      <c r="K34">
        <v>0.2</v>
      </c>
      <c r="L34">
        <v>2917.37</v>
      </c>
      <c r="M34" t="s">
        <v>23</v>
      </c>
      <c r="N34" t="s">
        <v>34</v>
      </c>
      <c r="O34" t="s">
        <v>35</v>
      </c>
      <c r="P34" t="s">
        <v>72</v>
      </c>
      <c r="Q34" t="str">
        <f t="shared" si="0"/>
        <v>Cancelled</v>
      </c>
      <c r="R34" t="str">
        <f t="shared" si="1"/>
        <v>Online</v>
      </c>
      <c r="S34" t="str">
        <v>Cash On Delivery</v>
      </c>
      <c r="T34" t="str">
        <v>Electronics</v>
      </c>
      <c r="U34" t="str">
        <f t="shared" si="2"/>
        <v>INVALID</v>
      </c>
      <c r="V34" t="str">
        <f t="shared" si="3"/>
        <v>NORMAL</v>
      </c>
      <c r="W34" t="str">
        <f t="shared" si="4"/>
        <v>Valid</v>
      </c>
      <c r="X34">
        <f t="shared" si="6"/>
        <v>0</v>
      </c>
      <c r="Y34">
        <f t="shared" si="5"/>
        <v>0</v>
      </c>
    </row>
    <row r="35" spans="1:25" x14ac:dyDescent="0.3">
      <c r="A35" t="s">
        <v>148</v>
      </c>
      <c r="B35" s="1">
        <v>45944</v>
      </c>
      <c r="C35" t="s">
        <v>149</v>
      </c>
      <c r="D35" t="s">
        <v>96</v>
      </c>
      <c r="E35" t="s">
        <v>97</v>
      </c>
      <c r="F35" t="s">
        <v>31</v>
      </c>
      <c r="G35" t="s">
        <v>21</v>
      </c>
      <c r="H35" t="s">
        <v>41</v>
      </c>
      <c r="I35">
        <v>5</v>
      </c>
      <c r="J35">
        <v>1127.76</v>
      </c>
      <c r="K35">
        <v>0</v>
      </c>
      <c r="L35">
        <v>5638.8</v>
      </c>
      <c r="M35" t="s">
        <v>23</v>
      </c>
      <c r="N35" t="s">
        <v>58</v>
      </c>
      <c r="O35" t="s">
        <v>25</v>
      </c>
      <c r="P35" t="s">
        <v>42</v>
      </c>
      <c r="Q35" t="str">
        <f t="shared" si="0"/>
        <v>Returned</v>
      </c>
      <c r="R35" t="str">
        <f t="shared" si="1"/>
        <v>Online</v>
      </c>
      <c r="S35" t="str">
        <v>Credit Card</v>
      </c>
      <c r="T35" t="str">
        <v>Electronics</v>
      </c>
      <c r="U35" t="str">
        <f t="shared" si="2"/>
        <v>VALID</v>
      </c>
      <c r="V35" t="str">
        <f t="shared" si="3"/>
        <v>NORMAL</v>
      </c>
      <c r="W35" t="str">
        <f t="shared" si="4"/>
        <v>Valid</v>
      </c>
      <c r="X35">
        <f t="shared" si="6"/>
        <v>5638.8</v>
      </c>
      <c r="Y35">
        <f t="shared" si="5"/>
        <v>5638.8</v>
      </c>
    </row>
    <row r="36" spans="1:25" x14ac:dyDescent="0.3">
      <c r="A36" t="s">
        <v>150</v>
      </c>
      <c r="B36" s="1">
        <v>45412</v>
      </c>
      <c r="C36" t="s">
        <v>151</v>
      </c>
      <c r="D36" t="s">
        <v>53</v>
      </c>
      <c r="E36" t="s">
        <v>54</v>
      </c>
      <c r="F36" t="s">
        <v>55</v>
      </c>
      <c r="G36" t="s">
        <v>21</v>
      </c>
      <c r="H36" t="s">
        <v>41</v>
      </c>
      <c r="I36">
        <v>4</v>
      </c>
      <c r="J36">
        <v>212.48</v>
      </c>
      <c r="K36">
        <v>0.05</v>
      </c>
      <c r="L36">
        <v>807.42</v>
      </c>
      <c r="M36" t="s">
        <v>48</v>
      </c>
      <c r="N36" t="s">
        <v>24</v>
      </c>
      <c r="O36" t="s">
        <v>65</v>
      </c>
      <c r="P36" t="s">
        <v>116</v>
      </c>
      <c r="Q36" t="str">
        <f t="shared" si="0"/>
        <v>Completed</v>
      </c>
      <c r="R36" t="str">
        <f t="shared" si="1"/>
        <v>Marketplace</v>
      </c>
      <c r="S36" t="str">
        <v>Debit Card</v>
      </c>
      <c r="T36" t="str">
        <v>Stationery</v>
      </c>
      <c r="U36" t="str">
        <f t="shared" si="2"/>
        <v>VALID</v>
      </c>
      <c r="V36" t="str">
        <f t="shared" si="3"/>
        <v>NORMAL</v>
      </c>
      <c r="W36" t="str">
        <f t="shared" si="4"/>
        <v>Valid</v>
      </c>
      <c r="X36">
        <f t="shared" si="6"/>
        <v>849.92</v>
      </c>
      <c r="Y36">
        <f t="shared" si="5"/>
        <v>807.42399999999998</v>
      </c>
    </row>
    <row r="37" spans="1:25" x14ac:dyDescent="0.3">
      <c r="A37" t="s">
        <v>152</v>
      </c>
      <c r="B37" s="1">
        <v>45798</v>
      </c>
      <c r="C37" t="s">
        <v>153</v>
      </c>
      <c r="D37" t="s">
        <v>45</v>
      </c>
      <c r="E37" t="s">
        <v>46</v>
      </c>
      <c r="F37" t="s">
        <v>31</v>
      </c>
      <c r="G37" t="s">
        <v>21</v>
      </c>
      <c r="H37" t="s">
        <v>93</v>
      </c>
      <c r="I37">
        <v>5</v>
      </c>
      <c r="J37">
        <v>1696.42</v>
      </c>
      <c r="K37">
        <v>0</v>
      </c>
      <c r="L37">
        <v>8482.1</v>
      </c>
      <c r="M37" t="s">
        <v>23</v>
      </c>
      <c r="N37" t="s">
        <v>34</v>
      </c>
      <c r="O37" t="s">
        <v>65</v>
      </c>
      <c r="P37" t="s">
        <v>116</v>
      </c>
      <c r="Q37" t="str">
        <f t="shared" si="0"/>
        <v>Completed</v>
      </c>
      <c r="R37" t="str">
        <f t="shared" si="1"/>
        <v>Online</v>
      </c>
      <c r="S37" t="str">
        <v>Cash On Delivery</v>
      </c>
      <c r="T37" t="str">
        <v>Electronics</v>
      </c>
      <c r="U37" t="str">
        <f t="shared" si="2"/>
        <v>VALID</v>
      </c>
      <c r="V37" t="str">
        <f t="shared" si="3"/>
        <v>NORMAL</v>
      </c>
      <c r="W37" t="str">
        <f t="shared" si="4"/>
        <v>Valid</v>
      </c>
      <c r="X37">
        <f t="shared" si="6"/>
        <v>8482.1</v>
      </c>
      <c r="Y37">
        <f t="shared" si="5"/>
        <v>8482.1</v>
      </c>
    </row>
    <row r="38" spans="1:25" x14ac:dyDescent="0.3">
      <c r="A38" t="s">
        <v>154</v>
      </c>
      <c r="B38" s="1">
        <v>45457</v>
      </c>
      <c r="C38" t="s">
        <v>155</v>
      </c>
      <c r="D38" t="s">
        <v>62</v>
      </c>
      <c r="E38" t="s">
        <v>63</v>
      </c>
      <c r="F38" t="s">
        <v>31</v>
      </c>
      <c r="G38" t="s">
        <v>21</v>
      </c>
      <c r="H38" t="s">
        <v>41</v>
      </c>
      <c r="I38">
        <v>5</v>
      </c>
      <c r="J38">
        <v>2927.57</v>
      </c>
      <c r="K38">
        <v>0.08</v>
      </c>
      <c r="L38">
        <v>13466.82</v>
      </c>
      <c r="M38" t="s">
        <v>23</v>
      </c>
      <c r="N38" t="s">
        <v>49</v>
      </c>
      <c r="O38" t="s">
        <v>65</v>
      </c>
      <c r="P38" t="s">
        <v>42</v>
      </c>
      <c r="Q38" t="str">
        <f t="shared" si="0"/>
        <v>Completed</v>
      </c>
      <c r="R38" t="str">
        <f t="shared" si="1"/>
        <v>Online</v>
      </c>
      <c r="S38" t="str">
        <v>Net Banking</v>
      </c>
      <c r="T38" t="str">
        <v>Electronics</v>
      </c>
      <c r="U38" t="str">
        <f t="shared" si="2"/>
        <v>VALID</v>
      </c>
      <c r="V38" t="str">
        <f t="shared" si="3"/>
        <v>NORMAL</v>
      </c>
      <c r="W38" t="str">
        <f t="shared" si="4"/>
        <v>Valid</v>
      </c>
      <c r="X38">
        <f t="shared" si="6"/>
        <v>14637.85</v>
      </c>
      <c r="Y38">
        <f t="shared" si="5"/>
        <v>13466.822</v>
      </c>
    </row>
    <row r="39" spans="1:25" x14ac:dyDescent="0.3">
      <c r="A39" t="s">
        <v>156</v>
      </c>
      <c r="B39" s="1">
        <v>46048</v>
      </c>
      <c r="C39" t="s">
        <v>157</v>
      </c>
      <c r="D39" t="s">
        <v>79</v>
      </c>
      <c r="E39" t="s">
        <v>80</v>
      </c>
      <c r="F39" t="s">
        <v>31</v>
      </c>
      <c r="G39" t="s">
        <v>32</v>
      </c>
      <c r="H39" t="s">
        <v>75</v>
      </c>
      <c r="I39">
        <v>3</v>
      </c>
      <c r="J39">
        <v>12561.54</v>
      </c>
      <c r="K39">
        <v>0.03</v>
      </c>
      <c r="L39">
        <v>36554.080000000002</v>
      </c>
      <c r="M39" t="s">
        <v>48</v>
      </c>
      <c r="N39" t="s">
        <v>34</v>
      </c>
      <c r="O39" t="s">
        <v>35</v>
      </c>
      <c r="P39" t="s">
        <v>116</v>
      </c>
      <c r="Q39" t="str">
        <f t="shared" si="0"/>
        <v>Cancelled</v>
      </c>
      <c r="R39" t="str">
        <f t="shared" si="1"/>
        <v>Marketplace</v>
      </c>
      <c r="S39" t="str">
        <v>Cash On Delivery</v>
      </c>
      <c r="T39" t="str">
        <v>Electronics</v>
      </c>
      <c r="U39" t="str">
        <f t="shared" si="2"/>
        <v>VALID</v>
      </c>
      <c r="V39" t="str">
        <f t="shared" si="3"/>
        <v>NORMAL</v>
      </c>
      <c r="W39" t="str">
        <f t="shared" si="4"/>
        <v>Valid</v>
      </c>
      <c r="X39">
        <f t="shared" si="6"/>
        <v>37684.620000000003</v>
      </c>
      <c r="Y39">
        <f t="shared" si="5"/>
        <v>36554.081400000003</v>
      </c>
    </row>
    <row r="40" spans="1:25" x14ac:dyDescent="0.3">
      <c r="A40" t="s">
        <v>158</v>
      </c>
      <c r="B40" s="1">
        <v>45556</v>
      </c>
      <c r="C40" t="s">
        <v>159</v>
      </c>
      <c r="D40" t="s">
        <v>121</v>
      </c>
      <c r="E40" t="s">
        <v>122</v>
      </c>
      <c r="F40" t="s">
        <v>55</v>
      </c>
      <c r="G40" t="s">
        <v>81</v>
      </c>
      <c r="H40" t="s">
        <v>135</v>
      </c>
      <c r="I40">
        <v>2</v>
      </c>
      <c r="J40">
        <v>460.94</v>
      </c>
      <c r="K40">
        <v>0.2</v>
      </c>
      <c r="L40">
        <v>737.5</v>
      </c>
      <c r="M40" t="s">
        <v>48</v>
      </c>
      <c r="N40" t="s">
        <v>58</v>
      </c>
      <c r="O40" t="s">
        <v>65</v>
      </c>
      <c r="P40" t="s">
        <v>116</v>
      </c>
      <c r="Q40" t="str">
        <f t="shared" si="0"/>
        <v>Completed</v>
      </c>
      <c r="R40" t="str">
        <f t="shared" si="1"/>
        <v>Marketplace</v>
      </c>
      <c r="S40" t="str">
        <v>Credit Card</v>
      </c>
      <c r="T40" t="str">
        <v>Stationery</v>
      </c>
      <c r="U40" t="str">
        <f t="shared" si="2"/>
        <v>VALID</v>
      </c>
      <c r="V40" t="str">
        <f t="shared" si="3"/>
        <v>NORMAL</v>
      </c>
      <c r="W40" t="str">
        <f t="shared" si="4"/>
        <v>Valid</v>
      </c>
      <c r="X40">
        <f t="shared" si="6"/>
        <v>921.88</v>
      </c>
      <c r="Y40">
        <f t="shared" si="5"/>
        <v>737.50400000000002</v>
      </c>
    </row>
    <row r="41" spans="1:25" x14ac:dyDescent="0.3">
      <c r="A41" t="s">
        <v>160</v>
      </c>
      <c r="B41" s="1">
        <v>45518</v>
      </c>
      <c r="C41" t="s">
        <v>161</v>
      </c>
      <c r="D41" t="s">
        <v>131</v>
      </c>
      <c r="E41" t="s">
        <v>132</v>
      </c>
      <c r="F41" t="s">
        <v>40</v>
      </c>
      <c r="G41" t="s">
        <v>81</v>
      </c>
      <c r="H41" t="s">
        <v>98</v>
      </c>
      <c r="I41">
        <v>5</v>
      </c>
      <c r="J41">
        <v>9981.18</v>
      </c>
      <c r="K41">
        <v>0.15</v>
      </c>
      <c r="L41">
        <v>42420.01</v>
      </c>
      <c r="M41" t="s">
        <v>48</v>
      </c>
      <c r="N41" t="s">
        <v>71</v>
      </c>
      <c r="O41" t="s">
        <v>65</v>
      </c>
      <c r="P41" t="s">
        <v>116</v>
      </c>
      <c r="Q41" t="str">
        <f t="shared" si="0"/>
        <v>Completed</v>
      </c>
      <c r="R41" t="str">
        <f t="shared" si="1"/>
        <v>Marketplace</v>
      </c>
      <c r="S41" t="str">
        <v>Upi</v>
      </c>
      <c r="T41" t="str">
        <v>Furniture</v>
      </c>
      <c r="U41" t="str">
        <f t="shared" si="2"/>
        <v>VALID</v>
      </c>
      <c r="V41" t="str">
        <f t="shared" si="3"/>
        <v>NORMAL</v>
      </c>
      <c r="W41" t="str">
        <f t="shared" si="4"/>
        <v>Valid</v>
      </c>
      <c r="X41">
        <f t="shared" si="6"/>
        <v>49905.9</v>
      </c>
      <c r="Y41">
        <f t="shared" si="5"/>
        <v>42420.014999999999</v>
      </c>
    </row>
    <row r="42" spans="1:25" x14ac:dyDescent="0.3">
      <c r="A42" t="s">
        <v>162</v>
      </c>
      <c r="B42" s="1">
        <v>45618</v>
      </c>
      <c r="C42" t="s">
        <v>134</v>
      </c>
      <c r="D42" t="s">
        <v>45</v>
      </c>
      <c r="E42" t="s">
        <v>46</v>
      </c>
      <c r="F42" t="s">
        <v>31</v>
      </c>
      <c r="G42" t="s">
        <v>81</v>
      </c>
      <c r="H42" t="s">
        <v>135</v>
      </c>
      <c r="I42">
        <v>5</v>
      </c>
      <c r="J42">
        <v>1697.44</v>
      </c>
      <c r="K42">
        <v>0.05</v>
      </c>
      <c r="L42">
        <v>8062.84</v>
      </c>
      <c r="M42" t="s">
        <v>48</v>
      </c>
      <c r="N42" t="s">
        <v>24</v>
      </c>
      <c r="O42" t="s">
        <v>65</v>
      </c>
      <c r="P42" t="s">
        <v>50</v>
      </c>
      <c r="Q42" t="str">
        <f t="shared" si="0"/>
        <v>Completed</v>
      </c>
      <c r="R42" t="str">
        <f t="shared" si="1"/>
        <v>Marketplace</v>
      </c>
      <c r="S42" t="str">
        <v>Debit Card</v>
      </c>
      <c r="T42" t="str">
        <v>Electronics</v>
      </c>
      <c r="U42" t="str">
        <f t="shared" si="2"/>
        <v>VALID</v>
      </c>
      <c r="V42" t="str">
        <f t="shared" si="3"/>
        <v>NORMAL</v>
      </c>
      <c r="W42" t="str">
        <f t="shared" si="4"/>
        <v>Valid</v>
      </c>
      <c r="X42">
        <f t="shared" si="6"/>
        <v>8487.2000000000007</v>
      </c>
      <c r="Y42">
        <f t="shared" si="5"/>
        <v>8062.8400000000011</v>
      </c>
    </row>
    <row r="43" spans="1:25" x14ac:dyDescent="0.3">
      <c r="A43" t="s">
        <v>163</v>
      </c>
      <c r="B43" s="1">
        <v>45551</v>
      </c>
      <c r="C43" t="s">
        <v>164</v>
      </c>
      <c r="D43" t="s">
        <v>85</v>
      </c>
      <c r="E43" t="s">
        <v>86</v>
      </c>
      <c r="F43" t="s">
        <v>20</v>
      </c>
      <c r="G43" t="s">
        <v>81</v>
      </c>
      <c r="H43" t="s">
        <v>98</v>
      </c>
      <c r="I43">
        <v>3</v>
      </c>
      <c r="J43">
        <v>1662.09</v>
      </c>
      <c r="K43">
        <v>0</v>
      </c>
      <c r="L43">
        <v>4986.2700000000004</v>
      </c>
      <c r="M43" t="s">
        <v>23</v>
      </c>
      <c r="N43" t="s">
        <v>71</v>
      </c>
      <c r="O43" t="s">
        <v>35</v>
      </c>
      <c r="P43" t="s">
        <v>72</v>
      </c>
      <c r="Q43" t="str">
        <f t="shared" si="0"/>
        <v>Cancelled</v>
      </c>
      <c r="R43" t="str">
        <f t="shared" si="1"/>
        <v>Online</v>
      </c>
      <c r="S43" t="str">
        <v>Upi</v>
      </c>
      <c r="T43" t="str">
        <v>Accessories</v>
      </c>
      <c r="U43" t="str">
        <f t="shared" si="2"/>
        <v>VALID</v>
      </c>
      <c r="V43" t="str">
        <f t="shared" si="3"/>
        <v>NORMAL</v>
      </c>
      <c r="W43" t="str">
        <f t="shared" si="4"/>
        <v>Valid</v>
      </c>
      <c r="X43">
        <f t="shared" si="6"/>
        <v>4986.2699999999995</v>
      </c>
      <c r="Y43">
        <f t="shared" si="5"/>
        <v>4986.2699999999995</v>
      </c>
    </row>
    <row r="44" spans="1:25" x14ac:dyDescent="0.3">
      <c r="A44" t="s">
        <v>165</v>
      </c>
      <c r="B44" s="1">
        <v>45683</v>
      </c>
      <c r="C44" t="s">
        <v>166</v>
      </c>
      <c r="D44" t="s">
        <v>85</v>
      </c>
      <c r="E44" t="s">
        <v>86</v>
      </c>
      <c r="F44" t="s">
        <v>20</v>
      </c>
      <c r="G44" t="s">
        <v>21</v>
      </c>
      <c r="H44" t="s">
        <v>41</v>
      </c>
      <c r="I44">
        <v>4</v>
      </c>
      <c r="J44">
        <v>1747.58</v>
      </c>
      <c r="K44">
        <v>0.15</v>
      </c>
      <c r="L44">
        <v>5941.77</v>
      </c>
      <c r="M44" t="s">
        <v>76</v>
      </c>
      <c r="N44" t="s">
        <v>49</v>
      </c>
      <c r="O44" t="s">
        <v>25</v>
      </c>
      <c r="P44" t="s">
        <v>111</v>
      </c>
      <c r="Q44" t="str">
        <f t="shared" si="0"/>
        <v>Returned</v>
      </c>
      <c r="R44" t="str">
        <f t="shared" si="1"/>
        <v>Store</v>
      </c>
      <c r="S44" t="str">
        <v>Net Banking</v>
      </c>
      <c r="T44" t="str">
        <v>Accessories</v>
      </c>
      <c r="U44" t="str">
        <f t="shared" si="2"/>
        <v>VALID</v>
      </c>
      <c r="V44" t="str">
        <f t="shared" si="3"/>
        <v>NORMAL</v>
      </c>
      <c r="W44" t="str">
        <f t="shared" si="4"/>
        <v>Valid</v>
      </c>
      <c r="X44">
        <f t="shared" si="6"/>
        <v>6990.32</v>
      </c>
      <c r="Y44">
        <f t="shared" si="5"/>
        <v>5941.7719999999999</v>
      </c>
    </row>
    <row r="45" spans="1:25" x14ac:dyDescent="0.3">
      <c r="A45" t="s">
        <v>167</v>
      </c>
      <c r="B45" s="1">
        <v>46068</v>
      </c>
      <c r="C45" t="s">
        <v>37</v>
      </c>
      <c r="D45" t="s">
        <v>85</v>
      </c>
      <c r="E45" t="s">
        <v>86</v>
      </c>
      <c r="F45" t="s">
        <v>20</v>
      </c>
      <c r="G45" t="s">
        <v>81</v>
      </c>
      <c r="H45" t="s">
        <v>98</v>
      </c>
      <c r="I45">
        <v>3</v>
      </c>
      <c r="J45">
        <v>1724.18</v>
      </c>
      <c r="K45">
        <v>0.03</v>
      </c>
      <c r="L45">
        <v>5017.3599999999997</v>
      </c>
      <c r="M45" t="s">
        <v>76</v>
      </c>
      <c r="N45" t="s">
        <v>24</v>
      </c>
      <c r="O45" t="s">
        <v>25</v>
      </c>
      <c r="P45" t="s">
        <v>59</v>
      </c>
      <c r="Q45" t="str">
        <f t="shared" si="0"/>
        <v>Returned</v>
      </c>
      <c r="R45" t="str">
        <f t="shared" si="1"/>
        <v>Store</v>
      </c>
      <c r="S45" t="str">
        <v>Debit Card</v>
      </c>
      <c r="T45" t="str">
        <v>Accessories</v>
      </c>
      <c r="U45" t="str">
        <f t="shared" si="2"/>
        <v>VALID</v>
      </c>
      <c r="V45" t="str">
        <f t="shared" si="3"/>
        <v>NORMAL</v>
      </c>
      <c r="W45" t="str">
        <f t="shared" si="4"/>
        <v>Valid</v>
      </c>
      <c r="X45">
        <f t="shared" si="6"/>
        <v>5172.54</v>
      </c>
      <c r="Y45">
        <f t="shared" si="5"/>
        <v>5017.3638000000001</v>
      </c>
    </row>
    <row r="46" spans="1:25" x14ac:dyDescent="0.3">
      <c r="A46" t="s">
        <v>168</v>
      </c>
      <c r="B46" s="1">
        <v>45549</v>
      </c>
      <c r="C46" t="s">
        <v>169</v>
      </c>
      <c r="D46" t="s">
        <v>170</v>
      </c>
      <c r="E46" t="s">
        <v>171</v>
      </c>
      <c r="F46" t="s">
        <v>31</v>
      </c>
      <c r="G46" t="s">
        <v>81</v>
      </c>
      <c r="H46" t="s">
        <v>98</v>
      </c>
      <c r="I46">
        <v>2</v>
      </c>
      <c r="J46">
        <v>60857.39</v>
      </c>
      <c r="K46">
        <v>0.2</v>
      </c>
      <c r="L46">
        <v>97371.82</v>
      </c>
      <c r="M46" t="s">
        <v>48</v>
      </c>
      <c r="N46" t="s">
        <v>71</v>
      </c>
      <c r="O46" t="s">
        <v>65</v>
      </c>
      <c r="P46" t="s">
        <v>59</v>
      </c>
      <c r="Q46" t="str">
        <f t="shared" si="0"/>
        <v>Completed</v>
      </c>
      <c r="R46" t="str">
        <f t="shared" si="1"/>
        <v>Marketplace</v>
      </c>
      <c r="S46" t="str">
        <v>Upi</v>
      </c>
      <c r="T46" t="str">
        <v>Electronics</v>
      </c>
      <c r="U46" t="str">
        <f t="shared" si="2"/>
        <v>VALID</v>
      </c>
      <c r="V46" t="str">
        <f t="shared" si="3"/>
        <v>NORMAL</v>
      </c>
      <c r="W46" t="str">
        <f t="shared" si="4"/>
        <v>Valid</v>
      </c>
      <c r="X46">
        <f t="shared" si="6"/>
        <v>121714.78</v>
      </c>
      <c r="Y46">
        <f t="shared" si="5"/>
        <v>97371.823999999993</v>
      </c>
    </row>
    <row r="47" spans="1:25" x14ac:dyDescent="0.3">
      <c r="A47" t="s">
        <v>172</v>
      </c>
      <c r="B47" s="1">
        <v>46135</v>
      </c>
      <c r="C47" t="s">
        <v>173</v>
      </c>
      <c r="D47" t="s">
        <v>29</v>
      </c>
      <c r="E47" t="s">
        <v>30</v>
      </c>
      <c r="F47" t="s">
        <v>31</v>
      </c>
      <c r="G47" t="s">
        <v>81</v>
      </c>
      <c r="H47" t="s">
        <v>135</v>
      </c>
      <c r="I47">
        <v>5</v>
      </c>
      <c r="J47">
        <v>3406.16</v>
      </c>
      <c r="K47">
        <v>0.15</v>
      </c>
      <c r="L47">
        <v>14476.18</v>
      </c>
      <c r="M47" t="s">
        <v>23</v>
      </c>
      <c r="N47" t="s">
        <v>34</v>
      </c>
      <c r="O47" t="s">
        <v>65</v>
      </c>
      <c r="P47" t="s">
        <v>111</v>
      </c>
      <c r="Q47" t="str">
        <f t="shared" si="0"/>
        <v>Completed</v>
      </c>
      <c r="R47" t="str">
        <f t="shared" si="1"/>
        <v>Online</v>
      </c>
      <c r="S47" t="str">
        <v>Cash On Delivery</v>
      </c>
      <c r="T47" t="str">
        <v>Electronics</v>
      </c>
      <c r="U47" t="str">
        <f t="shared" si="2"/>
        <v>VALID</v>
      </c>
      <c r="V47" t="str">
        <f t="shared" si="3"/>
        <v>NORMAL</v>
      </c>
      <c r="W47" t="str">
        <f t="shared" si="4"/>
        <v>Valid</v>
      </c>
      <c r="X47">
        <f t="shared" si="6"/>
        <v>17030.8</v>
      </c>
      <c r="Y47">
        <f t="shared" si="5"/>
        <v>14476.18</v>
      </c>
    </row>
    <row r="48" spans="1:25" x14ac:dyDescent="0.3">
      <c r="A48" t="s">
        <v>174</v>
      </c>
      <c r="B48" s="1">
        <v>45864</v>
      </c>
      <c r="C48" t="s">
        <v>175</v>
      </c>
      <c r="D48" t="s">
        <v>176</v>
      </c>
      <c r="E48" t="s">
        <v>177</v>
      </c>
      <c r="F48" t="s">
        <v>31</v>
      </c>
      <c r="G48" t="s">
        <v>21</v>
      </c>
      <c r="H48" t="s">
        <v>93</v>
      </c>
      <c r="I48">
        <v>4</v>
      </c>
      <c r="J48">
        <v>2212.6999999999998</v>
      </c>
      <c r="K48">
        <v>0.15</v>
      </c>
      <c r="L48">
        <v>7523.18</v>
      </c>
      <c r="M48" t="s">
        <v>76</v>
      </c>
      <c r="N48" t="s">
        <v>34</v>
      </c>
      <c r="O48" t="s">
        <v>25</v>
      </c>
      <c r="P48" t="s">
        <v>111</v>
      </c>
      <c r="Q48" t="str">
        <f t="shared" si="0"/>
        <v>Returned</v>
      </c>
      <c r="R48" t="str">
        <f t="shared" si="1"/>
        <v>Store</v>
      </c>
      <c r="S48" t="str">
        <v>Cash On Delivery</v>
      </c>
      <c r="T48" t="str">
        <v>Electronics</v>
      </c>
      <c r="U48" t="str">
        <f t="shared" si="2"/>
        <v>VALID</v>
      </c>
      <c r="V48" t="str">
        <f t="shared" si="3"/>
        <v>NORMAL</v>
      </c>
      <c r="W48" t="str">
        <f t="shared" si="4"/>
        <v>Valid</v>
      </c>
      <c r="X48">
        <f t="shared" si="6"/>
        <v>8850.7999999999993</v>
      </c>
      <c r="Y48">
        <f t="shared" si="5"/>
        <v>7523.1799999999994</v>
      </c>
    </row>
    <row r="49" spans="1:25" x14ac:dyDescent="0.3">
      <c r="A49" t="s">
        <v>178</v>
      </c>
      <c r="B49" s="1">
        <v>45714</v>
      </c>
      <c r="C49" t="s">
        <v>179</v>
      </c>
      <c r="D49" t="s">
        <v>18</v>
      </c>
      <c r="E49" t="s">
        <v>19</v>
      </c>
      <c r="F49" t="s">
        <v>20</v>
      </c>
      <c r="G49" t="s">
        <v>56</v>
      </c>
      <c r="H49" t="s">
        <v>64</v>
      </c>
      <c r="I49">
        <v>4</v>
      </c>
      <c r="J49">
        <v>818.24</v>
      </c>
      <c r="K49">
        <v>0.1</v>
      </c>
      <c r="L49">
        <v>2945.66</v>
      </c>
      <c r="M49" t="s">
        <v>76</v>
      </c>
      <c r="N49" t="s">
        <v>24</v>
      </c>
      <c r="O49" t="s">
        <v>65</v>
      </c>
      <c r="P49" t="s">
        <v>59</v>
      </c>
      <c r="Q49" t="str">
        <f t="shared" si="0"/>
        <v>Completed</v>
      </c>
      <c r="R49" t="str">
        <f t="shared" si="1"/>
        <v>Store</v>
      </c>
      <c r="S49" t="str">
        <v>Debit Card</v>
      </c>
      <c r="T49" t="str">
        <v>Accessories</v>
      </c>
      <c r="U49" t="str">
        <f t="shared" si="2"/>
        <v>VALID</v>
      </c>
      <c r="V49" t="str">
        <f t="shared" si="3"/>
        <v>NORMAL</v>
      </c>
      <c r="W49" t="str">
        <f t="shared" si="4"/>
        <v>Valid</v>
      </c>
      <c r="X49">
        <f t="shared" si="6"/>
        <v>3272.96</v>
      </c>
      <c r="Y49">
        <f t="shared" si="5"/>
        <v>2945.6639999999998</v>
      </c>
    </row>
    <row r="50" spans="1:25" x14ac:dyDescent="0.3">
      <c r="A50" t="s">
        <v>180</v>
      </c>
      <c r="B50" s="1">
        <v>45843</v>
      </c>
      <c r="C50" t="s">
        <v>181</v>
      </c>
      <c r="D50" t="s">
        <v>79</v>
      </c>
      <c r="E50" t="s">
        <v>80</v>
      </c>
      <c r="F50" t="s">
        <v>31</v>
      </c>
      <c r="G50" t="s">
        <v>56</v>
      </c>
      <c r="H50" t="s">
        <v>123</v>
      </c>
      <c r="I50">
        <v>2</v>
      </c>
      <c r="J50">
        <v>12154.99</v>
      </c>
      <c r="K50">
        <v>0.08</v>
      </c>
      <c r="L50">
        <v>22365.18</v>
      </c>
      <c r="M50" t="s">
        <v>76</v>
      </c>
      <c r="N50" t="s">
        <v>71</v>
      </c>
      <c r="O50" t="s">
        <v>35</v>
      </c>
      <c r="P50" t="s">
        <v>50</v>
      </c>
      <c r="Q50" t="str">
        <f t="shared" si="0"/>
        <v>Cancelled</v>
      </c>
      <c r="R50" t="str">
        <f t="shared" si="1"/>
        <v>Store</v>
      </c>
      <c r="S50" t="str">
        <v>Upi</v>
      </c>
      <c r="T50" t="str">
        <v>Electronics</v>
      </c>
      <c r="U50" t="str">
        <f t="shared" si="2"/>
        <v>VALID</v>
      </c>
      <c r="V50" t="str">
        <f t="shared" si="3"/>
        <v>NORMAL</v>
      </c>
      <c r="W50" t="str">
        <f t="shared" si="4"/>
        <v>Valid</v>
      </c>
      <c r="X50">
        <f t="shared" si="6"/>
        <v>24309.98</v>
      </c>
      <c r="Y50">
        <f t="shared" si="5"/>
        <v>22365.1816</v>
      </c>
    </row>
    <row r="51" spans="1:25" x14ac:dyDescent="0.3">
      <c r="A51" t="s">
        <v>182</v>
      </c>
      <c r="B51" s="1">
        <v>45562</v>
      </c>
      <c r="C51" t="s">
        <v>141</v>
      </c>
      <c r="D51" t="s">
        <v>18</v>
      </c>
      <c r="E51" t="s">
        <v>19</v>
      </c>
      <c r="F51" t="s">
        <v>20</v>
      </c>
      <c r="G51" t="s">
        <v>32</v>
      </c>
      <c r="H51" t="s">
        <v>33</v>
      </c>
      <c r="I51">
        <v>4</v>
      </c>
      <c r="J51">
        <v>847.4</v>
      </c>
      <c r="K51">
        <v>0.2</v>
      </c>
      <c r="L51">
        <v>2711.68</v>
      </c>
      <c r="M51" t="s">
        <v>76</v>
      </c>
      <c r="N51" t="s">
        <v>24</v>
      </c>
      <c r="O51" t="s">
        <v>25</v>
      </c>
      <c r="P51" t="s">
        <v>111</v>
      </c>
      <c r="Q51" t="str">
        <f t="shared" si="0"/>
        <v>Returned</v>
      </c>
      <c r="R51" t="str">
        <f t="shared" si="1"/>
        <v>Store</v>
      </c>
      <c r="S51" t="str">
        <v>Debit Card</v>
      </c>
      <c r="T51" t="str">
        <v>Accessories</v>
      </c>
      <c r="U51" t="str">
        <f t="shared" si="2"/>
        <v>VALID</v>
      </c>
      <c r="V51" t="str">
        <f t="shared" si="3"/>
        <v>NORMAL</v>
      </c>
      <c r="W51" t="str">
        <f t="shared" si="4"/>
        <v>Valid</v>
      </c>
      <c r="X51">
        <f t="shared" si="6"/>
        <v>3389.6</v>
      </c>
      <c r="Y51">
        <f t="shared" si="5"/>
        <v>2711.68</v>
      </c>
    </row>
    <row r="52" spans="1:25" x14ac:dyDescent="0.3">
      <c r="A52" t="s">
        <v>183</v>
      </c>
      <c r="B52" s="1">
        <v>45738</v>
      </c>
      <c r="C52" t="s">
        <v>184</v>
      </c>
      <c r="D52" t="s">
        <v>176</v>
      </c>
      <c r="E52" t="s">
        <v>177</v>
      </c>
      <c r="F52" t="s">
        <v>31</v>
      </c>
      <c r="G52" t="s">
        <v>81</v>
      </c>
      <c r="H52" t="s">
        <v>98</v>
      </c>
      <c r="I52">
        <v>5</v>
      </c>
      <c r="J52">
        <v>2246.79</v>
      </c>
      <c r="K52">
        <v>0.08</v>
      </c>
      <c r="L52">
        <v>10335.23</v>
      </c>
      <c r="M52" t="s">
        <v>23</v>
      </c>
      <c r="N52" t="s">
        <v>71</v>
      </c>
      <c r="O52" t="s">
        <v>35</v>
      </c>
      <c r="P52" t="s">
        <v>72</v>
      </c>
      <c r="Q52" t="str">
        <f t="shared" si="0"/>
        <v>Cancelled</v>
      </c>
      <c r="R52" t="str">
        <f t="shared" si="1"/>
        <v>Online</v>
      </c>
      <c r="S52" t="str">
        <v>Upi</v>
      </c>
      <c r="T52" t="str">
        <v>Electronics</v>
      </c>
      <c r="U52" t="str">
        <f t="shared" si="2"/>
        <v>VALID</v>
      </c>
      <c r="V52" t="str">
        <f t="shared" si="3"/>
        <v>NORMAL</v>
      </c>
      <c r="W52" t="str">
        <f t="shared" si="4"/>
        <v>Valid</v>
      </c>
      <c r="X52">
        <f t="shared" si="6"/>
        <v>11233.95</v>
      </c>
      <c r="Y52">
        <f t="shared" si="5"/>
        <v>10335.234</v>
      </c>
    </row>
    <row r="53" spans="1:25" x14ac:dyDescent="0.3">
      <c r="A53" t="s">
        <v>185</v>
      </c>
      <c r="B53" s="1">
        <v>45476</v>
      </c>
      <c r="C53" t="s">
        <v>186</v>
      </c>
      <c r="D53" t="s">
        <v>85</v>
      </c>
      <c r="E53" t="s">
        <v>86</v>
      </c>
      <c r="F53" t="s">
        <v>20</v>
      </c>
      <c r="G53" t="s">
        <v>21</v>
      </c>
      <c r="H53" t="s">
        <v>126</v>
      </c>
      <c r="I53">
        <v>3</v>
      </c>
      <c r="J53">
        <v>1694.05</v>
      </c>
      <c r="K53">
        <v>0.2</v>
      </c>
      <c r="L53">
        <v>4065.72</v>
      </c>
      <c r="M53" t="s">
        <v>76</v>
      </c>
      <c r="N53" t="s">
        <v>71</v>
      </c>
      <c r="O53" t="s">
        <v>65</v>
      </c>
      <c r="P53" t="s">
        <v>26</v>
      </c>
      <c r="Q53" t="str">
        <f t="shared" si="0"/>
        <v>Completed</v>
      </c>
      <c r="R53" t="str">
        <f t="shared" si="1"/>
        <v>Store</v>
      </c>
      <c r="S53" t="str">
        <v>Upi</v>
      </c>
      <c r="T53" t="str">
        <v>Accessories</v>
      </c>
      <c r="U53" t="str">
        <f t="shared" si="2"/>
        <v>VALID</v>
      </c>
      <c r="V53" t="str">
        <f t="shared" si="3"/>
        <v>NORMAL</v>
      </c>
      <c r="W53" t="str">
        <f t="shared" si="4"/>
        <v>Valid</v>
      </c>
      <c r="X53">
        <f t="shared" si="6"/>
        <v>5082.1499999999996</v>
      </c>
      <c r="Y53">
        <f t="shared" si="5"/>
        <v>4065.72</v>
      </c>
    </row>
    <row r="54" spans="1:25" x14ac:dyDescent="0.3">
      <c r="A54" t="s">
        <v>187</v>
      </c>
      <c r="B54" s="1">
        <v>45821</v>
      </c>
      <c r="C54" t="s">
        <v>188</v>
      </c>
      <c r="D54" t="s">
        <v>96</v>
      </c>
      <c r="E54" t="s">
        <v>97</v>
      </c>
      <c r="F54" t="s">
        <v>31</v>
      </c>
      <c r="G54" t="s">
        <v>21</v>
      </c>
      <c r="H54" t="s">
        <v>22</v>
      </c>
      <c r="I54">
        <v>5</v>
      </c>
      <c r="J54">
        <v>1288.1099999999999</v>
      </c>
      <c r="K54">
        <v>0.15</v>
      </c>
      <c r="L54">
        <v>5474.47</v>
      </c>
      <c r="M54" t="s">
        <v>48</v>
      </c>
      <c r="N54" t="s">
        <v>24</v>
      </c>
      <c r="O54" t="s">
        <v>65</v>
      </c>
      <c r="P54" t="s">
        <v>59</v>
      </c>
      <c r="Q54" t="str">
        <f t="shared" si="0"/>
        <v>Completed</v>
      </c>
      <c r="R54" t="str">
        <f t="shared" si="1"/>
        <v>Marketplace</v>
      </c>
      <c r="S54" t="str">
        <v>Debit Card</v>
      </c>
      <c r="T54" t="str">
        <v>Electronics</v>
      </c>
      <c r="U54" t="str">
        <f t="shared" si="2"/>
        <v>VALID</v>
      </c>
      <c r="V54" t="str">
        <f t="shared" si="3"/>
        <v>NORMAL</v>
      </c>
      <c r="W54" t="str">
        <f t="shared" si="4"/>
        <v>Valid</v>
      </c>
      <c r="X54">
        <f t="shared" si="6"/>
        <v>6440.5499999999993</v>
      </c>
      <c r="Y54">
        <f t="shared" si="5"/>
        <v>5474.4674999999997</v>
      </c>
    </row>
    <row r="55" spans="1:25" x14ac:dyDescent="0.3">
      <c r="A55" t="s">
        <v>189</v>
      </c>
      <c r="B55" s="1">
        <v>46005</v>
      </c>
      <c r="C55" t="s">
        <v>190</v>
      </c>
      <c r="D55" t="s">
        <v>89</v>
      </c>
      <c r="E55" t="s">
        <v>90</v>
      </c>
      <c r="F55" t="s">
        <v>20</v>
      </c>
      <c r="G55" t="s">
        <v>32</v>
      </c>
      <c r="I55">
        <v>5</v>
      </c>
      <c r="J55">
        <v>672.38</v>
      </c>
      <c r="K55">
        <v>0.2</v>
      </c>
      <c r="L55">
        <v>2689.52</v>
      </c>
      <c r="M55" t="s">
        <v>23</v>
      </c>
      <c r="N55" t="s">
        <v>71</v>
      </c>
      <c r="O55" t="s">
        <v>65</v>
      </c>
      <c r="P55" t="s">
        <v>116</v>
      </c>
      <c r="Q55" t="str">
        <f t="shared" si="0"/>
        <v>Completed</v>
      </c>
      <c r="R55" t="str">
        <f t="shared" si="1"/>
        <v>Online</v>
      </c>
      <c r="S55" t="str">
        <v>Upi</v>
      </c>
      <c r="T55" t="str">
        <v>Accessories</v>
      </c>
      <c r="U55" t="str">
        <f t="shared" si="2"/>
        <v>VALID</v>
      </c>
      <c r="V55" t="str">
        <f t="shared" si="3"/>
        <v>NORMAL</v>
      </c>
      <c r="W55" t="str">
        <f t="shared" si="4"/>
        <v>Valid</v>
      </c>
      <c r="X55">
        <f t="shared" si="6"/>
        <v>3361.9</v>
      </c>
      <c r="Y55">
        <f t="shared" si="5"/>
        <v>2689.52</v>
      </c>
    </row>
    <row r="56" spans="1:25" x14ac:dyDescent="0.3">
      <c r="A56" t="s">
        <v>191</v>
      </c>
      <c r="B56" s="1">
        <v>45444</v>
      </c>
      <c r="C56" t="s">
        <v>192</v>
      </c>
      <c r="D56" t="s">
        <v>45</v>
      </c>
      <c r="E56" t="s">
        <v>46</v>
      </c>
      <c r="F56" t="s">
        <v>31</v>
      </c>
      <c r="G56" t="s">
        <v>81</v>
      </c>
      <c r="H56" t="s">
        <v>82</v>
      </c>
      <c r="I56">
        <v>3</v>
      </c>
      <c r="J56">
        <v>1790.2</v>
      </c>
      <c r="L56">
        <v>5370.6</v>
      </c>
      <c r="M56" t="s">
        <v>76</v>
      </c>
      <c r="N56" t="s">
        <v>49</v>
      </c>
      <c r="O56" t="s">
        <v>35</v>
      </c>
      <c r="P56" t="s">
        <v>102</v>
      </c>
      <c r="Q56" t="str">
        <f t="shared" si="0"/>
        <v>Cancelled</v>
      </c>
      <c r="R56" t="str">
        <f t="shared" si="1"/>
        <v>Store</v>
      </c>
      <c r="S56" t="str">
        <v>Net Banking</v>
      </c>
      <c r="T56" t="str">
        <v>Electronics</v>
      </c>
      <c r="U56" t="str">
        <f t="shared" si="2"/>
        <v>VALID</v>
      </c>
      <c r="V56" t="str">
        <f t="shared" si="3"/>
        <v>NORMAL</v>
      </c>
      <c r="W56" t="str">
        <f t="shared" si="4"/>
        <v>Valid</v>
      </c>
      <c r="X56">
        <f t="shared" si="6"/>
        <v>5370.6</v>
      </c>
      <c r="Y56">
        <f t="shared" si="5"/>
        <v>5370.6</v>
      </c>
    </row>
    <row r="57" spans="1:25" x14ac:dyDescent="0.3">
      <c r="A57" t="s">
        <v>193</v>
      </c>
      <c r="B57" s="1">
        <v>46020</v>
      </c>
      <c r="C57" t="s">
        <v>194</v>
      </c>
      <c r="D57" t="s">
        <v>53</v>
      </c>
      <c r="E57" t="s">
        <v>54</v>
      </c>
      <c r="F57" t="s">
        <v>55</v>
      </c>
      <c r="G57" t="s">
        <v>56</v>
      </c>
      <c r="H57" t="s">
        <v>64</v>
      </c>
      <c r="I57">
        <v>2</v>
      </c>
      <c r="J57">
        <v>235.18</v>
      </c>
      <c r="K57">
        <v>0.1</v>
      </c>
      <c r="L57">
        <v>423.32</v>
      </c>
      <c r="M57" t="s">
        <v>48</v>
      </c>
      <c r="N57" t="s">
        <v>71</v>
      </c>
      <c r="O57" t="s">
        <v>35</v>
      </c>
      <c r="P57" t="s">
        <v>72</v>
      </c>
      <c r="Q57" t="str">
        <f t="shared" si="0"/>
        <v>Cancelled</v>
      </c>
      <c r="R57" t="str">
        <f t="shared" si="1"/>
        <v>Marketplace</v>
      </c>
      <c r="S57" t="str">
        <v>Upi</v>
      </c>
      <c r="T57" t="str">
        <v>Stationery</v>
      </c>
      <c r="U57" t="str">
        <f t="shared" si="2"/>
        <v>VALID</v>
      </c>
      <c r="V57" t="str">
        <f t="shared" si="3"/>
        <v>NORMAL</v>
      </c>
      <c r="W57" t="str">
        <f t="shared" si="4"/>
        <v>Valid</v>
      </c>
      <c r="X57">
        <f t="shared" si="6"/>
        <v>470.36</v>
      </c>
      <c r="Y57">
        <f t="shared" si="5"/>
        <v>423.32400000000001</v>
      </c>
    </row>
    <row r="58" spans="1:25" x14ac:dyDescent="0.3">
      <c r="A58" t="s">
        <v>195</v>
      </c>
      <c r="B58" s="1">
        <v>45737</v>
      </c>
      <c r="C58" t="s">
        <v>196</v>
      </c>
      <c r="D58" t="s">
        <v>176</v>
      </c>
      <c r="E58" t="s">
        <v>177</v>
      </c>
      <c r="F58" t="s">
        <v>31</v>
      </c>
      <c r="G58" t="s">
        <v>21</v>
      </c>
      <c r="H58" t="s">
        <v>126</v>
      </c>
      <c r="I58">
        <v>3</v>
      </c>
      <c r="J58">
        <v>2260.27</v>
      </c>
      <c r="K58">
        <v>0.2</v>
      </c>
      <c r="L58">
        <v>5424.65</v>
      </c>
      <c r="M58" t="s">
        <v>76</v>
      </c>
      <c r="N58" t="s">
        <v>49</v>
      </c>
      <c r="O58" t="s">
        <v>25</v>
      </c>
      <c r="P58" t="s">
        <v>111</v>
      </c>
      <c r="Q58" t="str">
        <f t="shared" si="0"/>
        <v>Returned</v>
      </c>
      <c r="R58" t="str">
        <f t="shared" si="1"/>
        <v>Store</v>
      </c>
      <c r="S58" t="str">
        <v>Net Banking</v>
      </c>
      <c r="T58" t="str">
        <v>Electronics</v>
      </c>
      <c r="U58" t="str">
        <f t="shared" si="2"/>
        <v>VALID</v>
      </c>
      <c r="V58" t="str">
        <f t="shared" si="3"/>
        <v>NORMAL</v>
      </c>
      <c r="W58" t="str">
        <f t="shared" si="4"/>
        <v>Valid</v>
      </c>
      <c r="X58">
        <f t="shared" si="6"/>
        <v>6780.8099999999995</v>
      </c>
      <c r="Y58">
        <f t="shared" si="5"/>
        <v>5424.6479999999992</v>
      </c>
    </row>
    <row r="59" spans="1:25" x14ac:dyDescent="0.3">
      <c r="A59" t="s">
        <v>197</v>
      </c>
      <c r="B59" s="1">
        <v>45987</v>
      </c>
      <c r="D59" t="s">
        <v>176</v>
      </c>
      <c r="E59" t="s">
        <v>177</v>
      </c>
      <c r="F59" t="s">
        <v>31</v>
      </c>
      <c r="G59" t="s">
        <v>56</v>
      </c>
      <c r="H59" t="s">
        <v>64</v>
      </c>
      <c r="I59">
        <v>4</v>
      </c>
      <c r="J59">
        <v>2134.6799999999998</v>
      </c>
      <c r="K59">
        <v>0.05</v>
      </c>
      <c r="L59">
        <v>8111.78</v>
      </c>
      <c r="M59" t="s">
        <v>48</v>
      </c>
      <c r="O59" t="s">
        <v>65</v>
      </c>
      <c r="P59" t="s">
        <v>102</v>
      </c>
      <c r="Q59" t="str">
        <f t="shared" si="0"/>
        <v>Completed</v>
      </c>
      <c r="R59" t="str">
        <f t="shared" si="1"/>
        <v>Marketplace</v>
      </c>
      <c r="S59" t="str">
        <v/>
      </c>
      <c r="T59" t="str">
        <v>Electronics</v>
      </c>
      <c r="U59" t="str">
        <f t="shared" si="2"/>
        <v>VALID</v>
      </c>
      <c r="V59" t="str">
        <f t="shared" si="3"/>
        <v>NORMAL</v>
      </c>
      <c r="W59" t="str">
        <f t="shared" si="4"/>
        <v>Valid</v>
      </c>
      <c r="X59">
        <f t="shared" si="6"/>
        <v>8538.7199999999993</v>
      </c>
      <c r="Y59">
        <f t="shared" si="5"/>
        <v>8111.7839999999997</v>
      </c>
    </row>
    <row r="60" spans="1:25" x14ac:dyDescent="0.3">
      <c r="A60" t="s">
        <v>198</v>
      </c>
      <c r="B60" s="1">
        <v>45798</v>
      </c>
      <c r="C60" t="s">
        <v>130</v>
      </c>
      <c r="D60" t="s">
        <v>121</v>
      </c>
      <c r="E60" t="s">
        <v>122</v>
      </c>
      <c r="F60" t="s">
        <v>55</v>
      </c>
      <c r="G60" t="s">
        <v>21</v>
      </c>
      <c r="H60" t="s">
        <v>41</v>
      </c>
      <c r="I60">
        <v>2</v>
      </c>
      <c r="J60">
        <v>453.82</v>
      </c>
      <c r="K60">
        <v>0</v>
      </c>
      <c r="L60">
        <v>907.64</v>
      </c>
      <c r="M60" t="s">
        <v>48</v>
      </c>
      <c r="N60" t="s">
        <v>58</v>
      </c>
      <c r="O60" t="s">
        <v>35</v>
      </c>
      <c r="P60" t="s">
        <v>116</v>
      </c>
      <c r="Q60" t="str">
        <f t="shared" si="0"/>
        <v>Cancelled</v>
      </c>
      <c r="R60" t="str">
        <f t="shared" si="1"/>
        <v>Marketplace</v>
      </c>
      <c r="S60" t="str">
        <v>Credit Card</v>
      </c>
      <c r="T60" t="str">
        <v>Stationery</v>
      </c>
      <c r="U60" t="str">
        <f t="shared" si="2"/>
        <v>VALID</v>
      </c>
      <c r="V60" t="str">
        <f t="shared" si="3"/>
        <v>NORMAL</v>
      </c>
      <c r="W60" t="str">
        <f t="shared" si="4"/>
        <v>Valid</v>
      </c>
      <c r="X60">
        <f t="shared" si="6"/>
        <v>907.64</v>
      </c>
      <c r="Y60">
        <f t="shared" si="5"/>
        <v>907.64</v>
      </c>
    </row>
    <row r="61" spans="1:25" x14ac:dyDescent="0.3">
      <c r="A61" t="s">
        <v>199</v>
      </c>
      <c r="B61" s="1">
        <v>45729</v>
      </c>
      <c r="C61" t="s">
        <v>200</v>
      </c>
      <c r="D61" t="s">
        <v>45</v>
      </c>
      <c r="E61" t="s">
        <v>46</v>
      </c>
      <c r="F61" t="s">
        <v>31</v>
      </c>
      <c r="G61" t="s">
        <v>56</v>
      </c>
      <c r="H61" t="s">
        <v>57</v>
      </c>
      <c r="I61">
        <v>-2</v>
      </c>
      <c r="J61">
        <v>1862.71</v>
      </c>
      <c r="K61">
        <v>0.2</v>
      </c>
      <c r="L61">
        <v>5960.67</v>
      </c>
      <c r="M61" t="s">
        <v>76</v>
      </c>
      <c r="N61" t="s">
        <v>71</v>
      </c>
      <c r="O61" t="s">
        <v>65</v>
      </c>
      <c r="P61" t="s">
        <v>111</v>
      </c>
      <c r="Q61" t="str">
        <f t="shared" si="0"/>
        <v>Completed</v>
      </c>
      <c r="R61" t="str">
        <f t="shared" si="1"/>
        <v>Store</v>
      </c>
      <c r="S61" t="str">
        <v>Upi</v>
      </c>
      <c r="T61" t="str">
        <v>Electronics</v>
      </c>
      <c r="U61" t="str">
        <f t="shared" si="2"/>
        <v>INVALID</v>
      </c>
      <c r="V61" t="str">
        <f t="shared" si="3"/>
        <v>NORMAL</v>
      </c>
      <c r="W61" t="str">
        <f t="shared" si="4"/>
        <v>Valid</v>
      </c>
      <c r="X61">
        <f t="shared" si="6"/>
        <v>-3725.42</v>
      </c>
      <c r="Y61">
        <f t="shared" si="5"/>
        <v>-2980.3360000000002</v>
      </c>
    </row>
    <row r="62" spans="1:25" x14ac:dyDescent="0.3">
      <c r="A62" t="s">
        <v>201</v>
      </c>
      <c r="B62" s="1">
        <v>46092</v>
      </c>
      <c r="C62" t="s">
        <v>202</v>
      </c>
      <c r="D62" t="s">
        <v>176</v>
      </c>
      <c r="E62" t="s">
        <v>177</v>
      </c>
      <c r="F62" t="s">
        <v>31</v>
      </c>
      <c r="G62" t="s">
        <v>81</v>
      </c>
      <c r="H62" t="s">
        <v>82</v>
      </c>
      <c r="I62">
        <v>1</v>
      </c>
      <c r="J62">
        <v>2265.5100000000002</v>
      </c>
      <c r="K62">
        <v>0.08</v>
      </c>
      <c r="L62">
        <v>2084.27</v>
      </c>
      <c r="M62" t="s">
        <v>23</v>
      </c>
      <c r="N62" t="s">
        <v>71</v>
      </c>
      <c r="O62" t="s">
        <v>65</v>
      </c>
      <c r="P62" t="s">
        <v>26</v>
      </c>
      <c r="Q62" t="str">
        <f t="shared" si="0"/>
        <v>Completed</v>
      </c>
      <c r="R62" t="str">
        <f t="shared" si="1"/>
        <v>Online</v>
      </c>
      <c r="S62" t="str">
        <v>Upi</v>
      </c>
      <c r="T62" t="str">
        <v>Electronics</v>
      </c>
      <c r="U62" t="str">
        <f t="shared" si="2"/>
        <v>VALID</v>
      </c>
      <c r="V62" t="str">
        <f t="shared" si="3"/>
        <v>NORMAL</v>
      </c>
      <c r="W62" t="str">
        <f t="shared" si="4"/>
        <v>Valid</v>
      </c>
      <c r="X62">
        <f t="shared" si="6"/>
        <v>2265.5100000000002</v>
      </c>
      <c r="Y62">
        <f t="shared" si="5"/>
        <v>2084.2692000000002</v>
      </c>
    </row>
    <row r="63" spans="1:25" x14ac:dyDescent="0.3">
      <c r="A63" t="s">
        <v>203</v>
      </c>
      <c r="B63" s="1">
        <v>46044</v>
      </c>
      <c r="C63" t="s">
        <v>204</v>
      </c>
      <c r="D63" t="s">
        <v>121</v>
      </c>
      <c r="E63" t="s">
        <v>122</v>
      </c>
      <c r="F63" t="s">
        <v>55</v>
      </c>
      <c r="G63" t="s">
        <v>56</v>
      </c>
      <c r="H63" t="s">
        <v>123</v>
      </c>
      <c r="I63">
        <v>5</v>
      </c>
      <c r="J63">
        <v>445.85</v>
      </c>
      <c r="K63">
        <v>0.08</v>
      </c>
      <c r="L63">
        <v>2050.91</v>
      </c>
      <c r="M63" t="s">
        <v>76</v>
      </c>
      <c r="N63" t="s">
        <v>34</v>
      </c>
      <c r="O63" t="s">
        <v>35</v>
      </c>
      <c r="P63" t="s">
        <v>111</v>
      </c>
      <c r="Q63" t="str">
        <f t="shared" si="0"/>
        <v>Cancelled</v>
      </c>
      <c r="R63" t="str">
        <f t="shared" si="1"/>
        <v>Store</v>
      </c>
      <c r="S63" t="str">
        <v>Cash On Delivery</v>
      </c>
      <c r="T63" t="str">
        <v>Stationery</v>
      </c>
      <c r="U63" t="str">
        <f t="shared" si="2"/>
        <v>VALID</v>
      </c>
      <c r="V63" t="str">
        <f t="shared" si="3"/>
        <v>NORMAL</v>
      </c>
      <c r="W63" t="str">
        <f t="shared" si="4"/>
        <v>Valid</v>
      </c>
      <c r="X63">
        <f t="shared" si="6"/>
        <v>2229.25</v>
      </c>
      <c r="Y63">
        <f t="shared" si="5"/>
        <v>2050.91</v>
      </c>
    </row>
    <row r="64" spans="1:25" x14ac:dyDescent="0.3">
      <c r="A64" t="s">
        <v>205</v>
      </c>
      <c r="B64" s="1">
        <v>45788</v>
      </c>
      <c r="C64" t="s">
        <v>206</v>
      </c>
      <c r="D64" t="s">
        <v>96</v>
      </c>
      <c r="E64" t="s">
        <v>97</v>
      </c>
      <c r="F64" t="s">
        <v>31</v>
      </c>
      <c r="G64" t="s">
        <v>56</v>
      </c>
      <c r="H64" t="s">
        <v>57</v>
      </c>
      <c r="I64">
        <v>5</v>
      </c>
      <c r="J64">
        <v>1158.51</v>
      </c>
      <c r="K64">
        <v>0</v>
      </c>
      <c r="L64">
        <v>5792.55</v>
      </c>
      <c r="M64" t="s">
        <v>48</v>
      </c>
      <c r="N64" t="s">
        <v>71</v>
      </c>
      <c r="O64" t="s">
        <v>65</v>
      </c>
      <c r="P64" t="s">
        <v>26</v>
      </c>
      <c r="Q64" t="str">
        <f t="shared" si="0"/>
        <v>Completed</v>
      </c>
      <c r="R64" t="str">
        <f t="shared" si="1"/>
        <v>Marketplace</v>
      </c>
      <c r="S64" t="str">
        <v>Upi</v>
      </c>
      <c r="T64" t="str">
        <v>Electronics</v>
      </c>
      <c r="U64" t="str">
        <f t="shared" si="2"/>
        <v>VALID</v>
      </c>
      <c r="V64" t="str">
        <f t="shared" si="3"/>
        <v>NORMAL</v>
      </c>
      <c r="W64" t="str">
        <f t="shared" si="4"/>
        <v>Valid</v>
      </c>
      <c r="X64">
        <f t="shared" si="6"/>
        <v>5792.55</v>
      </c>
      <c r="Y64">
        <f t="shared" si="5"/>
        <v>5792.55</v>
      </c>
    </row>
    <row r="65" spans="1:25" x14ac:dyDescent="0.3">
      <c r="A65" t="s">
        <v>207</v>
      </c>
      <c r="B65" s="1">
        <v>46203</v>
      </c>
      <c r="C65" t="s">
        <v>208</v>
      </c>
      <c r="D65" t="s">
        <v>170</v>
      </c>
      <c r="E65" t="s">
        <v>171</v>
      </c>
      <c r="F65" t="s">
        <v>31</v>
      </c>
      <c r="G65" t="s">
        <v>21</v>
      </c>
      <c r="H65" t="s">
        <v>41</v>
      </c>
      <c r="I65">
        <v>1</v>
      </c>
      <c r="J65">
        <v>60740.58</v>
      </c>
      <c r="K65">
        <v>0.1</v>
      </c>
      <c r="L65">
        <v>54666.52</v>
      </c>
      <c r="M65" t="s">
        <v>48</v>
      </c>
      <c r="N65" t="s">
        <v>71</v>
      </c>
      <c r="O65" t="s">
        <v>65</v>
      </c>
      <c r="P65" t="s">
        <v>50</v>
      </c>
      <c r="Q65" t="str">
        <f t="shared" si="0"/>
        <v>Completed</v>
      </c>
      <c r="R65" t="str">
        <f t="shared" si="1"/>
        <v>Marketplace</v>
      </c>
      <c r="S65" t="str">
        <v>Upi</v>
      </c>
      <c r="T65" t="str">
        <v>Electronics</v>
      </c>
      <c r="U65" t="str">
        <f t="shared" si="2"/>
        <v>VALID</v>
      </c>
      <c r="V65" t="str">
        <f t="shared" si="3"/>
        <v>NORMAL</v>
      </c>
      <c r="W65" t="str">
        <f t="shared" si="4"/>
        <v>Valid</v>
      </c>
      <c r="X65">
        <f t="shared" si="6"/>
        <v>60740.58</v>
      </c>
      <c r="Y65">
        <f t="shared" si="5"/>
        <v>54666.521999999997</v>
      </c>
    </row>
    <row r="66" spans="1:25" x14ac:dyDescent="0.3">
      <c r="A66" t="s">
        <v>209</v>
      </c>
      <c r="B66" s="1">
        <v>45705</v>
      </c>
      <c r="C66" t="s">
        <v>210</v>
      </c>
      <c r="D66" t="s">
        <v>45</v>
      </c>
      <c r="E66" t="s">
        <v>46</v>
      </c>
      <c r="F66" t="s">
        <v>31</v>
      </c>
      <c r="G66" t="s">
        <v>32</v>
      </c>
      <c r="H66" t="s">
        <v>33</v>
      </c>
      <c r="I66">
        <v>4</v>
      </c>
      <c r="J66">
        <v>1918.26</v>
      </c>
      <c r="K66">
        <v>0.15</v>
      </c>
      <c r="L66">
        <v>6522.08</v>
      </c>
      <c r="M66" t="s">
        <v>76</v>
      </c>
      <c r="N66" t="s">
        <v>34</v>
      </c>
      <c r="O66" t="s">
        <v>65</v>
      </c>
      <c r="P66" t="s">
        <v>72</v>
      </c>
      <c r="Q66" t="str">
        <f t="shared" si="0"/>
        <v>Completed</v>
      </c>
      <c r="R66" t="str">
        <f t="shared" si="1"/>
        <v>Store</v>
      </c>
      <c r="S66" t="str">
        <v>Cash On Delivery</v>
      </c>
      <c r="T66" t="str">
        <v>Electronics</v>
      </c>
      <c r="U66" t="str">
        <f t="shared" si="2"/>
        <v>VALID</v>
      </c>
      <c r="V66" t="str">
        <f t="shared" si="3"/>
        <v>NORMAL</v>
      </c>
      <c r="W66" t="str">
        <f t="shared" si="4"/>
        <v>Valid</v>
      </c>
      <c r="X66">
        <f t="shared" si="6"/>
        <v>7673.04</v>
      </c>
      <c r="Y66">
        <f t="shared" si="5"/>
        <v>6522.0839999999998</v>
      </c>
    </row>
    <row r="67" spans="1:25" x14ac:dyDescent="0.3">
      <c r="A67" t="s">
        <v>211</v>
      </c>
      <c r="B67" s="1">
        <v>45296</v>
      </c>
      <c r="C67" t="s">
        <v>212</v>
      </c>
      <c r="D67" t="s">
        <v>45</v>
      </c>
      <c r="E67" t="s">
        <v>46</v>
      </c>
      <c r="F67" t="s">
        <v>31</v>
      </c>
      <c r="G67" t="s">
        <v>81</v>
      </c>
      <c r="H67" t="s">
        <v>98</v>
      </c>
      <c r="I67">
        <v>5</v>
      </c>
      <c r="J67">
        <v>1886.83</v>
      </c>
      <c r="K67">
        <v>0.1</v>
      </c>
      <c r="L67">
        <v>8490.74</v>
      </c>
      <c r="M67" t="s">
        <v>23</v>
      </c>
      <c r="N67" t="s">
        <v>34</v>
      </c>
      <c r="O67" t="s">
        <v>65</v>
      </c>
      <c r="P67" t="s">
        <v>72</v>
      </c>
      <c r="Q67" t="str">
        <f t="shared" ref="Q67:Q130" si="7">PROPER(O67)</f>
        <v>Completed</v>
      </c>
      <c r="R67" t="str">
        <f t="shared" ref="R67:R130" si="8">PROPER(M67)</f>
        <v>Online</v>
      </c>
      <c r="S67" t="str">
        <v>Cash On Delivery</v>
      </c>
      <c r="T67" t="str">
        <v>Electronics</v>
      </c>
      <c r="U67" t="str">
        <f t="shared" ref="U67:U130" si="9">IF(I67&lt;=0,"INVALID","VALID")</f>
        <v>VALID</v>
      </c>
      <c r="V67" t="str">
        <f t="shared" ref="V67:V130" si="10">IF(I67&gt;100,"REVIEW","NORMAL")</f>
        <v>NORMAL</v>
      </c>
      <c r="W67" t="str">
        <f t="shared" ref="W67:W130" si="11">IF(OR(K67&lt;0,K67&gt;1),"Invalid","Valid")</f>
        <v>Valid</v>
      </c>
      <c r="X67">
        <f t="shared" si="6"/>
        <v>9434.15</v>
      </c>
      <c r="Y67">
        <f t="shared" ref="Y67:Y130" si="12">I67*J67-(I67*J67*K67)</f>
        <v>8490.7350000000006</v>
      </c>
    </row>
    <row r="68" spans="1:25" x14ac:dyDescent="0.3">
      <c r="A68" t="s">
        <v>213</v>
      </c>
      <c r="B68" s="1">
        <v>45902</v>
      </c>
      <c r="C68" t="s">
        <v>141</v>
      </c>
      <c r="D68" t="s">
        <v>38</v>
      </c>
      <c r="E68" t="s">
        <v>39</v>
      </c>
      <c r="F68" t="s">
        <v>40</v>
      </c>
      <c r="G68" t="s">
        <v>32</v>
      </c>
      <c r="H68" t="s">
        <v>47</v>
      </c>
      <c r="I68">
        <v>5</v>
      </c>
      <c r="J68">
        <v>1650.72</v>
      </c>
      <c r="K68">
        <v>0</v>
      </c>
      <c r="L68">
        <v>8253.6</v>
      </c>
      <c r="M68" t="s">
        <v>48</v>
      </c>
      <c r="N68" t="s">
        <v>24</v>
      </c>
      <c r="O68" t="s">
        <v>65</v>
      </c>
      <c r="P68" t="s">
        <v>59</v>
      </c>
      <c r="Q68" t="str">
        <f t="shared" si="7"/>
        <v>Completed</v>
      </c>
      <c r="R68" t="str">
        <f t="shared" si="8"/>
        <v>Marketplace</v>
      </c>
      <c r="S68" t="str">
        <v>Debit Card</v>
      </c>
      <c r="T68" t="str">
        <v>Furniture</v>
      </c>
      <c r="U68" t="str">
        <f t="shared" si="9"/>
        <v>VALID</v>
      </c>
      <c r="V68" t="str">
        <f t="shared" si="10"/>
        <v>NORMAL</v>
      </c>
      <c r="W68" t="str">
        <f t="shared" si="11"/>
        <v>Valid</v>
      </c>
      <c r="X68">
        <f t="shared" ref="X68:X131" si="13">I68*J68</f>
        <v>8253.6</v>
      </c>
      <c r="Y68">
        <f t="shared" si="12"/>
        <v>8253.6</v>
      </c>
    </row>
    <row r="69" spans="1:25" x14ac:dyDescent="0.3">
      <c r="A69" t="s">
        <v>214</v>
      </c>
      <c r="B69" s="1">
        <v>45476</v>
      </c>
      <c r="C69" t="s">
        <v>110</v>
      </c>
      <c r="D69" t="s">
        <v>96</v>
      </c>
      <c r="E69" t="s">
        <v>97</v>
      </c>
      <c r="F69" t="s">
        <v>31</v>
      </c>
      <c r="G69" t="s">
        <v>81</v>
      </c>
      <c r="H69" t="s">
        <v>82</v>
      </c>
      <c r="I69">
        <v>4</v>
      </c>
      <c r="J69">
        <v>1247.08</v>
      </c>
      <c r="K69">
        <v>0.08</v>
      </c>
      <c r="L69">
        <v>4589.25</v>
      </c>
      <c r="M69" t="s">
        <v>23</v>
      </c>
      <c r="N69" t="s">
        <v>34</v>
      </c>
      <c r="O69" t="s">
        <v>65</v>
      </c>
      <c r="P69" t="s">
        <v>50</v>
      </c>
      <c r="Q69" t="str">
        <f t="shared" si="7"/>
        <v>Completed</v>
      </c>
      <c r="R69" t="str">
        <f t="shared" si="8"/>
        <v>Online</v>
      </c>
      <c r="S69" t="str">
        <v>Cash On Delivery</v>
      </c>
      <c r="T69" t="str">
        <v>Electronics</v>
      </c>
      <c r="U69" t="str">
        <f t="shared" si="9"/>
        <v>VALID</v>
      </c>
      <c r="V69" t="str">
        <f t="shared" si="10"/>
        <v>NORMAL</v>
      </c>
      <c r="W69" t="str">
        <f t="shared" si="11"/>
        <v>Valid</v>
      </c>
      <c r="X69">
        <f t="shared" si="13"/>
        <v>4988.32</v>
      </c>
      <c r="Y69">
        <f t="shared" si="12"/>
        <v>4589.2543999999998</v>
      </c>
    </row>
    <row r="70" spans="1:25" x14ac:dyDescent="0.3">
      <c r="A70" t="s">
        <v>215</v>
      </c>
      <c r="B70" s="1">
        <v>46033</v>
      </c>
      <c r="C70" t="s">
        <v>216</v>
      </c>
      <c r="D70" t="s">
        <v>18</v>
      </c>
      <c r="E70" t="s">
        <v>19</v>
      </c>
      <c r="F70" t="s">
        <v>20</v>
      </c>
      <c r="G70" t="s">
        <v>81</v>
      </c>
      <c r="I70">
        <v>1</v>
      </c>
      <c r="J70">
        <v>878.55</v>
      </c>
      <c r="K70">
        <v>0</v>
      </c>
      <c r="L70">
        <v>878.55</v>
      </c>
      <c r="M70" t="s">
        <v>48</v>
      </c>
      <c r="N70" t="s">
        <v>49</v>
      </c>
      <c r="O70" t="s">
        <v>65</v>
      </c>
      <c r="P70" t="s">
        <v>116</v>
      </c>
      <c r="Q70" t="str">
        <f t="shared" si="7"/>
        <v>Completed</v>
      </c>
      <c r="R70" t="str">
        <f t="shared" si="8"/>
        <v>Marketplace</v>
      </c>
      <c r="S70" t="str">
        <v>Net Banking</v>
      </c>
      <c r="T70" t="str">
        <v>Accessories</v>
      </c>
      <c r="U70" t="str">
        <f t="shared" si="9"/>
        <v>VALID</v>
      </c>
      <c r="V70" t="str">
        <f t="shared" si="10"/>
        <v>NORMAL</v>
      </c>
      <c r="W70" t="str">
        <f t="shared" si="11"/>
        <v>Valid</v>
      </c>
      <c r="X70">
        <f t="shared" si="13"/>
        <v>878.55</v>
      </c>
      <c r="Y70">
        <f t="shared" si="12"/>
        <v>878.55</v>
      </c>
    </row>
    <row r="71" spans="1:25" x14ac:dyDescent="0.3">
      <c r="A71" t="s">
        <v>217</v>
      </c>
      <c r="B71" s="1">
        <v>45341</v>
      </c>
      <c r="C71" t="s">
        <v>218</v>
      </c>
      <c r="D71" t="s">
        <v>96</v>
      </c>
      <c r="E71" t="s">
        <v>97</v>
      </c>
      <c r="F71" t="s">
        <v>31</v>
      </c>
      <c r="G71" t="s">
        <v>21</v>
      </c>
      <c r="H71" t="s">
        <v>126</v>
      </c>
      <c r="I71">
        <v>1</v>
      </c>
      <c r="J71">
        <v>1273.76</v>
      </c>
      <c r="K71">
        <v>0</v>
      </c>
      <c r="L71">
        <v>1273.76</v>
      </c>
      <c r="M71" t="s">
        <v>76</v>
      </c>
      <c r="N71" t="s">
        <v>71</v>
      </c>
      <c r="O71" t="s">
        <v>65</v>
      </c>
      <c r="P71" t="s">
        <v>72</v>
      </c>
      <c r="Q71" t="str">
        <f t="shared" si="7"/>
        <v>Completed</v>
      </c>
      <c r="R71" t="str">
        <f t="shared" si="8"/>
        <v>Store</v>
      </c>
      <c r="S71" t="str">
        <v>Upi</v>
      </c>
      <c r="T71" t="str">
        <v>Electronics</v>
      </c>
      <c r="U71" t="str">
        <f t="shared" si="9"/>
        <v>VALID</v>
      </c>
      <c r="V71" t="str">
        <f t="shared" si="10"/>
        <v>NORMAL</v>
      </c>
      <c r="W71" t="str">
        <f t="shared" si="11"/>
        <v>Valid</v>
      </c>
      <c r="X71">
        <f t="shared" si="13"/>
        <v>1273.76</v>
      </c>
      <c r="Y71">
        <f t="shared" si="12"/>
        <v>1273.76</v>
      </c>
    </row>
    <row r="72" spans="1:25" x14ac:dyDescent="0.3">
      <c r="A72" t="s">
        <v>219</v>
      </c>
      <c r="B72" s="1">
        <v>45994</v>
      </c>
      <c r="C72" t="s">
        <v>218</v>
      </c>
      <c r="D72" t="s">
        <v>45</v>
      </c>
      <c r="E72" t="s">
        <v>46</v>
      </c>
      <c r="F72" t="s">
        <v>31</v>
      </c>
      <c r="G72" t="s">
        <v>56</v>
      </c>
      <c r="H72" t="s">
        <v>123</v>
      </c>
      <c r="I72">
        <v>5</v>
      </c>
      <c r="J72">
        <v>1881.82</v>
      </c>
      <c r="K72">
        <v>0.1</v>
      </c>
      <c r="L72">
        <v>8468.19</v>
      </c>
      <c r="M72" t="s">
        <v>76</v>
      </c>
      <c r="N72" t="s">
        <v>34</v>
      </c>
      <c r="O72" t="s">
        <v>65</v>
      </c>
      <c r="Q72" t="str">
        <f t="shared" si="7"/>
        <v>Completed</v>
      </c>
      <c r="R72" t="str">
        <f t="shared" si="8"/>
        <v>Store</v>
      </c>
      <c r="S72" t="str">
        <v>Cash On Delivery</v>
      </c>
      <c r="T72" t="str">
        <v>Electronics</v>
      </c>
      <c r="U72" t="str">
        <f t="shared" si="9"/>
        <v>VALID</v>
      </c>
      <c r="V72" t="str">
        <f t="shared" si="10"/>
        <v>NORMAL</v>
      </c>
      <c r="W72" t="str">
        <f t="shared" si="11"/>
        <v>Valid</v>
      </c>
      <c r="X72">
        <f t="shared" si="13"/>
        <v>9409.1</v>
      </c>
      <c r="Y72">
        <f t="shared" si="12"/>
        <v>8468.19</v>
      </c>
    </row>
    <row r="73" spans="1:25" x14ac:dyDescent="0.3">
      <c r="A73" t="s">
        <v>220</v>
      </c>
      <c r="B73" s="1">
        <v>45424</v>
      </c>
      <c r="C73" t="s">
        <v>221</v>
      </c>
      <c r="D73" t="s">
        <v>79</v>
      </c>
      <c r="E73" t="s">
        <v>80</v>
      </c>
      <c r="F73" t="s">
        <v>31</v>
      </c>
      <c r="G73" t="s">
        <v>32</v>
      </c>
      <c r="H73" t="s">
        <v>75</v>
      </c>
      <c r="I73">
        <v>3</v>
      </c>
      <c r="J73">
        <v>12656.03</v>
      </c>
      <c r="K73">
        <v>0.05</v>
      </c>
      <c r="L73">
        <v>36069.69</v>
      </c>
      <c r="M73" t="s">
        <v>23</v>
      </c>
      <c r="N73" t="s">
        <v>49</v>
      </c>
      <c r="O73" t="s">
        <v>65</v>
      </c>
      <c r="P73" t="s">
        <v>102</v>
      </c>
      <c r="Q73" t="str">
        <f t="shared" si="7"/>
        <v>Completed</v>
      </c>
      <c r="R73" t="str">
        <f t="shared" si="8"/>
        <v>Online</v>
      </c>
      <c r="S73" t="str">
        <v>Net Banking</v>
      </c>
      <c r="T73" t="str">
        <v>Electronics</v>
      </c>
      <c r="U73" t="str">
        <f t="shared" si="9"/>
        <v>VALID</v>
      </c>
      <c r="V73" t="str">
        <f t="shared" si="10"/>
        <v>NORMAL</v>
      </c>
      <c r="W73" t="str">
        <f t="shared" si="11"/>
        <v>Valid</v>
      </c>
      <c r="X73">
        <f t="shared" si="13"/>
        <v>37968.090000000004</v>
      </c>
      <c r="Y73">
        <f t="shared" si="12"/>
        <v>36069.685500000007</v>
      </c>
    </row>
    <row r="74" spans="1:25" x14ac:dyDescent="0.3">
      <c r="A74" t="s">
        <v>222</v>
      </c>
      <c r="B74" s="1">
        <v>45436</v>
      </c>
      <c r="C74" t="s">
        <v>223</v>
      </c>
      <c r="D74" t="s">
        <v>45</v>
      </c>
      <c r="E74" t="s">
        <v>46</v>
      </c>
      <c r="F74" t="s">
        <v>31</v>
      </c>
      <c r="G74" t="s">
        <v>56</v>
      </c>
      <c r="H74" t="s">
        <v>64</v>
      </c>
      <c r="I74">
        <v>3</v>
      </c>
      <c r="J74">
        <v>1792.56</v>
      </c>
      <c r="K74">
        <v>0.1</v>
      </c>
      <c r="L74">
        <v>4839.91</v>
      </c>
      <c r="M74" t="s">
        <v>23</v>
      </c>
      <c r="N74" t="s">
        <v>34</v>
      </c>
      <c r="O74" t="s">
        <v>65</v>
      </c>
      <c r="P74" t="s">
        <v>102</v>
      </c>
      <c r="Q74" t="str">
        <f t="shared" si="7"/>
        <v>Completed</v>
      </c>
      <c r="R74" t="str">
        <f t="shared" si="8"/>
        <v>Online</v>
      </c>
      <c r="S74" t="str">
        <v>Cash On Delivery</v>
      </c>
      <c r="T74" t="str">
        <v>Electronics</v>
      </c>
      <c r="U74" t="str">
        <f t="shared" si="9"/>
        <v>VALID</v>
      </c>
      <c r="V74" t="str">
        <f t="shared" si="10"/>
        <v>NORMAL</v>
      </c>
      <c r="W74" t="str">
        <f t="shared" si="11"/>
        <v>Valid</v>
      </c>
      <c r="X74">
        <f t="shared" si="13"/>
        <v>5377.68</v>
      </c>
      <c r="Y74">
        <f t="shared" si="12"/>
        <v>4839.9120000000003</v>
      </c>
    </row>
    <row r="75" spans="1:25" x14ac:dyDescent="0.3">
      <c r="A75" t="s">
        <v>224</v>
      </c>
      <c r="B75" s="1">
        <v>45545</v>
      </c>
      <c r="C75" t="s">
        <v>225</v>
      </c>
      <c r="D75" t="s">
        <v>96</v>
      </c>
      <c r="E75" t="s">
        <v>97</v>
      </c>
      <c r="F75" t="s">
        <v>31</v>
      </c>
      <c r="G75" t="s">
        <v>56</v>
      </c>
      <c r="H75" t="s">
        <v>101</v>
      </c>
      <c r="I75">
        <v>4</v>
      </c>
      <c r="J75">
        <v>1221.31</v>
      </c>
      <c r="K75">
        <v>0.05</v>
      </c>
      <c r="L75">
        <v>4640.9799999999996</v>
      </c>
      <c r="M75" t="s">
        <v>48</v>
      </c>
      <c r="N75" t="s">
        <v>24</v>
      </c>
      <c r="O75" t="s">
        <v>65</v>
      </c>
      <c r="P75" t="s">
        <v>59</v>
      </c>
      <c r="Q75" t="str">
        <f t="shared" si="7"/>
        <v>Completed</v>
      </c>
      <c r="R75" t="str">
        <f t="shared" si="8"/>
        <v>Marketplace</v>
      </c>
      <c r="S75" t="str">
        <v>Debit Card</v>
      </c>
      <c r="T75" t="str">
        <v>Electronics</v>
      </c>
      <c r="U75" t="str">
        <f t="shared" si="9"/>
        <v>VALID</v>
      </c>
      <c r="V75" t="str">
        <f t="shared" si="10"/>
        <v>NORMAL</v>
      </c>
      <c r="W75" t="str">
        <f t="shared" si="11"/>
        <v>Valid</v>
      </c>
      <c r="X75">
        <f t="shared" si="13"/>
        <v>4885.24</v>
      </c>
      <c r="Y75">
        <f t="shared" si="12"/>
        <v>4640.9780000000001</v>
      </c>
    </row>
    <row r="76" spans="1:25" x14ac:dyDescent="0.3">
      <c r="A76" t="s">
        <v>226</v>
      </c>
      <c r="B76" s="1">
        <v>46058</v>
      </c>
      <c r="C76" t="s">
        <v>227</v>
      </c>
      <c r="D76" t="s">
        <v>79</v>
      </c>
      <c r="E76" t="s">
        <v>80</v>
      </c>
      <c r="F76" t="s">
        <v>31</v>
      </c>
      <c r="G76" t="s">
        <v>32</v>
      </c>
      <c r="H76" t="s">
        <v>33</v>
      </c>
      <c r="I76">
        <v>3</v>
      </c>
      <c r="J76">
        <v>11572.12</v>
      </c>
      <c r="K76">
        <v>0.1</v>
      </c>
      <c r="L76">
        <v>31244.720000000001</v>
      </c>
      <c r="M76" t="s">
        <v>76</v>
      </c>
      <c r="N76" t="s">
        <v>24</v>
      </c>
      <c r="O76" t="s">
        <v>65</v>
      </c>
      <c r="P76" t="s">
        <v>50</v>
      </c>
      <c r="Q76" t="str">
        <f t="shared" si="7"/>
        <v>Completed</v>
      </c>
      <c r="R76" t="str">
        <f t="shared" si="8"/>
        <v>Store</v>
      </c>
      <c r="S76" t="str">
        <v>Debit Card</v>
      </c>
      <c r="T76" t="str">
        <v>Electronics</v>
      </c>
      <c r="U76" t="str">
        <f t="shared" si="9"/>
        <v>VALID</v>
      </c>
      <c r="V76" t="str">
        <f t="shared" si="10"/>
        <v>NORMAL</v>
      </c>
      <c r="W76" t="str">
        <f t="shared" si="11"/>
        <v>Valid</v>
      </c>
      <c r="X76">
        <f t="shared" si="13"/>
        <v>34716.36</v>
      </c>
      <c r="Y76">
        <f t="shared" si="12"/>
        <v>31244.724000000002</v>
      </c>
    </row>
    <row r="77" spans="1:25" x14ac:dyDescent="0.3">
      <c r="A77" t="s">
        <v>228</v>
      </c>
      <c r="B77" s="1">
        <v>45497</v>
      </c>
      <c r="C77" t="s">
        <v>110</v>
      </c>
      <c r="D77" t="s">
        <v>96</v>
      </c>
      <c r="E77" t="s">
        <v>97</v>
      </c>
      <c r="F77" t="s">
        <v>31</v>
      </c>
      <c r="G77" t="s">
        <v>21</v>
      </c>
      <c r="H77" t="s">
        <v>126</v>
      </c>
      <c r="I77">
        <v>2</v>
      </c>
      <c r="J77">
        <v>1238.78</v>
      </c>
      <c r="K77">
        <v>0.08</v>
      </c>
      <c r="L77">
        <v>2279.36</v>
      </c>
      <c r="M77" t="s">
        <v>76</v>
      </c>
      <c r="N77" t="s">
        <v>49</v>
      </c>
      <c r="O77" t="s">
        <v>65</v>
      </c>
      <c r="P77" t="s">
        <v>42</v>
      </c>
      <c r="Q77" t="str">
        <f t="shared" si="7"/>
        <v>Completed</v>
      </c>
      <c r="R77" t="str">
        <f t="shared" si="8"/>
        <v>Store</v>
      </c>
      <c r="S77" t="str">
        <v>Net Banking</v>
      </c>
      <c r="T77" t="str">
        <v>Electronics</v>
      </c>
      <c r="U77" t="str">
        <f t="shared" si="9"/>
        <v>VALID</v>
      </c>
      <c r="V77" t="str">
        <f t="shared" si="10"/>
        <v>NORMAL</v>
      </c>
      <c r="W77" t="str">
        <f t="shared" si="11"/>
        <v>Valid</v>
      </c>
      <c r="X77">
        <f t="shared" si="13"/>
        <v>2477.56</v>
      </c>
      <c r="Y77">
        <f t="shared" si="12"/>
        <v>2279.3552</v>
      </c>
    </row>
    <row r="78" spans="1:25" x14ac:dyDescent="0.3">
      <c r="A78" t="s">
        <v>229</v>
      </c>
      <c r="B78" s="1">
        <v>45516</v>
      </c>
      <c r="C78" t="s">
        <v>230</v>
      </c>
      <c r="D78" t="s">
        <v>18</v>
      </c>
      <c r="E78" t="s">
        <v>19</v>
      </c>
      <c r="F78" t="s">
        <v>20</v>
      </c>
      <c r="G78" t="s">
        <v>56</v>
      </c>
      <c r="H78" t="s">
        <v>101</v>
      </c>
      <c r="I78">
        <v>3</v>
      </c>
      <c r="J78">
        <v>867.14</v>
      </c>
      <c r="K78">
        <v>0.03</v>
      </c>
      <c r="L78">
        <v>2523.38</v>
      </c>
      <c r="M78" t="s">
        <v>76</v>
      </c>
      <c r="N78" t="s">
        <v>34</v>
      </c>
      <c r="O78" t="s">
        <v>65</v>
      </c>
      <c r="P78" t="s">
        <v>111</v>
      </c>
      <c r="Q78" t="str">
        <f t="shared" si="7"/>
        <v>Completed</v>
      </c>
      <c r="R78" t="str">
        <f t="shared" si="8"/>
        <v>Store</v>
      </c>
      <c r="S78" t="str">
        <v>Cash On Delivery</v>
      </c>
      <c r="T78" t="str">
        <v>Accessories</v>
      </c>
      <c r="U78" t="str">
        <f t="shared" si="9"/>
        <v>VALID</v>
      </c>
      <c r="V78" t="str">
        <f t="shared" si="10"/>
        <v>NORMAL</v>
      </c>
      <c r="W78" t="str">
        <f t="shared" si="11"/>
        <v>Valid</v>
      </c>
      <c r="X78">
        <f t="shared" si="13"/>
        <v>2601.42</v>
      </c>
      <c r="Y78">
        <f t="shared" si="12"/>
        <v>2523.3774000000003</v>
      </c>
    </row>
    <row r="79" spans="1:25" x14ac:dyDescent="0.3">
      <c r="A79" t="s">
        <v>231</v>
      </c>
      <c r="B79" s="1">
        <v>45963</v>
      </c>
      <c r="C79" t="s">
        <v>232</v>
      </c>
      <c r="D79" t="s">
        <v>85</v>
      </c>
      <c r="E79" t="s">
        <v>86</v>
      </c>
      <c r="F79" t="s">
        <v>20</v>
      </c>
      <c r="G79" t="s">
        <v>32</v>
      </c>
      <c r="I79">
        <v>1</v>
      </c>
      <c r="J79">
        <v>1801.05</v>
      </c>
      <c r="K79">
        <v>0.2</v>
      </c>
      <c r="L79">
        <v>1440.84</v>
      </c>
      <c r="M79" t="s">
        <v>23</v>
      </c>
      <c r="N79" t="s">
        <v>49</v>
      </c>
      <c r="O79" t="s">
        <v>65</v>
      </c>
      <c r="P79" t="s">
        <v>42</v>
      </c>
      <c r="Q79" t="str">
        <f t="shared" si="7"/>
        <v>Completed</v>
      </c>
      <c r="R79" t="str">
        <f t="shared" si="8"/>
        <v>Online</v>
      </c>
      <c r="S79" t="str">
        <v>Net Banking</v>
      </c>
      <c r="T79" t="str">
        <v>Accessories</v>
      </c>
      <c r="U79" t="str">
        <f t="shared" si="9"/>
        <v>VALID</v>
      </c>
      <c r="V79" t="str">
        <f t="shared" si="10"/>
        <v>NORMAL</v>
      </c>
      <c r="W79" t="str">
        <f t="shared" si="11"/>
        <v>Valid</v>
      </c>
      <c r="X79">
        <f t="shared" si="13"/>
        <v>1801.05</v>
      </c>
      <c r="Y79">
        <f t="shared" si="12"/>
        <v>1440.84</v>
      </c>
    </row>
    <row r="80" spans="1:25" x14ac:dyDescent="0.3">
      <c r="A80" t="s">
        <v>233</v>
      </c>
      <c r="B80" s="1">
        <v>45765</v>
      </c>
      <c r="C80" t="s">
        <v>234</v>
      </c>
      <c r="D80" t="s">
        <v>38</v>
      </c>
      <c r="E80" t="s">
        <v>39</v>
      </c>
      <c r="F80" t="s">
        <v>40</v>
      </c>
      <c r="G80" t="s">
        <v>56</v>
      </c>
      <c r="H80" t="s">
        <v>57</v>
      </c>
      <c r="I80">
        <v>3</v>
      </c>
      <c r="J80">
        <v>1490.45</v>
      </c>
      <c r="K80">
        <v>0</v>
      </c>
      <c r="L80">
        <v>4471.3500000000004</v>
      </c>
      <c r="M80" t="s">
        <v>48</v>
      </c>
      <c r="N80" t="s">
        <v>34</v>
      </c>
      <c r="O80" t="s">
        <v>65</v>
      </c>
      <c r="P80" t="s">
        <v>72</v>
      </c>
      <c r="Q80" t="str">
        <f t="shared" si="7"/>
        <v>Completed</v>
      </c>
      <c r="R80" t="str">
        <f t="shared" si="8"/>
        <v>Marketplace</v>
      </c>
      <c r="S80" t="str">
        <v>Cash On Delivery</v>
      </c>
      <c r="T80" t="str">
        <v>Furniture</v>
      </c>
      <c r="U80" t="str">
        <f t="shared" si="9"/>
        <v>VALID</v>
      </c>
      <c r="V80" t="str">
        <f t="shared" si="10"/>
        <v>NORMAL</v>
      </c>
      <c r="W80" t="str">
        <f t="shared" si="11"/>
        <v>Valid</v>
      </c>
      <c r="X80">
        <f t="shared" si="13"/>
        <v>4471.3500000000004</v>
      </c>
      <c r="Y80">
        <f t="shared" si="12"/>
        <v>4471.3500000000004</v>
      </c>
    </row>
    <row r="81" spans="1:25" x14ac:dyDescent="0.3">
      <c r="A81" t="s">
        <v>235</v>
      </c>
      <c r="B81" s="1">
        <v>45547</v>
      </c>
      <c r="C81" t="s">
        <v>236</v>
      </c>
      <c r="D81" t="s">
        <v>85</v>
      </c>
      <c r="E81" t="s">
        <v>86</v>
      </c>
      <c r="F81" t="s">
        <v>20</v>
      </c>
      <c r="G81" t="s">
        <v>56</v>
      </c>
      <c r="H81" t="s">
        <v>101</v>
      </c>
      <c r="I81">
        <v>3</v>
      </c>
      <c r="J81">
        <v>1746.4</v>
      </c>
      <c r="K81">
        <v>0.03</v>
      </c>
      <c r="L81">
        <v>5082.0200000000004</v>
      </c>
      <c r="M81" t="s">
        <v>48</v>
      </c>
      <c r="N81" t="s">
        <v>71</v>
      </c>
      <c r="O81" t="s">
        <v>65</v>
      </c>
      <c r="P81" t="s">
        <v>111</v>
      </c>
      <c r="Q81" t="str">
        <f t="shared" si="7"/>
        <v>Completed</v>
      </c>
      <c r="R81" t="str">
        <f t="shared" si="8"/>
        <v>Marketplace</v>
      </c>
      <c r="S81" t="str">
        <v>Upi</v>
      </c>
      <c r="T81" t="str">
        <v>Accessories</v>
      </c>
      <c r="U81" t="str">
        <f t="shared" si="9"/>
        <v>VALID</v>
      </c>
      <c r="V81" t="str">
        <f t="shared" si="10"/>
        <v>NORMAL</v>
      </c>
      <c r="W81" t="str">
        <f t="shared" si="11"/>
        <v>Valid</v>
      </c>
      <c r="X81">
        <f t="shared" si="13"/>
        <v>5239.2000000000007</v>
      </c>
      <c r="Y81">
        <f t="shared" si="12"/>
        <v>5082.0240000000003</v>
      </c>
    </row>
    <row r="82" spans="1:25" x14ac:dyDescent="0.3">
      <c r="A82" t="s">
        <v>237</v>
      </c>
      <c r="B82" s="1">
        <v>45936</v>
      </c>
      <c r="C82" t="s">
        <v>238</v>
      </c>
      <c r="D82" t="s">
        <v>38</v>
      </c>
      <c r="E82" t="s">
        <v>39</v>
      </c>
      <c r="F82" t="s">
        <v>40</v>
      </c>
      <c r="G82" t="s">
        <v>56</v>
      </c>
      <c r="H82" t="s">
        <v>101</v>
      </c>
      <c r="I82">
        <v>2</v>
      </c>
      <c r="J82">
        <v>1625.82</v>
      </c>
      <c r="K82">
        <v>0.1</v>
      </c>
      <c r="L82">
        <v>2926.48</v>
      </c>
      <c r="M82" t="s">
        <v>23</v>
      </c>
      <c r="N82" t="s">
        <v>24</v>
      </c>
      <c r="O82" t="s">
        <v>65</v>
      </c>
      <c r="P82" t="s">
        <v>116</v>
      </c>
      <c r="Q82" t="str">
        <f t="shared" si="7"/>
        <v>Completed</v>
      </c>
      <c r="R82" t="str">
        <f t="shared" si="8"/>
        <v>Online</v>
      </c>
      <c r="S82" t="str">
        <v>Debit Card</v>
      </c>
      <c r="T82" t="str">
        <v>Furniture</v>
      </c>
      <c r="U82" t="str">
        <f t="shared" si="9"/>
        <v>VALID</v>
      </c>
      <c r="V82" t="str">
        <f t="shared" si="10"/>
        <v>NORMAL</v>
      </c>
      <c r="W82" t="str">
        <f t="shared" si="11"/>
        <v>Valid</v>
      </c>
      <c r="X82">
        <f t="shared" si="13"/>
        <v>3251.64</v>
      </c>
      <c r="Y82">
        <f t="shared" si="12"/>
        <v>2926.4759999999997</v>
      </c>
    </row>
    <row r="83" spans="1:25" x14ac:dyDescent="0.3">
      <c r="A83" t="s">
        <v>239</v>
      </c>
      <c r="B83" s="1">
        <v>46166</v>
      </c>
      <c r="D83" t="s">
        <v>96</v>
      </c>
      <c r="E83" t="s">
        <v>97</v>
      </c>
      <c r="F83" t="s">
        <v>31</v>
      </c>
      <c r="G83" t="s">
        <v>32</v>
      </c>
      <c r="H83" t="s">
        <v>75</v>
      </c>
      <c r="I83">
        <v>3</v>
      </c>
      <c r="J83">
        <v>1163.7</v>
      </c>
      <c r="K83">
        <v>0.15</v>
      </c>
      <c r="L83">
        <v>2967.44</v>
      </c>
      <c r="M83" t="s">
        <v>23</v>
      </c>
      <c r="N83" t="s">
        <v>49</v>
      </c>
      <c r="O83" t="s">
        <v>35</v>
      </c>
      <c r="P83" t="s">
        <v>59</v>
      </c>
      <c r="Q83" t="str">
        <f t="shared" si="7"/>
        <v>Cancelled</v>
      </c>
      <c r="R83" t="str">
        <f t="shared" si="8"/>
        <v>Online</v>
      </c>
      <c r="S83" t="str">
        <v>Net Banking</v>
      </c>
      <c r="T83" t="str">
        <v>Electronics</v>
      </c>
      <c r="U83" t="str">
        <f t="shared" si="9"/>
        <v>VALID</v>
      </c>
      <c r="V83" t="str">
        <f t="shared" si="10"/>
        <v>NORMAL</v>
      </c>
      <c r="W83" t="str">
        <f t="shared" si="11"/>
        <v>Valid</v>
      </c>
      <c r="X83">
        <f t="shared" si="13"/>
        <v>3491.1000000000004</v>
      </c>
      <c r="Y83">
        <f t="shared" si="12"/>
        <v>2967.4350000000004</v>
      </c>
    </row>
    <row r="84" spans="1:25" x14ac:dyDescent="0.3">
      <c r="A84" t="s">
        <v>240</v>
      </c>
      <c r="B84" s="1">
        <v>46136</v>
      </c>
      <c r="C84" t="s">
        <v>241</v>
      </c>
      <c r="D84" t="s">
        <v>176</v>
      </c>
      <c r="E84" t="s">
        <v>177</v>
      </c>
      <c r="F84" t="s">
        <v>31</v>
      </c>
      <c r="G84" t="s">
        <v>56</v>
      </c>
      <c r="H84" t="s">
        <v>123</v>
      </c>
      <c r="I84">
        <v>1</v>
      </c>
      <c r="J84">
        <v>2208.83</v>
      </c>
      <c r="K84">
        <v>0.1</v>
      </c>
      <c r="L84">
        <v>1987.95</v>
      </c>
      <c r="M84" t="s">
        <v>23</v>
      </c>
      <c r="N84" t="s">
        <v>49</v>
      </c>
      <c r="O84" t="s">
        <v>65</v>
      </c>
      <c r="P84" t="s">
        <v>59</v>
      </c>
      <c r="Q84" t="str">
        <f t="shared" si="7"/>
        <v>Completed</v>
      </c>
      <c r="R84" t="str">
        <f t="shared" si="8"/>
        <v>Online</v>
      </c>
      <c r="S84" t="str">
        <v>Net Banking</v>
      </c>
      <c r="T84" t="str">
        <v>Electronics</v>
      </c>
      <c r="U84" t="str">
        <f t="shared" si="9"/>
        <v>VALID</v>
      </c>
      <c r="V84" t="str">
        <f t="shared" si="10"/>
        <v>NORMAL</v>
      </c>
      <c r="W84" t="str">
        <f t="shared" si="11"/>
        <v>Valid</v>
      </c>
      <c r="X84">
        <f t="shared" si="13"/>
        <v>2208.83</v>
      </c>
      <c r="Y84">
        <f t="shared" si="12"/>
        <v>1987.9469999999999</v>
      </c>
    </row>
    <row r="85" spans="1:25" x14ac:dyDescent="0.3">
      <c r="A85" t="s">
        <v>242</v>
      </c>
      <c r="B85" s="1">
        <v>46054</v>
      </c>
      <c r="C85" t="s">
        <v>243</v>
      </c>
      <c r="D85" t="s">
        <v>62</v>
      </c>
      <c r="E85" t="s">
        <v>63</v>
      </c>
      <c r="F85" t="s">
        <v>31</v>
      </c>
      <c r="G85" t="s">
        <v>32</v>
      </c>
      <c r="H85" t="s">
        <v>47</v>
      </c>
      <c r="I85">
        <v>5</v>
      </c>
      <c r="J85">
        <v>2951.9</v>
      </c>
      <c r="K85">
        <v>0.08</v>
      </c>
      <c r="L85">
        <v>13578.74</v>
      </c>
      <c r="M85" t="s">
        <v>76</v>
      </c>
      <c r="N85" t="s">
        <v>71</v>
      </c>
      <c r="O85" t="s">
        <v>65</v>
      </c>
      <c r="P85" t="s">
        <v>59</v>
      </c>
      <c r="Q85" t="str">
        <f t="shared" si="7"/>
        <v>Completed</v>
      </c>
      <c r="R85" t="str">
        <f t="shared" si="8"/>
        <v>Store</v>
      </c>
      <c r="S85" t="str">
        <v>Upi</v>
      </c>
      <c r="T85" t="str">
        <v>Electronics</v>
      </c>
      <c r="U85" t="str">
        <f t="shared" si="9"/>
        <v>VALID</v>
      </c>
      <c r="V85" t="str">
        <f t="shared" si="10"/>
        <v>NORMAL</v>
      </c>
      <c r="W85" t="str">
        <f t="shared" si="11"/>
        <v>Valid</v>
      </c>
      <c r="X85">
        <f t="shared" si="13"/>
        <v>14759.5</v>
      </c>
      <c r="Y85">
        <f t="shared" si="12"/>
        <v>13578.74</v>
      </c>
    </row>
    <row r="86" spans="1:25" x14ac:dyDescent="0.3">
      <c r="A86" t="s">
        <v>244</v>
      </c>
      <c r="B86" s="1">
        <v>46060</v>
      </c>
      <c r="C86" t="s">
        <v>245</v>
      </c>
      <c r="D86" t="s">
        <v>105</v>
      </c>
      <c r="E86" t="s">
        <v>106</v>
      </c>
      <c r="F86" t="s">
        <v>40</v>
      </c>
      <c r="G86" t="s">
        <v>56</v>
      </c>
      <c r="H86" t="s">
        <v>123</v>
      </c>
      <c r="I86">
        <v>1</v>
      </c>
      <c r="J86">
        <v>7123.71</v>
      </c>
      <c r="K86">
        <v>0.15</v>
      </c>
      <c r="L86">
        <v>6055.15</v>
      </c>
      <c r="M86" t="s">
        <v>76</v>
      </c>
      <c r="O86" t="s">
        <v>65</v>
      </c>
      <c r="P86" t="s">
        <v>42</v>
      </c>
      <c r="Q86" t="str">
        <f t="shared" si="7"/>
        <v>Completed</v>
      </c>
      <c r="R86" t="str">
        <f t="shared" si="8"/>
        <v>Store</v>
      </c>
      <c r="S86" t="str">
        <v/>
      </c>
      <c r="T86" t="str">
        <v>Furniture</v>
      </c>
      <c r="U86" t="str">
        <f t="shared" si="9"/>
        <v>VALID</v>
      </c>
      <c r="V86" t="str">
        <f t="shared" si="10"/>
        <v>NORMAL</v>
      </c>
      <c r="W86" t="str">
        <f t="shared" si="11"/>
        <v>Valid</v>
      </c>
      <c r="X86">
        <f t="shared" si="13"/>
        <v>7123.71</v>
      </c>
      <c r="Y86">
        <f t="shared" si="12"/>
        <v>6055.1535000000003</v>
      </c>
    </row>
    <row r="87" spans="1:25" x14ac:dyDescent="0.3">
      <c r="A87" t="s">
        <v>246</v>
      </c>
      <c r="B87" s="1">
        <v>45457</v>
      </c>
      <c r="C87" t="s">
        <v>247</v>
      </c>
      <c r="D87" t="s">
        <v>79</v>
      </c>
      <c r="E87" t="s">
        <v>80</v>
      </c>
      <c r="F87" t="s">
        <v>31</v>
      </c>
      <c r="G87" t="s">
        <v>32</v>
      </c>
      <c r="H87" t="s">
        <v>33</v>
      </c>
      <c r="I87">
        <v>5</v>
      </c>
      <c r="J87">
        <v>11965.7</v>
      </c>
      <c r="K87">
        <v>0</v>
      </c>
      <c r="L87">
        <v>59828.5</v>
      </c>
      <c r="M87" t="s">
        <v>23</v>
      </c>
      <c r="O87" t="s">
        <v>25</v>
      </c>
      <c r="P87" t="s">
        <v>116</v>
      </c>
      <c r="Q87" t="str">
        <f t="shared" si="7"/>
        <v>Returned</v>
      </c>
      <c r="R87" t="str">
        <f t="shared" si="8"/>
        <v>Online</v>
      </c>
      <c r="S87" t="str">
        <v/>
      </c>
      <c r="T87" t="str">
        <v>Electronics</v>
      </c>
      <c r="U87" t="str">
        <f t="shared" si="9"/>
        <v>VALID</v>
      </c>
      <c r="V87" t="str">
        <f t="shared" si="10"/>
        <v>NORMAL</v>
      </c>
      <c r="W87" t="str">
        <f t="shared" si="11"/>
        <v>Valid</v>
      </c>
      <c r="X87">
        <f t="shared" si="13"/>
        <v>59828.5</v>
      </c>
      <c r="Y87">
        <f t="shared" si="12"/>
        <v>59828.5</v>
      </c>
    </row>
    <row r="88" spans="1:25" x14ac:dyDescent="0.3">
      <c r="A88" t="s">
        <v>248</v>
      </c>
      <c r="B88" s="1">
        <v>45951</v>
      </c>
      <c r="C88" t="s">
        <v>249</v>
      </c>
      <c r="D88" t="s">
        <v>53</v>
      </c>
      <c r="E88" t="s">
        <v>54</v>
      </c>
      <c r="F88" t="s">
        <v>55</v>
      </c>
      <c r="G88" t="s">
        <v>81</v>
      </c>
      <c r="H88" t="s">
        <v>135</v>
      </c>
      <c r="I88">
        <v>1</v>
      </c>
      <c r="J88">
        <v>232.09</v>
      </c>
      <c r="K88">
        <v>0.03</v>
      </c>
      <c r="L88">
        <v>225.13</v>
      </c>
      <c r="M88" t="s">
        <v>76</v>
      </c>
      <c r="N88" t="s">
        <v>24</v>
      </c>
      <c r="O88" t="s">
        <v>65</v>
      </c>
      <c r="P88" t="s">
        <v>59</v>
      </c>
      <c r="Q88" t="str">
        <f t="shared" si="7"/>
        <v>Completed</v>
      </c>
      <c r="R88" t="str">
        <f t="shared" si="8"/>
        <v>Store</v>
      </c>
      <c r="S88" t="str">
        <v>Debit Card</v>
      </c>
      <c r="T88" t="str">
        <v>Stationery</v>
      </c>
      <c r="U88" t="str">
        <f t="shared" si="9"/>
        <v>VALID</v>
      </c>
      <c r="V88" t="str">
        <f t="shared" si="10"/>
        <v>NORMAL</v>
      </c>
      <c r="W88" t="str">
        <f t="shared" si="11"/>
        <v>Valid</v>
      </c>
      <c r="X88">
        <f t="shared" si="13"/>
        <v>232.09</v>
      </c>
      <c r="Y88">
        <f t="shared" si="12"/>
        <v>225.12729999999999</v>
      </c>
    </row>
    <row r="89" spans="1:25" x14ac:dyDescent="0.3">
      <c r="A89" t="s">
        <v>250</v>
      </c>
      <c r="B89" s="1">
        <v>45903</v>
      </c>
      <c r="C89" t="s">
        <v>251</v>
      </c>
      <c r="D89" t="s">
        <v>18</v>
      </c>
      <c r="E89" t="s">
        <v>19</v>
      </c>
      <c r="F89" t="s">
        <v>20</v>
      </c>
      <c r="G89" t="s">
        <v>32</v>
      </c>
      <c r="H89" t="s">
        <v>75</v>
      </c>
      <c r="I89">
        <v>4</v>
      </c>
      <c r="J89">
        <v>831.86</v>
      </c>
      <c r="K89">
        <v>0</v>
      </c>
      <c r="L89">
        <v>3327.44</v>
      </c>
      <c r="M89" t="s">
        <v>48</v>
      </c>
      <c r="N89" t="s">
        <v>58</v>
      </c>
      <c r="O89" t="s">
        <v>25</v>
      </c>
      <c r="P89" t="s">
        <v>111</v>
      </c>
      <c r="Q89" t="str">
        <f t="shared" si="7"/>
        <v>Returned</v>
      </c>
      <c r="R89" t="str">
        <f t="shared" si="8"/>
        <v>Marketplace</v>
      </c>
      <c r="S89" t="str">
        <v>Credit Card</v>
      </c>
      <c r="T89" t="str">
        <v>Accessories</v>
      </c>
      <c r="U89" t="str">
        <f t="shared" si="9"/>
        <v>VALID</v>
      </c>
      <c r="V89" t="str">
        <f t="shared" si="10"/>
        <v>NORMAL</v>
      </c>
      <c r="W89" t="str">
        <f t="shared" si="11"/>
        <v>Valid</v>
      </c>
      <c r="X89">
        <f t="shared" si="13"/>
        <v>3327.44</v>
      </c>
      <c r="Y89">
        <f t="shared" si="12"/>
        <v>3327.44</v>
      </c>
    </row>
    <row r="90" spans="1:25" x14ac:dyDescent="0.3">
      <c r="A90" t="s">
        <v>252</v>
      </c>
      <c r="B90" s="1">
        <v>45593</v>
      </c>
      <c r="C90" t="s">
        <v>253</v>
      </c>
      <c r="D90" t="s">
        <v>53</v>
      </c>
      <c r="E90" t="s">
        <v>54</v>
      </c>
      <c r="F90" t="s">
        <v>55</v>
      </c>
      <c r="G90" t="s">
        <v>254</v>
      </c>
      <c r="H90" t="s">
        <v>93</v>
      </c>
      <c r="I90">
        <v>4</v>
      </c>
      <c r="J90">
        <v>220.17</v>
      </c>
      <c r="K90">
        <v>0.1</v>
      </c>
      <c r="L90">
        <v>792.61</v>
      </c>
      <c r="M90" t="s">
        <v>48</v>
      </c>
      <c r="N90" t="s">
        <v>58</v>
      </c>
      <c r="O90" t="s">
        <v>65</v>
      </c>
      <c r="P90" t="s">
        <v>72</v>
      </c>
      <c r="Q90" t="str">
        <f t="shared" si="7"/>
        <v>Completed</v>
      </c>
      <c r="R90" t="str">
        <f t="shared" si="8"/>
        <v>Marketplace</v>
      </c>
      <c r="S90" t="str">
        <v>Credit Card</v>
      </c>
      <c r="T90" t="str">
        <v>Stationery</v>
      </c>
      <c r="U90" t="str">
        <f t="shared" si="9"/>
        <v>VALID</v>
      </c>
      <c r="V90" t="str">
        <f t="shared" si="10"/>
        <v>NORMAL</v>
      </c>
      <c r="W90" t="str">
        <f t="shared" si="11"/>
        <v>Valid</v>
      </c>
      <c r="X90">
        <f t="shared" si="13"/>
        <v>880.68</v>
      </c>
      <c r="Y90">
        <f t="shared" si="12"/>
        <v>792.61199999999997</v>
      </c>
    </row>
    <row r="91" spans="1:25" x14ac:dyDescent="0.3">
      <c r="A91" t="s">
        <v>255</v>
      </c>
      <c r="B91" s="1">
        <v>46067</v>
      </c>
      <c r="D91" t="s">
        <v>105</v>
      </c>
      <c r="E91" t="s">
        <v>106</v>
      </c>
      <c r="F91" t="s">
        <v>40</v>
      </c>
      <c r="G91" t="s">
        <v>56</v>
      </c>
      <c r="H91" t="s">
        <v>64</v>
      </c>
      <c r="I91">
        <v>3</v>
      </c>
      <c r="J91">
        <v>7236.19</v>
      </c>
      <c r="K91">
        <v>0.08</v>
      </c>
      <c r="L91">
        <v>19971.88</v>
      </c>
      <c r="M91" t="s">
        <v>23</v>
      </c>
      <c r="N91" t="s">
        <v>58</v>
      </c>
      <c r="O91" t="s">
        <v>25</v>
      </c>
      <c r="P91" t="s">
        <v>102</v>
      </c>
      <c r="Q91" t="str">
        <f t="shared" si="7"/>
        <v>Returned</v>
      </c>
      <c r="R91" t="str">
        <f t="shared" si="8"/>
        <v>Online</v>
      </c>
      <c r="S91" t="str">
        <v>Credit Card</v>
      </c>
      <c r="T91" t="str">
        <v>Furniture</v>
      </c>
      <c r="U91" t="str">
        <f t="shared" si="9"/>
        <v>VALID</v>
      </c>
      <c r="V91" t="str">
        <f t="shared" si="10"/>
        <v>NORMAL</v>
      </c>
      <c r="W91" t="str">
        <f t="shared" si="11"/>
        <v>Valid</v>
      </c>
      <c r="X91">
        <f t="shared" si="13"/>
        <v>21708.57</v>
      </c>
      <c r="Y91">
        <f t="shared" si="12"/>
        <v>19971.884399999999</v>
      </c>
    </row>
    <row r="92" spans="1:25" x14ac:dyDescent="0.3">
      <c r="A92" t="s">
        <v>256</v>
      </c>
      <c r="B92" s="1">
        <v>45865</v>
      </c>
      <c r="C92" t="s">
        <v>257</v>
      </c>
      <c r="D92" t="s">
        <v>176</v>
      </c>
      <c r="E92" t="s">
        <v>177</v>
      </c>
      <c r="F92" t="s">
        <v>31</v>
      </c>
      <c r="G92" t="s">
        <v>56</v>
      </c>
      <c r="H92" t="s">
        <v>123</v>
      </c>
      <c r="I92">
        <v>1</v>
      </c>
      <c r="J92">
        <v>2091.44</v>
      </c>
      <c r="K92">
        <v>0</v>
      </c>
      <c r="L92">
        <v>2091.44</v>
      </c>
      <c r="M92" t="s">
        <v>23</v>
      </c>
      <c r="N92" t="s">
        <v>49</v>
      </c>
      <c r="O92" t="s">
        <v>25</v>
      </c>
      <c r="P92" t="s">
        <v>26</v>
      </c>
      <c r="Q92" t="str">
        <f t="shared" si="7"/>
        <v>Returned</v>
      </c>
      <c r="R92" t="str">
        <f t="shared" si="8"/>
        <v>Online</v>
      </c>
      <c r="S92" t="str">
        <v>Net Banking</v>
      </c>
      <c r="T92" t="str">
        <v>Electronics</v>
      </c>
      <c r="U92" t="str">
        <f t="shared" si="9"/>
        <v>VALID</v>
      </c>
      <c r="V92" t="str">
        <f t="shared" si="10"/>
        <v>NORMAL</v>
      </c>
      <c r="W92" t="str">
        <f t="shared" si="11"/>
        <v>Valid</v>
      </c>
      <c r="X92">
        <f t="shared" si="13"/>
        <v>2091.44</v>
      </c>
      <c r="Y92">
        <f t="shared" si="12"/>
        <v>2091.44</v>
      </c>
    </row>
    <row r="93" spans="1:25" x14ac:dyDescent="0.3">
      <c r="A93" t="s">
        <v>258</v>
      </c>
      <c r="B93" s="1">
        <v>45700</v>
      </c>
      <c r="C93" t="s">
        <v>259</v>
      </c>
      <c r="D93" t="s">
        <v>121</v>
      </c>
      <c r="E93" t="s">
        <v>122</v>
      </c>
      <c r="F93" t="s">
        <v>55</v>
      </c>
      <c r="G93" t="s">
        <v>260</v>
      </c>
      <c r="H93" t="s">
        <v>123</v>
      </c>
      <c r="I93">
        <v>1</v>
      </c>
      <c r="J93">
        <v>414.53</v>
      </c>
      <c r="K93">
        <v>0.1</v>
      </c>
      <c r="L93">
        <v>373.08</v>
      </c>
      <c r="M93" t="s">
        <v>23</v>
      </c>
      <c r="N93" t="s">
        <v>49</v>
      </c>
      <c r="O93" t="s">
        <v>65</v>
      </c>
      <c r="P93" t="s">
        <v>26</v>
      </c>
      <c r="Q93" t="str">
        <f t="shared" si="7"/>
        <v>Completed</v>
      </c>
      <c r="R93" t="str">
        <f t="shared" si="8"/>
        <v>Online</v>
      </c>
      <c r="S93" t="str">
        <v>Net Banking</v>
      </c>
      <c r="T93" t="str">
        <v>Stationery</v>
      </c>
      <c r="U93" t="str">
        <f t="shared" si="9"/>
        <v>VALID</v>
      </c>
      <c r="V93" t="str">
        <f t="shared" si="10"/>
        <v>NORMAL</v>
      </c>
      <c r="W93" t="str">
        <f t="shared" si="11"/>
        <v>Valid</v>
      </c>
      <c r="X93">
        <f t="shared" si="13"/>
        <v>414.53</v>
      </c>
      <c r="Y93">
        <f t="shared" si="12"/>
        <v>373.077</v>
      </c>
    </row>
    <row r="94" spans="1:25" x14ac:dyDescent="0.3">
      <c r="A94" t="s">
        <v>261</v>
      </c>
      <c r="B94" s="1">
        <v>45942</v>
      </c>
      <c r="C94" t="s">
        <v>262</v>
      </c>
      <c r="D94" t="s">
        <v>89</v>
      </c>
      <c r="E94" t="s">
        <v>90</v>
      </c>
      <c r="F94" t="s">
        <v>20</v>
      </c>
      <c r="G94" t="s">
        <v>32</v>
      </c>
      <c r="H94" t="s">
        <v>75</v>
      </c>
      <c r="I94">
        <v>4</v>
      </c>
      <c r="J94">
        <v>729.28</v>
      </c>
      <c r="K94">
        <v>0.2</v>
      </c>
      <c r="L94">
        <v>2333.6999999999998</v>
      </c>
      <c r="M94" t="s">
        <v>48</v>
      </c>
      <c r="N94" t="s">
        <v>24</v>
      </c>
      <c r="O94" t="s">
        <v>35</v>
      </c>
      <c r="P94" t="s">
        <v>42</v>
      </c>
      <c r="Q94" t="str">
        <f t="shared" si="7"/>
        <v>Cancelled</v>
      </c>
      <c r="R94" t="str">
        <f t="shared" si="8"/>
        <v>Marketplace</v>
      </c>
      <c r="S94" t="str">
        <v>Debit Card</v>
      </c>
      <c r="T94" t="str">
        <v>Accessories</v>
      </c>
      <c r="U94" t="str">
        <f t="shared" si="9"/>
        <v>VALID</v>
      </c>
      <c r="V94" t="str">
        <f t="shared" si="10"/>
        <v>NORMAL</v>
      </c>
      <c r="W94" t="str">
        <f t="shared" si="11"/>
        <v>Valid</v>
      </c>
      <c r="X94">
        <f t="shared" si="13"/>
        <v>2917.12</v>
      </c>
      <c r="Y94">
        <f t="shared" si="12"/>
        <v>2333.6959999999999</v>
      </c>
    </row>
    <row r="95" spans="1:25" x14ac:dyDescent="0.3">
      <c r="A95" t="s">
        <v>263</v>
      </c>
      <c r="B95" s="1">
        <v>46170</v>
      </c>
      <c r="C95" t="s">
        <v>264</v>
      </c>
      <c r="D95" t="s">
        <v>176</v>
      </c>
      <c r="E95" t="s">
        <v>177</v>
      </c>
      <c r="F95" t="s">
        <v>31</v>
      </c>
      <c r="G95" t="s">
        <v>32</v>
      </c>
      <c r="H95" t="s">
        <v>75</v>
      </c>
      <c r="I95">
        <v>3</v>
      </c>
      <c r="J95">
        <v>2064.16</v>
      </c>
      <c r="K95">
        <v>0.2</v>
      </c>
      <c r="L95">
        <v>4953.9799999999996</v>
      </c>
      <c r="M95" t="s">
        <v>48</v>
      </c>
      <c r="N95" t="s">
        <v>24</v>
      </c>
      <c r="O95" t="s">
        <v>65</v>
      </c>
      <c r="P95" t="s">
        <v>116</v>
      </c>
      <c r="Q95" t="str">
        <f t="shared" si="7"/>
        <v>Completed</v>
      </c>
      <c r="R95" t="str">
        <f t="shared" si="8"/>
        <v>Marketplace</v>
      </c>
      <c r="S95" t="str">
        <v>Debit Card</v>
      </c>
      <c r="T95" t="str">
        <v>Electronics</v>
      </c>
      <c r="U95" t="str">
        <f t="shared" si="9"/>
        <v>VALID</v>
      </c>
      <c r="V95" t="str">
        <f t="shared" si="10"/>
        <v>NORMAL</v>
      </c>
      <c r="W95" t="str">
        <f t="shared" si="11"/>
        <v>Valid</v>
      </c>
      <c r="X95">
        <f t="shared" si="13"/>
        <v>6192.48</v>
      </c>
      <c r="Y95">
        <f t="shared" si="12"/>
        <v>4953.9839999999995</v>
      </c>
    </row>
    <row r="96" spans="1:25" x14ac:dyDescent="0.3">
      <c r="A96" t="s">
        <v>265</v>
      </c>
      <c r="B96" s="1">
        <v>46168</v>
      </c>
      <c r="C96" t="s">
        <v>266</v>
      </c>
      <c r="D96" t="s">
        <v>176</v>
      </c>
      <c r="E96" t="s">
        <v>177</v>
      </c>
      <c r="F96" t="s">
        <v>31</v>
      </c>
      <c r="G96" t="s">
        <v>56</v>
      </c>
      <c r="H96" t="s">
        <v>57</v>
      </c>
      <c r="I96">
        <v>5</v>
      </c>
      <c r="J96">
        <v>2125.46</v>
      </c>
      <c r="K96">
        <v>0</v>
      </c>
      <c r="L96">
        <v>10627.3</v>
      </c>
      <c r="M96" t="s">
        <v>48</v>
      </c>
      <c r="N96" t="s">
        <v>34</v>
      </c>
      <c r="O96" t="s">
        <v>35</v>
      </c>
      <c r="P96" t="s">
        <v>26</v>
      </c>
      <c r="Q96" t="str">
        <f t="shared" si="7"/>
        <v>Cancelled</v>
      </c>
      <c r="R96" t="str">
        <f t="shared" si="8"/>
        <v>Marketplace</v>
      </c>
      <c r="S96" t="str">
        <v>Cash On Delivery</v>
      </c>
      <c r="T96" t="str">
        <v>Electronics</v>
      </c>
      <c r="U96" t="str">
        <f t="shared" si="9"/>
        <v>VALID</v>
      </c>
      <c r="V96" t="str">
        <f t="shared" si="10"/>
        <v>NORMAL</v>
      </c>
      <c r="W96" t="str">
        <f t="shared" si="11"/>
        <v>Valid</v>
      </c>
      <c r="X96">
        <f t="shared" si="13"/>
        <v>10627.3</v>
      </c>
      <c r="Y96">
        <f t="shared" si="12"/>
        <v>10627.3</v>
      </c>
    </row>
    <row r="97" spans="1:25" x14ac:dyDescent="0.3">
      <c r="A97" t="s">
        <v>267</v>
      </c>
      <c r="B97" s="1">
        <v>45608</v>
      </c>
      <c r="C97" t="s">
        <v>212</v>
      </c>
      <c r="D97" t="s">
        <v>170</v>
      </c>
      <c r="E97" t="s">
        <v>171</v>
      </c>
      <c r="F97" t="s">
        <v>31</v>
      </c>
      <c r="G97" t="s">
        <v>81</v>
      </c>
      <c r="H97" t="s">
        <v>87</v>
      </c>
      <c r="I97">
        <v>2</v>
      </c>
      <c r="J97">
        <v>67884.37</v>
      </c>
      <c r="K97">
        <v>0</v>
      </c>
      <c r="L97">
        <v>135768.74</v>
      </c>
      <c r="M97" t="s">
        <v>48</v>
      </c>
      <c r="N97" t="s">
        <v>34</v>
      </c>
      <c r="O97" t="s">
        <v>25</v>
      </c>
      <c r="P97" t="s">
        <v>59</v>
      </c>
      <c r="Q97" t="str">
        <f t="shared" si="7"/>
        <v>Returned</v>
      </c>
      <c r="R97" t="str">
        <f t="shared" si="8"/>
        <v>Marketplace</v>
      </c>
      <c r="S97" t="str">
        <v>Cash On Delivery</v>
      </c>
      <c r="T97" t="str">
        <v>Electronics</v>
      </c>
      <c r="U97" t="str">
        <f t="shared" si="9"/>
        <v>VALID</v>
      </c>
      <c r="V97" t="str">
        <f t="shared" si="10"/>
        <v>NORMAL</v>
      </c>
      <c r="W97" t="str">
        <f t="shared" si="11"/>
        <v>Valid</v>
      </c>
      <c r="X97">
        <f t="shared" si="13"/>
        <v>135768.74</v>
      </c>
      <c r="Y97">
        <f t="shared" si="12"/>
        <v>135768.74</v>
      </c>
    </row>
    <row r="98" spans="1:25" x14ac:dyDescent="0.3">
      <c r="A98" t="s">
        <v>268</v>
      </c>
      <c r="B98" s="1">
        <v>45588</v>
      </c>
      <c r="C98" t="s">
        <v>269</v>
      </c>
      <c r="D98" t="s">
        <v>89</v>
      </c>
      <c r="E98" t="s">
        <v>90</v>
      </c>
      <c r="F98" t="s">
        <v>20</v>
      </c>
      <c r="G98" t="s">
        <v>81</v>
      </c>
      <c r="H98" t="s">
        <v>98</v>
      </c>
      <c r="I98">
        <v>3</v>
      </c>
      <c r="J98">
        <v>653.5</v>
      </c>
      <c r="K98">
        <v>0</v>
      </c>
      <c r="L98">
        <v>1960.5</v>
      </c>
      <c r="M98" t="s">
        <v>76</v>
      </c>
      <c r="N98" t="s">
        <v>24</v>
      </c>
      <c r="O98" t="s">
        <v>35</v>
      </c>
      <c r="P98" t="s">
        <v>42</v>
      </c>
      <c r="Q98" t="str">
        <f t="shared" si="7"/>
        <v>Cancelled</v>
      </c>
      <c r="R98" t="str">
        <f t="shared" si="8"/>
        <v>Store</v>
      </c>
      <c r="S98" t="str">
        <v>Debit Card</v>
      </c>
      <c r="T98" t="str">
        <v>Accessories</v>
      </c>
      <c r="U98" t="str">
        <f t="shared" si="9"/>
        <v>VALID</v>
      </c>
      <c r="V98" t="str">
        <f t="shared" si="10"/>
        <v>NORMAL</v>
      </c>
      <c r="W98" t="str">
        <f t="shared" si="11"/>
        <v>Valid</v>
      </c>
      <c r="X98">
        <f t="shared" si="13"/>
        <v>1960.5</v>
      </c>
      <c r="Y98">
        <f t="shared" si="12"/>
        <v>1960.5</v>
      </c>
    </row>
    <row r="99" spans="1:25" x14ac:dyDescent="0.3">
      <c r="A99" t="s">
        <v>270</v>
      </c>
      <c r="B99" s="1">
        <v>46135</v>
      </c>
      <c r="C99" t="s">
        <v>186</v>
      </c>
      <c r="D99" t="s">
        <v>121</v>
      </c>
      <c r="E99" t="s">
        <v>122</v>
      </c>
      <c r="F99" t="s">
        <v>55</v>
      </c>
      <c r="G99" t="s">
        <v>32</v>
      </c>
      <c r="H99" t="s">
        <v>68</v>
      </c>
      <c r="I99">
        <v>2</v>
      </c>
      <c r="J99">
        <v>440.83</v>
      </c>
      <c r="K99">
        <v>0</v>
      </c>
      <c r="L99">
        <v>881.66</v>
      </c>
      <c r="M99" t="s">
        <v>76</v>
      </c>
      <c r="N99" t="s">
        <v>71</v>
      </c>
      <c r="O99" t="s">
        <v>25</v>
      </c>
      <c r="P99" t="s">
        <v>26</v>
      </c>
      <c r="Q99" t="str">
        <f t="shared" si="7"/>
        <v>Returned</v>
      </c>
      <c r="R99" t="str">
        <f t="shared" si="8"/>
        <v>Store</v>
      </c>
      <c r="S99" t="str">
        <v>Upi</v>
      </c>
      <c r="T99" t="str">
        <v>Stationery</v>
      </c>
      <c r="U99" t="str">
        <f t="shared" si="9"/>
        <v>VALID</v>
      </c>
      <c r="V99" t="str">
        <f t="shared" si="10"/>
        <v>NORMAL</v>
      </c>
      <c r="W99" t="str">
        <f t="shared" si="11"/>
        <v>Valid</v>
      </c>
      <c r="X99">
        <f t="shared" si="13"/>
        <v>881.66</v>
      </c>
      <c r="Y99">
        <f t="shared" si="12"/>
        <v>881.66</v>
      </c>
    </row>
    <row r="100" spans="1:25" x14ac:dyDescent="0.3">
      <c r="A100" t="s">
        <v>271</v>
      </c>
      <c r="B100" s="1">
        <v>45987</v>
      </c>
      <c r="C100" t="s">
        <v>272</v>
      </c>
      <c r="D100" t="s">
        <v>29</v>
      </c>
      <c r="E100" t="s">
        <v>30</v>
      </c>
      <c r="F100" t="s">
        <v>31</v>
      </c>
      <c r="G100" t="s">
        <v>21</v>
      </c>
      <c r="H100" t="s">
        <v>93</v>
      </c>
      <c r="I100">
        <v>4</v>
      </c>
      <c r="J100">
        <v>3322.59</v>
      </c>
      <c r="K100">
        <v>0</v>
      </c>
      <c r="L100">
        <v>13290.36</v>
      </c>
      <c r="M100" t="s">
        <v>48</v>
      </c>
      <c r="N100" t="s">
        <v>58</v>
      </c>
      <c r="O100" t="s">
        <v>65</v>
      </c>
      <c r="P100" t="s">
        <v>102</v>
      </c>
      <c r="Q100" t="str">
        <f t="shared" si="7"/>
        <v>Completed</v>
      </c>
      <c r="R100" t="str">
        <f t="shared" si="8"/>
        <v>Marketplace</v>
      </c>
      <c r="S100" t="str">
        <v>Credit Card</v>
      </c>
      <c r="T100" t="str">
        <v>Electronics</v>
      </c>
      <c r="U100" t="str">
        <f t="shared" si="9"/>
        <v>VALID</v>
      </c>
      <c r="V100" t="str">
        <f t="shared" si="10"/>
        <v>NORMAL</v>
      </c>
      <c r="W100" t="str">
        <f t="shared" si="11"/>
        <v>Valid</v>
      </c>
      <c r="X100">
        <f t="shared" si="13"/>
        <v>13290.36</v>
      </c>
      <c r="Y100">
        <f t="shared" si="12"/>
        <v>13290.36</v>
      </c>
    </row>
    <row r="101" spans="1:25" x14ac:dyDescent="0.3">
      <c r="A101" t="s">
        <v>273</v>
      </c>
      <c r="B101" s="1">
        <v>45505</v>
      </c>
      <c r="C101" t="s">
        <v>186</v>
      </c>
      <c r="D101" t="s">
        <v>96</v>
      </c>
      <c r="E101" t="s">
        <v>97</v>
      </c>
      <c r="F101" t="s">
        <v>31</v>
      </c>
      <c r="G101" t="s">
        <v>21</v>
      </c>
      <c r="H101" t="s">
        <v>126</v>
      </c>
      <c r="I101">
        <v>2</v>
      </c>
      <c r="J101">
        <v>1104.8599999999999</v>
      </c>
      <c r="K101">
        <v>0.2</v>
      </c>
      <c r="L101">
        <v>1767.78</v>
      </c>
      <c r="M101" t="s">
        <v>23</v>
      </c>
      <c r="N101" t="s">
        <v>49</v>
      </c>
      <c r="O101" t="s">
        <v>65</v>
      </c>
      <c r="P101" t="s">
        <v>72</v>
      </c>
      <c r="Q101" t="str">
        <f t="shared" si="7"/>
        <v>Completed</v>
      </c>
      <c r="R101" t="str">
        <f t="shared" si="8"/>
        <v>Online</v>
      </c>
      <c r="S101" t="str">
        <v>Net Banking</v>
      </c>
      <c r="T101" t="str">
        <v>Electronics</v>
      </c>
      <c r="U101" t="str">
        <f t="shared" si="9"/>
        <v>VALID</v>
      </c>
      <c r="V101" t="str">
        <f t="shared" si="10"/>
        <v>NORMAL</v>
      </c>
      <c r="W101" t="str">
        <f t="shared" si="11"/>
        <v>Valid</v>
      </c>
      <c r="X101">
        <f t="shared" si="13"/>
        <v>2209.7199999999998</v>
      </c>
      <c r="Y101">
        <f t="shared" si="12"/>
        <v>1767.7759999999998</v>
      </c>
    </row>
    <row r="102" spans="1:25" x14ac:dyDescent="0.3">
      <c r="A102" t="s">
        <v>274</v>
      </c>
      <c r="B102" s="1">
        <v>45984</v>
      </c>
      <c r="C102" t="s">
        <v>275</v>
      </c>
      <c r="D102" t="s">
        <v>121</v>
      </c>
      <c r="E102" t="s">
        <v>122</v>
      </c>
      <c r="F102" t="s">
        <v>55</v>
      </c>
      <c r="G102" t="s">
        <v>21</v>
      </c>
      <c r="H102" t="s">
        <v>93</v>
      </c>
      <c r="I102">
        <v>5</v>
      </c>
      <c r="J102">
        <v>431.11</v>
      </c>
      <c r="K102">
        <v>0.1</v>
      </c>
      <c r="L102">
        <v>1940</v>
      </c>
      <c r="M102" t="s">
        <v>48</v>
      </c>
      <c r="N102" t="s">
        <v>24</v>
      </c>
      <c r="O102" t="s">
        <v>65</v>
      </c>
      <c r="P102" t="s">
        <v>111</v>
      </c>
      <c r="Q102" t="str">
        <f t="shared" si="7"/>
        <v>Completed</v>
      </c>
      <c r="R102" t="str">
        <f t="shared" si="8"/>
        <v>Marketplace</v>
      </c>
      <c r="S102" t="str">
        <v>Debit Card</v>
      </c>
      <c r="T102" t="str">
        <v>Stationery</v>
      </c>
      <c r="U102" t="str">
        <f t="shared" si="9"/>
        <v>VALID</v>
      </c>
      <c r="V102" t="str">
        <f t="shared" si="10"/>
        <v>NORMAL</v>
      </c>
      <c r="W102" t="str">
        <f t="shared" si="11"/>
        <v>Valid</v>
      </c>
      <c r="X102">
        <f t="shared" si="13"/>
        <v>2155.5500000000002</v>
      </c>
      <c r="Y102">
        <f t="shared" si="12"/>
        <v>1939.9950000000001</v>
      </c>
    </row>
    <row r="103" spans="1:25" x14ac:dyDescent="0.3">
      <c r="A103" t="s">
        <v>276</v>
      </c>
      <c r="B103" s="1">
        <v>46070</v>
      </c>
      <c r="C103" t="s">
        <v>277</v>
      </c>
      <c r="D103" t="s">
        <v>62</v>
      </c>
      <c r="E103" t="s">
        <v>63</v>
      </c>
      <c r="F103" t="s">
        <v>31</v>
      </c>
      <c r="G103" t="s">
        <v>56</v>
      </c>
      <c r="H103" t="s">
        <v>123</v>
      </c>
      <c r="I103">
        <v>4</v>
      </c>
      <c r="J103">
        <v>2753.83</v>
      </c>
      <c r="K103">
        <v>0.1</v>
      </c>
      <c r="L103">
        <v>9913.7900000000009</v>
      </c>
      <c r="M103" t="s">
        <v>76</v>
      </c>
      <c r="N103" t="s">
        <v>34</v>
      </c>
      <c r="O103" t="s">
        <v>25</v>
      </c>
      <c r="P103" t="s">
        <v>50</v>
      </c>
      <c r="Q103" t="str">
        <f t="shared" si="7"/>
        <v>Returned</v>
      </c>
      <c r="R103" t="str">
        <f t="shared" si="8"/>
        <v>Store</v>
      </c>
      <c r="S103" t="str">
        <v>Cash On Delivery</v>
      </c>
      <c r="T103" t="str">
        <v>Electronics</v>
      </c>
      <c r="U103" t="str">
        <f t="shared" si="9"/>
        <v>VALID</v>
      </c>
      <c r="V103" t="str">
        <f t="shared" si="10"/>
        <v>NORMAL</v>
      </c>
      <c r="W103" t="str">
        <f t="shared" si="11"/>
        <v>Valid</v>
      </c>
      <c r="X103">
        <f t="shared" si="13"/>
        <v>11015.32</v>
      </c>
      <c r="Y103">
        <f t="shared" si="12"/>
        <v>9913.7880000000005</v>
      </c>
    </row>
    <row r="104" spans="1:25" x14ac:dyDescent="0.3">
      <c r="A104" t="s">
        <v>278</v>
      </c>
      <c r="B104" s="1">
        <v>45911</v>
      </c>
      <c r="C104" t="s">
        <v>95</v>
      </c>
      <c r="D104" t="s">
        <v>96</v>
      </c>
      <c r="E104" t="s">
        <v>97</v>
      </c>
      <c r="F104" t="s">
        <v>31</v>
      </c>
      <c r="G104" t="s">
        <v>21</v>
      </c>
      <c r="H104" t="s">
        <v>126</v>
      </c>
      <c r="I104">
        <v>2</v>
      </c>
      <c r="J104">
        <v>1259.03</v>
      </c>
      <c r="K104">
        <v>0.08</v>
      </c>
      <c r="L104">
        <v>2316.62</v>
      </c>
      <c r="M104" t="s">
        <v>48</v>
      </c>
      <c r="N104" t="s">
        <v>49</v>
      </c>
      <c r="O104" t="s">
        <v>65</v>
      </c>
      <c r="P104" t="s">
        <v>111</v>
      </c>
      <c r="Q104" t="str">
        <f t="shared" si="7"/>
        <v>Completed</v>
      </c>
      <c r="R104" t="str">
        <f t="shared" si="8"/>
        <v>Marketplace</v>
      </c>
      <c r="S104" t="str">
        <v>Net Banking</v>
      </c>
      <c r="T104" t="str">
        <v>Electronics</v>
      </c>
      <c r="U104" t="str">
        <f t="shared" si="9"/>
        <v>VALID</v>
      </c>
      <c r="V104" t="str">
        <f t="shared" si="10"/>
        <v>NORMAL</v>
      </c>
      <c r="W104" t="str">
        <f t="shared" si="11"/>
        <v>Valid</v>
      </c>
      <c r="X104">
        <f t="shared" si="13"/>
        <v>2518.06</v>
      </c>
      <c r="Y104">
        <f t="shared" si="12"/>
        <v>2316.6152000000002</v>
      </c>
    </row>
    <row r="105" spans="1:25" x14ac:dyDescent="0.3">
      <c r="A105" t="s">
        <v>279</v>
      </c>
      <c r="B105" s="1">
        <v>45664</v>
      </c>
      <c r="C105" t="s">
        <v>78</v>
      </c>
      <c r="D105" t="s">
        <v>85</v>
      </c>
      <c r="E105" t="s">
        <v>86</v>
      </c>
      <c r="F105" t="s">
        <v>20</v>
      </c>
      <c r="G105" t="s">
        <v>81</v>
      </c>
      <c r="H105" t="s">
        <v>82</v>
      </c>
      <c r="I105">
        <v>1</v>
      </c>
      <c r="J105">
        <v>1943.3</v>
      </c>
      <c r="K105">
        <v>0.1</v>
      </c>
      <c r="L105">
        <v>1748.97</v>
      </c>
      <c r="M105" t="s">
        <v>48</v>
      </c>
      <c r="N105" t="s">
        <v>24</v>
      </c>
      <c r="O105" t="s">
        <v>65</v>
      </c>
      <c r="P105" t="s">
        <v>59</v>
      </c>
      <c r="Q105" t="str">
        <f t="shared" si="7"/>
        <v>Completed</v>
      </c>
      <c r="R105" t="str">
        <f t="shared" si="8"/>
        <v>Marketplace</v>
      </c>
      <c r="S105" t="str">
        <v>Debit Card</v>
      </c>
      <c r="T105" t="str">
        <v>Accessories</v>
      </c>
      <c r="U105" t="str">
        <f t="shared" si="9"/>
        <v>VALID</v>
      </c>
      <c r="V105" t="str">
        <f t="shared" si="10"/>
        <v>NORMAL</v>
      </c>
      <c r="W105" t="str">
        <f t="shared" si="11"/>
        <v>Valid</v>
      </c>
      <c r="X105">
        <f t="shared" si="13"/>
        <v>1943.3</v>
      </c>
      <c r="Y105">
        <f t="shared" si="12"/>
        <v>1748.97</v>
      </c>
    </row>
    <row r="106" spans="1:25" x14ac:dyDescent="0.3">
      <c r="A106" t="s">
        <v>280</v>
      </c>
      <c r="B106" s="1">
        <v>45744</v>
      </c>
      <c r="C106" t="s">
        <v>175</v>
      </c>
      <c r="D106" t="s">
        <v>62</v>
      </c>
      <c r="E106" t="s">
        <v>63</v>
      </c>
      <c r="F106" t="s">
        <v>31</v>
      </c>
      <c r="G106" t="s">
        <v>81</v>
      </c>
      <c r="H106" t="s">
        <v>98</v>
      </c>
      <c r="I106">
        <v>3</v>
      </c>
      <c r="J106">
        <v>2739.69</v>
      </c>
      <c r="K106">
        <v>0.05</v>
      </c>
      <c r="L106">
        <v>7808.12</v>
      </c>
      <c r="M106" t="s">
        <v>23</v>
      </c>
      <c r="N106" t="s">
        <v>58</v>
      </c>
      <c r="O106" t="s">
        <v>65</v>
      </c>
      <c r="P106" t="s">
        <v>116</v>
      </c>
      <c r="Q106" t="str">
        <f t="shared" si="7"/>
        <v>Completed</v>
      </c>
      <c r="R106" t="str">
        <f t="shared" si="8"/>
        <v>Online</v>
      </c>
      <c r="S106" t="str">
        <v>Credit Card</v>
      </c>
      <c r="T106" t="str">
        <v>Electronics</v>
      </c>
      <c r="U106" t="str">
        <f t="shared" si="9"/>
        <v>VALID</v>
      </c>
      <c r="V106" t="str">
        <f t="shared" si="10"/>
        <v>NORMAL</v>
      </c>
      <c r="W106" t="str">
        <f t="shared" si="11"/>
        <v>Valid</v>
      </c>
      <c r="X106">
        <f t="shared" si="13"/>
        <v>8219.07</v>
      </c>
      <c r="Y106">
        <f t="shared" si="12"/>
        <v>7808.1165000000001</v>
      </c>
    </row>
    <row r="107" spans="1:25" x14ac:dyDescent="0.3">
      <c r="A107" t="s">
        <v>281</v>
      </c>
      <c r="B107" s="1">
        <v>45308</v>
      </c>
      <c r="C107" t="s">
        <v>108</v>
      </c>
      <c r="D107" t="s">
        <v>131</v>
      </c>
      <c r="E107" t="s">
        <v>132</v>
      </c>
      <c r="F107" t="s">
        <v>40</v>
      </c>
      <c r="G107" t="s">
        <v>56</v>
      </c>
      <c r="H107" t="s">
        <v>123</v>
      </c>
      <c r="I107">
        <v>5</v>
      </c>
      <c r="J107">
        <v>9261.7999999999993</v>
      </c>
      <c r="K107">
        <v>0.1</v>
      </c>
      <c r="L107">
        <v>41678.1</v>
      </c>
      <c r="M107" t="s">
        <v>48</v>
      </c>
      <c r="N107" t="s">
        <v>34</v>
      </c>
      <c r="O107" t="s">
        <v>25</v>
      </c>
      <c r="P107" t="s">
        <v>111</v>
      </c>
      <c r="Q107" t="str">
        <f t="shared" si="7"/>
        <v>Returned</v>
      </c>
      <c r="R107" t="str">
        <f t="shared" si="8"/>
        <v>Marketplace</v>
      </c>
      <c r="S107" t="str">
        <v>Cash On Delivery</v>
      </c>
      <c r="T107" t="str">
        <v>Furniture</v>
      </c>
      <c r="U107" t="str">
        <f t="shared" si="9"/>
        <v>VALID</v>
      </c>
      <c r="V107" t="str">
        <f t="shared" si="10"/>
        <v>NORMAL</v>
      </c>
      <c r="W107" t="str">
        <f t="shared" si="11"/>
        <v>Valid</v>
      </c>
      <c r="X107">
        <f t="shared" si="13"/>
        <v>46309</v>
      </c>
      <c r="Y107">
        <f t="shared" si="12"/>
        <v>41678.1</v>
      </c>
    </row>
    <row r="108" spans="1:25" x14ac:dyDescent="0.3">
      <c r="A108" t="s">
        <v>282</v>
      </c>
      <c r="B108" s="1">
        <v>45750</v>
      </c>
      <c r="C108" t="s">
        <v>283</v>
      </c>
      <c r="D108" t="s">
        <v>85</v>
      </c>
      <c r="E108" t="s">
        <v>86</v>
      </c>
      <c r="F108" t="s">
        <v>20</v>
      </c>
      <c r="G108" t="s">
        <v>32</v>
      </c>
      <c r="H108" t="s">
        <v>75</v>
      </c>
      <c r="I108">
        <v>2</v>
      </c>
      <c r="J108">
        <v>1723.71</v>
      </c>
      <c r="K108">
        <v>0.05</v>
      </c>
      <c r="L108">
        <v>3275.05</v>
      </c>
      <c r="M108" t="s">
        <v>23</v>
      </c>
      <c r="N108" t="s">
        <v>34</v>
      </c>
      <c r="O108" t="s">
        <v>25</v>
      </c>
      <c r="P108" t="s">
        <v>42</v>
      </c>
      <c r="Q108" t="str">
        <f t="shared" si="7"/>
        <v>Returned</v>
      </c>
      <c r="R108" t="str">
        <f t="shared" si="8"/>
        <v>Online</v>
      </c>
      <c r="S108" t="str">
        <v>Cash On Delivery</v>
      </c>
      <c r="T108" t="str">
        <v>Accessories</v>
      </c>
      <c r="U108" t="str">
        <f t="shared" si="9"/>
        <v>VALID</v>
      </c>
      <c r="V108" t="str">
        <f t="shared" si="10"/>
        <v>NORMAL</v>
      </c>
      <c r="W108" t="str">
        <f t="shared" si="11"/>
        <v>Valid</v>
      </c>
      <c r="X108">
        <f t="shared" si="13"/>
        <v>3447.42</v>
      </c>
      <c r="Y108">
        <f t="shared" si="12"/>
        <v>3275.049</v>
      </c>
    </row>
    <row r="109" spans="1:25" x14ac:dyDescent="0.3">
      <c r="A109" t="s">
        <v>284</v>
      </c>
      <c r="B109" s="1">
        <v>45774</v>
      </c>
      <c r="C109" t="s">
        <v>285</v>
      </c>
      <c r="D109" t="s">
        <v>89</v>
      </c>
      <c r="E109" t="s">
        <v>90</v>
      </c>
      <c r="F109" t="s">
        <v>20</v>
      </c>
      <c r="G109" t="s">
        <v>21</v>
      </c>
      <c r="H109" t="s">
        <v>93</v>
      </c>
      <c r="I109">
        <v>2</v>
      </c>
      <c r="J109">
        <v>717.19</v>
      </c>
      <c r="K109">
        <v>0.1</v>
      </c>
      <c r="L109">
        <v>1290.94</v>
      </c>
      <c r="M109" t="s">
        <v>48</v>
      </c>
      <c r="N109" t="s">
        <v>58</v>
      </c>
      <c r="O109" t="s">
        <v>65</v>
      </c>
      <c r="P109" t="s">
        <v>42</v>
      </c>
      <c r="Q109" t="str">
        <f t="shared" si="7"/>
        <v>Completed</v>
      </c>
      <c r="R109" t="str">
        <f t="shared" si="8"/>
        <v>Marketplace</v>
      </c>
      <c r="S109" t="str">
        <v>Credit Card</v>
      </c>
      <c r="T109" t="str">
        <v>Accessories</v>
      </c>
      <c r="U109" t="str">
        <f t="shared" si="9"/>
        <v>VALID</v>
      </c>
      <c r="V109" t="str">
        <f t="shared" si="10"/>
        <v>NORMAL</v>
      </c>
      <c r="W109" t="str">
        <f t="shared" si="11"/>
        <v>Valid</v>
      </c>
      <c r="X109">
        <f t="shared" si="13"/>
        <v>1434.38</v>
      </c>
      <c r="Y109">
        <f t="shared" si="12"/>
        <v>1290.942</v>
      </c>
    </row>
    <row r="110" spans="1:25" x14ac:dyDescent="0.3">
      <c r="A110" t="s">
        <v>286</v>
      </c>
      <c r="B110" s="1">
        <v>45453</v>
      </c>
      <c r="C110" t="s">
        <v>287</v>
      </c>
      <c r="D110" t="s">
        <v>45</v>
      </c>
      <c r="E110" t="s">
        <v>46</v>
      </c>
      <c r="F110" t="s">
        <v>31</v>
      </c>
      <c r="G110" t="s">
        <v>56</v>
      </c>
      <c r="H110" t="s">
        <v>123</v>
      </c>
      <c r="I110">
        <v>5</v>
      </c>
      <c r="J110">
        <v>1817.71</v>
      </c>
      <c r="K110">
        <v>0</v>
      </c>
      <c r="L110">
        <v>9088.5499999999993</v>
      </c>
      <c r="M110" t="s">
        <v>48</v>
      </c>
      <c r="N110" t="s">
        <v>24</v>
      </c>
      <c r="O110" t="s">
        <v>35</v>
      </c>
      <c r="P110" t="s">
        <v>26</v>
      </c>
      <c r="Q110" t="str">
        <f t="shared" si="7"/>
        <v>Cancelled</v>
      </c>
      <c r="R110" t="str">
        <f t="shared" si="8"/>
        <v>Marketplace</v>
      </c>
      <c r="S110" t="str">
        <v>Debit Card</v>
      </c>
      <c r="T110" t="str">
        <v>Electronics</v>
      </c>
      <c r="U110" t="str">
        <f t="shared" si="9"/>
        <v>VALID</v>
      </c>
      <c r="V110" t="str">
        <f t="shared" si="10"/>
        <v>NORMAL</v>
      </c>
      <c r="W110" t="str">
        <f t="shared" si="11"/>
        <v>Valid</v>
      </c>
      <c r="X110">
        <f t="shared" si="13"/>
        <v>9088.5499999999993</v>
      </c>
      <c r="Y110">
        <f t="shared" si="12"/>
        <v>9088.5499999999993</v>
      </c>
    </row>
    <row r="111" spans="1:25" x14ac:dyDescent="0.3">
      <c r="A111" t="s">
        <v>288</v>
      </c>
      <c r="B111" s="1">
        <v>45691</v>
      </c>
      <c r="C111" t="s">
        <v>289</v>
      </c>
      <c r="D111" t="s">
        <v>38</v>
      </c>
      <c r="E111" t="s">
        <v>39</v>
      </c>
      <c r="F111" t="s">
        <v>40</v>
      </c>
      <c r="G111" t="s">
        <v>56</v>
      </c>
      <c r="H111" t="s">
        <v>57</v>
      </c>
      <c r="I111">
        <v>5</v>
      </c>
      <c r="J111">
        <v>1644.7</v>
      </c>
      <c r="K111">
        <v>0.2</v>
      </c>
      <c r="L111">
        <v>6578.8</v>
      </c>
      <c r="M111" t="s">
        <v>48</v>
      </c>
      <c r="N111" t="s">
        <v>34</v>
      </c>
      <c r="O111" t="s">
        <v>65</v>
      </c>
      <c r="P111" t="s">
        <v>111</v>
      </c>
      <c r="Q111" t="str">
        <f t="shared" si="7"/>
        <v>Completed</v>
      </c>
      <c r="R111" t="str">
        <f t="shared" si="8"/>
        <v>Marketplace</v>
      </c>
      <c r="S111" t="str">
        <v>Cash On Delivery</v>
      </c>
      <c r="T111" t="str">
        <v>Furniture</v>
      </c>
      <c r="U111" t="str">
        <f t="shared" si="9"/>
        <v>VALID</v>
      </c>
      <c r="V111" t="str">
        <f t="shared" si="10"/>
        <v>NORMAL</v>
      </c>
      <c r="W111" t="str">
        <f t="shared" si="11"/>
        <v>Valid</v>
      </c>
      <c r="X111">
        <f t="shared" si="13"/>
        <v>8223.5</v>
      </c>
      <c r="Y111">
        <f t="shared" si="12"/>
        <v>6578.8</v>
      </c>
    </row>
    <row r="112" spans="1:25" x14ac:dyDescent="0.3">
      <c r="A112" t="s">
        <v>290</v>
      </c>
      <c r="B112" s="1">
        <v>45720</v>
      </c>
      <c r="C112" t="s">
        <v>291</v>
      </c>
      <c r="D112" t="s">
        <v>45</v>
      </c>
      <c r="E112" t="s">
        <v>46</v>
      </c>
      <c r="F112" t="s">
        <v>31</v>
      </c>
      <c r="G112" t="s">
        <v>81</v>
      </c>
      <c r="H112" t="s">
        <v>87</v>
      </c>
      <c r="I112">
        <v>3</v>
      </c>
      <c r="J112">
        <v>1844.04</v>
      </c>
      <c r="K112">
        <v>0.05</v>
      </c>
      <c r="L112">
        <v>5255.51</v>
      </c>
      <c r="M112" t="s">
        <v>48</v>
      </c>
      <c r="N112" t="s">
        <v>49</v>
      </c>
      <c r="O112" t="s">
        <v>65</v>
      </c>
      <c r="P112" t="s">
        <v>102</v>
      </c>
      <c r="Q112" t="str">
        <f t="shared" si="7"/>
        <v>Completed</v>
      </c>
      <c r="R112" t="str">
        <f t="shared" si="8"/>
        <v>Marketplace</v>
      </c>
      <c r="S112" t="str">
        <v>Net Banking</v>
      </c>
      <c r="T112" t="str">
        <v>Electronics</v>
      </c>
      <c r="U112" t="str">
        <f t="shared" si="9"/>
        <v>VALID</v>
      </c>
      <c r="V112" t="str">
        <f t="shared" si="10"/>
        <v>NORMAL</v>
      </c>
      <c r="W112" t="str">
        <f t="shared" si="11"/>
        <v>Valid</v>
      </c>
      <c r="X112">
        <f t="shared" si="13"/>
        <v>5532.12</v>
      </c>
      <c r="Y112">
        <f t="shared" si="12"/>
        <v>5255.5140000000001</v>
      </c>
    </row>
    <row r="113" spans="1:25" x14ac:dyDescent="0.3">
      <c r="A113" t="s">
        <v>292</v>
      </c>
      <c r="B113" s="1">
        <v>45686</v>
      </c>
      <c r="C113" t="s">
        <v>293</v>
      </c>
      <c r="D113" t="s">
        <v>45</v>
      </c>
      <c r="E113" t="s">
        <v>46</v>
      </c>
      <c r="F113" t="s">
        <v>31</v>
      </c>
      <c r="G113" t="s">
        <v>81</v>
      </c>
      <c r="H113" t="s">
        <v>98</v>
      </c>
      <c r="I113">
        <v>5</v>
      </c>
      <c r="J113">
        <v>1685.66</v>
      </c>
      <c r="K113">
        <v>0.2</v>
      </c>
      <c r="L113">
        <v>6742.64</v>
      </c>
      <c r="M113" t="s">
        <v>23</v>
      </c>
      <c r="N113" t="s">
        <v>58</v>
      </c>
      <c r="O113" t="s">
        <v>65</v>
      </c>
      <c r="P113" t="s">
        <v>72</v>
      </c>
      <c r="Q113" t="str">
        <f t="shared" si="7"/>
        <v>Completed</v>
      </c>
      <c r="R113" t="str">
        <f t="shared" si="8"/>
        <v>Online</v>
      </c>
      <c r="S113" t="str">
        <v>Credit Card</v>
      </c>
      <c r="T113" t="str">
        <v>Electronics</v>
      </c>
      <c r="U113" t="str">
        <f t="shared" si="9"/>
        <v>VALID</v>
      </c>
      <c r="V113" t="str">
        <f t="shared" si="10"/>
        <v>NORMAL</v>
      </c>
      <c r="W113" t="str">
        <f t="shared" si="11"/>
        <v>Valid</v>
      </c>
      <c r="X113">
        <f t="shared" si="13"/>
        <v>8428.3000000000011</v>
      </c>
      <c r="Y113">
        <f t="shared" si="12"/>
        <v>6742.6400000000012</v>
      </c>
    </row>
    <row r="114" spans="1:25" x14ac:dyDescent="0.3">
      <c r="A114" t="s">
        <v>294</v>
      </c>
      <c r="B114" s="1">
        <v>46189</v>
      </c>
      <c r="C114" t="s">
        <v>295</v>
      </c>
      <c r="D114" t="s">
        <v>121</v>
      </c>
      <c r="E114" t="s">
        <v>122</v>
      </c>
      <c r="F114" t="s">
        <v>55</v>
      </c>
      <c r="G114" t="s">
        <v>56</v>
      </c>
      <c r="H114" t="s">
        <v>57</v>
      </c>
      <c r="J114">
        <v>417.67</v>
      </c>
      <c r="K114">
        <v>0.15</v>
      </c>
      <c r="L114">
        <v>1065.06</v>
      </c>
      <c r="M114" t="s">
        <v>23</v>
      </c>
      <c r="N114" t="s">
        <v>49</v>
      </c>
      <c r="O114" t="s">
        <v>65</v>
      </c>
      <c r="P114" t="s">
        <v>111</v>
      </c>
      <c r="Q114" t="str">
        <f t="shared" si="7"/>
        <v>Completed</v>
      </c>
      <c r="R114" t="str">
        <f t="shared" si="8"/>
        <v>Online</v>
      </c>
      <c r="S114" t="str">
        <v>Net Banking</v>
      </c>
      <c r="T114" t="str">
        <v>Stationery</v>
      </c>
      <c r="U114" t="str">
        <f t="shared" si="9"/>
        <v>INVALID</v>
      </c>
      <c r="V114" t="str">
        <f t="shared" si="10"/>
        <v>NORMAL</v>
      </c>
      <c r="W114" t="str">
        <f t="shared" si="11"/>
        <v>Valid</v>
      </c>
      <c r="X114">
        <f t="shared" si="13"/>
        <v>0</v>
      </c>
      <c r="Y114">
        <f t="shared" si="12"/>
        <v>0</v>
      </c>
    </row>
    <row r="115" spans="1:25" x14ac:dyDescent="0.3">
      <c r="A115" t="s">
        <v>296</v>
      </c>
      <c r="B115" s="1">
        <v>45347</v>
      </c>
      <c r="C115" t="s">
        <v>297</v>
      </c>
      <c r="D115" t="s">
        <v>62</v>
      </c>
      <c r="E115" t="s">
        <v>63</v>
      </c>
      <c r="F115" t="s">
        <v>31</v>
      </c>
      <c r="G115" t="s">
        <v>21</v>
      </c>
      <c r="H115" t="s">
        <v>93</v>
      </c>
      <c r="I115">
        <v>3</v>
      </c>
      <c r="J115">
        <v>2711.33</v>
      </c>
      <c r="K115">
        <v>0.03</v>
      </c>
      <c r="L115">
        <v>7889.97</v>
      </c>
      <c r="M115" t="s">
        <v>23</v>
      </c>
      <c r="N115" t="s">
        <v>24</v>
      </c>
      <c r="O115" t="s">
        <v>65</v>
      </c>
      <c r="P115" t="s">
        <v>72</v>
      </c>
      <c r="Q115" t="str">
        <f t="shared" si="7"/>
        <v>Completed</v>
      </c>
      <c r="R115" t="str">
        <f t="shared" si="8"/>
        <v>Online</v>
      </c>
      <c r="S115" t="str">
        <v>Debit Card</v>
      </c>
      <c r="T115" t="str">
        <v>Electronics</v>
      </c>
      <c r="U115" t="str">
        <f t="shared" si="9"/>
        <v>VALID</v>
      </c>
      <c r="V115" t="str">
        <f t="shared" si="10"/>
        <v>NORMAL</v>
      </c>
      <c r="W115" t="str">
        <f t="shared" si="11"/>
        <v>Valid</v>
      </c>
      <c r="X115">
        <f t="shared" si="13"/>
        <v>8133.99</v>
      </c>
      <c r="Y115">
        <f t="shared" si="12"/>
        <v>7889.9703</v>
      </c>
    </row>
    <row r="116" spans="1:25" x14ac:dyDescent="0.3">
      <c r="A116" t="s">
        <v>298</v>
      </c>
      <c r="B116" s="1">
        <v>45556</v>
      </c>
      <c r="C116" t="s">
        <v>299</v>
      </c>
      <c r="D116" t="s">
        <v>96</v>
      </c>
      <c r="E116" t="s">
        <v>97</v>
      </c>
      <c r="F116" t="s">
        <v>31</v>
      </c>
      <c r="G116" t="s">
        <v>56</v>
      </c>
      <c r="H116" t="s">
        <v>123</v>
      </c>
      <c r="I116">
        <v>5</v>
      </c>
      <c r="J116">
        <v>1201.57</v>
      </c>
      <c r="K116">
        <v>0.03</v>
      </c>
      <c r="L116">
        <v>5827.61</v>
      </c>
      <c r="M116" t="s">
        <v>76</v>
      </c>
      <c r="N116" t="s">
        <v>71</v>
      </c>
      <c r="O116" t="s">
        <v>65</v>
      </c>
      <c r="P116" t="s">
        <v>59</v>
      </c>
      <c r="Q116" t="str">
        <f t="shared" si="7"/>
        <v>Completed</v>
      </c>
      <c r="R116" t="str">
        <f t="shared" si="8"/>
        <v>Store</v>
      </c>
      <c r="S116" t="str">
        <v>Upi</v>
      </c>
      <c r="T116" t="str">
        <v>Electronics</v>
      </c>
      <c r="U116" t="str">
        <f t="shared" si="9"/>
        <v>VALID</v>
      </c>
      <c r="V116" t="str">
        <f t="shared" si="10"/>
        <v>NORMAL</v>
      </c>
      <c r="W116" t="str">
        <f t="shared" si="11"/>
        <v>Valid</v>
      </c>
      <c r="X116">
        <f t="shared" si="13"/>
        <v>6007.8499999999995</v>
      </c>
      <c r="Y116">
        <f t="shared" si="12"/>
        <v>5827.6144999999997</v>
      </c>
    </row>
    <row r="117" spans="1:25" x14ac:dyDescent="0.3">
      <c r="A117" t="s">
        <v>300</v>
      </c>
      <c r="B117" s="1">
        <v>45685</v>
      </c>
      <c r="D117" t="s">
        <v>85</v>
      </c>
      <c r="E117" t="s">
        <v>86</v>
      </c>
      <c r="F117" t="s">
        <v>20</v>
      </c>
      <c r="G117" t="s">
        <v>32</v>
      </c>
      <c r="H117" t="s">
        <v>33</v>
      </c>
      <c r="I117">
        <v>3</v>
      </c>
      <c r="J117">
        <v>1730.98</v>
      </c>
      <c r="K117">
        <v>0.15</v>
      </c>
      <c r="L117">
        <v>4414</v>
      </c>
      <c r="M117" t="s">
        <v>76</v>
      </c>
      <c r="N117" t="s">
        <v>58</v>
      </c>
      <c r="O117" t="s">
        <v>25</v>
      </c>
      <c r="P117" t="s">
        <v>59</v>
      </c>
      <c r="Q117" t="str">
        <f t="shared" si="7"/>
        <v>Returned</v>
      </c>
      <c r="R117" t="str">
        <f t="shared" si="8"/>
        <v>Store</v>
      </c>
      <c r="S117" t="str">
        <v>Credit Card</v>
      </c>
      <c r="T117" t="str">
        <v>Accessories</v>
      </c>
      <c r="U117" t="str">
        <f t="shared" si="9"/>
        <v>VALID</v>
      </c>
      <c r="V117" t="str">
        <f t="shared" si="10"/>
        <v>NORMAL</v>
      </c>
      <c r="W117" t="str">
        <f t="shared" si="11"/>
        <v>Valid</v>
      </c>
      <c r="X117">
        <f t="shared" si="13"/>
        <v>5192.9400000000005</v>
      </c>
      <c r="Y117">
        <f t="shared" si="12"/>
        <v>4413.9990000000007</v>
      </c>
    </row>
    <row r="118" spans="1:25" x14ac:dyDescent="0.3">
      <c r="A118" t="s">
        <v>301</v>
      </c>
      <c r="B118" s="1">
        <v>46079</v>
      </c>
      <c r="C118" t="s">
        <v>302</v>
      </c>
      <c r="D118" t="s">
        <v>29</v>
      </c>
      <c r="E118" t="s">
        <v>30</v>
      </c>
      <c r="F118" t="s">
        <v>31</v>
      </c>
      <c r="G118" t="s">
        <v>56</v>
      </c>
      <c r="H118" t="s">
        <v>123</v>
      </c>
      <c r="I118">
        <v>2</v>
      </c>
      <c r="J118">
        <v>3420.36</v>
      </c>
      <c r="K118">
        <v>0.15</v>
      </c>
      <c r="L118">
        <v>5814.61</v>
      </c>
      <c r="M118" t="s">
        <v>23</v>
      </c>
      <c r="N118" t="s">
        <v>24</v>
      </c>
      <c r="O118" t="s">
        <v>65</v>
      </c>
      <c r="P118" t="s">
        <v>111</v>
      </c>
      <c r="Q118" t="str">
        <f t="shared" si="7"/>
        <v>Completed</v>
      </c>
      <c r="R118" t="str">
        <f t="shared" si="8"/>
        <v>Online</v>
      </c>
      <c r="S118" t="str">
        <v>Debit Card</v>
      </c>
      <c r="T118" t="str">
        <v>Electronics</v>
      </c>
      <c r="U118" t="str">
        <f t="shared" si="9"/>
        <v>VALID</v>
      </c>
      <c r="V118" t="str">
        <f t="shared" si="10"/>
        <v>NORMAL</v>
      </c>
      <c r="W118" t="str">
        <f t="shared" si="11"/>
        <v>Valid</v>
      </c>
      <c r="X118">
        <f t="shared" si="13"/>
        <v>6840.72</v>
      </c>
      <c r="Y118">
        <f t="shared" si="12"/>
        <v>5814.6120000000001</v>
      </c>
    </row>
    <row r="119" spans="1:25" x14ac:dyDescent="0.3">
      <c r="A119" t="s">
        <v>303</v>
      </c>
      <c r="B119" s="1">
        <v>45940</v>
      </c>
      <c r="C119" t="s">
        <v>304</v>
      </c>
      <c r="D119" t="s">
        <v>45</v>
      </c>
      <c r="E119" t="s">
        <v>46</v>
      </c>
      <c r="F119" t="s">
        <v>31</v>
      </c>
      <c r="G119" t="s">
        <v>81</v>
      </c>
      <c r="H119" t="s">
        <v>135</v>
      </c>
      <c r="I119">
        <v>4</v>
      </c>
      <c r="J119">
        <v>1695.8</v>
      </c>
      <c r="K119">
        <v>0</v>
      </c>
      <c r="L119">
        <v>6783.2</v>
      </c>
      <c r="M119" t="s">
        <v>23</v>
      </c>
      <c r="N119" t="s">
        <v>71</v>
      </c>
      <c r="O119" t="s">
        <v>25</v>
      </c>
      <c r="P119" t="s">
        <v>50</v>
      </c>
      <c r="Q119" t="str">
        <f t="shared" si="7"/>
        <v>Returned</v>
      </c>
      <c r="R119" t="str">
        <f t="shared" si="8"/>
        <v>Online</v>
      </c>
      <c r="S119" t="str">
        <v>Upi</v>
      </c>
      <c r="T119" t="str">
        <v>Electronics</v>
      </c>
      <c r="U119" t="str">
        <f t="shared" si="9"/>
        <v>VALID</v>
      </c>
      <c r="V119" t="str">
        <f t="shared" si="10"/>
        <v>NORMAL</v>
      </c>
      <c r="W119" t="str">
        <f t="shared" si="11"/>
        <v>Valid</v>
      </c>
      <c r="X119">
        <f t="shared" si="13"/>
        <v>6783.2</v>
      </c>
      <c r="Y119">
        <f t="shared" si="12"/>
        <v>6783.2</v>
      </c>
    </row>
    <row r="120" spans="1:25" x14ac:dyDescent="0.3">
      <c r="A120" t="s">
        <v>305</v>
      </c>
      <c r="B120" s="1">
        <v>46036</v>
      </c>
      <c r="C120" t="s">
        <v>306</v>
      </c>
      <c r="D120" t="s">
        <v>170</v>
      </c>
      <c r="E120" t="s">
        <v>171</v>
      </c>
      <c r="F120" t="s">
        <v>31</v>
      </c>
      <c r="G120" t="s">
        <v>81</v>
      </c>
      <c r="H120" t="s">
        <v>98</v>
      </c>
      <c r="I120">
        <v>1</v>
      </c>
      <c r="J120">
        <v>62313.04</v>
      </c>
      <c r="K120">
        <v>0.1</v>
      </c>
      <c r="L120">
        <v>56081.74</v>
      </c>
      <c r="M120" t="s">
        <v>76</v>
      </c>
      <c r="N120" t="s">
        <v>58</v>
      </c>
      <c r="O120" t="s">
        <v>65</v>
      </c>
      <c r="P120" t="s">
        <v>26</v>
      </c>
      <c r="Q120" t="str">
        <f t="shared" si="7"/>
        <v>Completed</v>
      </c>
      <c r="R120" t="str">
        <f t="shared" si="8"/>
        <v>Store</v>
      </c>
      <c r="S120" t="str">
        <v>Credit Card</v>
      </c>
      <c r="T120" t="str">
        <v>Electronics</v>
      </c>
      <c r="U120" t="str">
        <f t="shared" si="9"/>
        <v>VALID</v>
      </c>
      <c r="V120" t="str">
        <f t="shared" si="10"/>
        <v>NORMAL</v>
      </c>
      <c r="W120" t="str">
        <f t="shared" si="11"/>
        <v>Valid</v>
      </c>
      <c r="X120">
        <f t="shared" si="13"/>
        <v>62313.04</v>
      </c>
      <c r="Y120">
        <f t="shared" si="12"/>
        <v>56081.736000000004</v>
      </c>
    </row>
    <row r="121" spans="1:25" x14ac:dyDescent="0.3">
      <c r="A121" t="s">
        <v>307</v>
      </c>
      <c r="B121" s="1">
        <v>46066</v>
      </c>
      <c r="C121" t="s">
        <v>218</v>
      </c>
      <c r="D121" t="s">
        <v>53</v>
      </c>
      <c r="E121" t="s">
        <v>54</v>
      </c>
      <c r="F121" t="s">
        <v>55</v>
      </c>
      <c r="G121" t="s">
        <v>81</v>
      </c>
      <c r="H121" t="s">
        <v>98</v>
      </c>
      <c r="I121">
        <v>2</v>
      </c>
      <c r="J121">
        <v>224.19</v>
      </c>
      <c r="K121">
        <v>0.15</v>
      </c>
      <c r="L121">
        <v>381.12</v>
      </c>
      <c r="M121" t="s">
        <v>48</v>
      </c>
      <c r="N121" t="s">
        <v>49</v>
      </c>
      <c r="O121" t="s">
        <v>25</v>
      </c>
      <c r="P121" t="s">
        <v>111</v>
      </c>
      <c r="Q121" t="str">
        <f t="shared" si="7"/>
        <v>Returned</v>
      </c>
      <c r="R121" t="str">
        <f t="shared" si="8"/>
        <v>Marketplace</v>
      </c>
      <c r="S121" t="str">
        <v>Net Banking</v>
      </c>
      <c r="T121" t="str">
        <v>Stationery</v>
      </c>
      <c r="U121" t="str">
        <f t="shared" si="9"/>
        <v>VALID</v>
      </c>
      <c r="V121" t="str">
        <f t="shared" si="10"/>
        <v>NORMAL</v>
      </c>
      <c r="W121" t="str">
        <f t="shared" si="11"/>
        <v>Valid</v>
      </c>
      <c r="X121">
        <f t="shared" si="13"/>
        <v>448.38</v>
      </c>
      <c r="Y121">
        <f t="shared" si="12"/>
        <v>381.12299999999999</v>
      </c>
    </row>
    <row r="122" spans="1:25" x14ac:dyDescent="0.3">
      <c r="A122" t="s">
        <v>308</v>
      </c>
      <c r="B122" s="1">
        <v>45557</v>
      </c>
      <c r="C122" t="s">
        <v>309</v>
      </c>
      <c r="D122" t="s">
        <v>79</v>
      </c>
      <c r="E122" t="s">
        <v>80</v>
      </c>
      <c r="F122" t="s">
        <v>31</v>
      </c>
      <c r="G122" t="s">
        <v>81</v>
      </c>
      <c r="H122" t="s">
        <v>135</v>
      </c>
      <c r="I122">
        <v>5</v>
      </c>
      <c r="J122">
        <v>12706.85</v>
      </c>
      <c r="K122">
        <v>0.08</v>
      </c>
      <c r="L122">
        <v>58451.51</v>
      </c>
      <c r="M122" t="s">
        <v>48</v>
      </c>
      <c r="N122" t="s">
        <v>71</v>
      </c>
      <c r="O122" t="s">
        <v>65</v>
      </c>
      <c r="P122" t="s">
        <v>26</v>
      </c>
      <c r="Q122" t="str">
        <f t="shared" si="7"/>
        <v>Completed</v>
      </c>
      <c r="R122" t="str">
        <f t="shared" si="8"/>
        <v>Marketplace</v>
      </c>
      <c r="S122" t="str">
        <v>Upi</v>
      </c>
      <c r="T122" t="str">
        <v>Electronics</v>
      </c>
      <c r="U122" t="str">
        <f t="shared" si="9"/>
        <v>VALID</v>
      </c>
      <c r="V122" t="str">
        <f t="shared" si="10"/>
        <v>NORMAL</v>
      </c>
      <c r="W122" t="str">
        <f t="shared" si="11"/>
        <v>Valid</v>
      </c>
      <c r="X122">
        <f t="shared" si="13"/>
        <v>63534.25</v>
      </c>
      <c r="Y122">
        <f t="shared" si="12"/>
        <v>58451.51</v>
      </c>
    </row>
    <row r="123" spans="1:25" x14ac:dyDescent="0.3">
      <c r="A123" t="s">
        <v>310</v>
      </c>
      <c r="B123" s="1">
        <v>46033</v>
      </c>
      <c r="C123" t="s">
        <v>311</v>
      </c>
      <c r="D123" t="s">
        <v>45</v>
      </c>
      <c r="E123" t="s">
        <v>46</v>
      </c>
      <c r="F123" t="s">
        <v>31</v>
      </c>
      <c r="G123" t="s">
        <v>56</v>
      </c>
      <c r="H123" t="s">
        <v>64</v>
      </c>
      <c r="I123">
        <v>3</v>
      </c>
      <c r="J123">
        <v>1829.01</v>
      </c>
      <c r="K123">
        <v>0.15</v>
      </c>
      <c r="L123">
        <v>4663.9799999999996</v>
      </c>
      <c r="M123" t="s">
        <v>76</v>
      </c>
      <c r="N123" t="s">
        <v>24</v>
      </c>
      <c r="O123" t="s">
        <v>65</v>
      </c>
      <c r="P123" t="s">
        <v>42</v>
      </c>
      <c r="Q123" t="str">
        <f t="shared" si="7"/>
        <v>Completed</v>
      </c>
      <c r="R123" t="str">
        <f t="shared" si="8"/>
        <v>Store</v>
      </c>
      <c r="S123" t="str">
        <v>Debit Card</v>
      </c>
      <c r="T123" t="str">
        <v>Electronics</v>
      </c>
      <c r="U123" t="str">
        <f t="shared" si="9"/>
        <v>VALID</v>
      </c>
      <c r="V123" t="str">
        <f t="shared" si="10"/>
        <v>NORMAL</v>
      </c>
      <c r="W123" t="str">
        <f t="shared" si="11"/>
        <v>Valid</v>
      </c>
      <c r="X123">
        <f t="shared" si="13"/>
        <v>5487.03</v>
      </c>
      <c r="Y123">
        <f t="shared" si="12"/>
        <v>4663.9754999999996</v>
      </c>
    </row>
    <row r="124" spans="1:25" x14ac:dyDescent="0.3">
      <c r="A124" t="s">
        <v>312</v>
      </c>
      <c r="B124" s="1">
        <v>46042</v>
      </c>
      <c r="C124" t="s">
        <v>313</v>
      </c>
      <c r="D124" t="s">
        <v>96</v>
      </c>
      <c r="E124" t="s">
        <v>97</v>
      </c>
      <c r="F124" t="s">
        <v>31</v>
      </c>
      <c r="G124" t="s">
        <v>32</v>
      </c>
      <c r="H124" t="s">
        <v>75</v>
      </c>
      <c r="I124">
        <v>1</v>
      </c>
      <c r="J124">
        <v>1107.6500000000001</v>
      </c>
      <c r="K124">
        <v>0.15</v>
      </c>
      <c r="L124">
        <v>941.5</v>
      </c>
      <c r="M124" t="s">
        <v>23</v>
      </c>
      <c r="N124" t="s">
        <v>49</v>
      </c>
      <c r="O124" t="s">
        <v>35</v>
      </c>
      <c r="P124" t="s">
        <v>111</v>
      </c>
      <c r="Q124" t="str">
        <f t="shared" si="7"/>
        <v>Cancelled</v>
      </c>
      <c r="R124" t="str">
        <f t="shared" si="8"/>
        <v>Online</v>
      </c>
      <c r="S124" t="str">
        <v>Net Banking</v>
      </c>
      <c r="T124" t="str">
        <v>Electronics</v>
      </c>
      <c r="U124" t="str">
        <f t="shared" si="9"/>
        <v>VALID</v>
      </c>
      <c r="V124" t="str">
        <f t="shared" si="10"/>
        <v>NORMAL</v>
      </c>
      <c r="W124" t="str">
        <f t="shared" si="11"/>
        <v>Valid</v>
      </c>
      <c r="X124">
        <f t="shared" si="13"/>
        <v>1107.6500000000001</v>
      </c>
      <c r="Y124">
        <f t="shared" si="12"/>
        <v>941.50250000000005</v>
      </c>
    </row>
    <row r="125" spans="1:25" x14ac:dyDescent="0.3">
      <c r="A125" t="s">
        <v>314</v>
      </c>
      <c r="B125" s="1">
        <v>45937</v>
      </c>
      <c r="C125" t="s">
        <v>315</v>
      </c>
      <c r="D125" t="s">
        <v>131</v>
      </c>
      <c r="E125" t="s">
        <v>132</v>
      </c>
      <c r="F125" t="s">
        <v>40</v>
      </c>
      <c r="G125" t="s">
        <v>21</v>
      </c>
      <c r="H125" t="s">
        <v>126</v>
      </c>
      <c r="I125">
        <v>5</v>
      </c>
      <c r="J125">
        <v>10092.83</v>
      </c>
      <c r="K125">
        <v>0.05</v>
      </c>
      <c r="L125">
        <v>47940.94</v>
      </c>
      <c r="M125" t="s">
        <v>23</v>
      </c>
      <c r="N125" t="s">
        <v>71</v>
      </c>
      <c r="O125" t="s">
        <v>35</v>
      </c>
      <c r="P125" t="s">
        <v>50</v>
      </c>
      <c r="Q125" t="str">
        <f t="shared" si="7"/>
        <v>Cancelled</v>
      </c>
      <c r="R125" t="str">
        <f t="shared" si="8"/>
        <v>Online</v>
      </c>
      <c r="S125" t="str">
        <v>Upi</v>
      </c>
      <c r="T125" t="str">
        <v>Furniture</v>
      </c>
      <c r="U125" t="str">
        <f t="shared" si="9"/>
        <v>VALID</v>
      </c>
      <c r="V125" t="str">
        <f t="shared" si="10"/>
        <v>NORMAL</v>
      </c>
      <c r="W125" t="str">
        <f t="shared" si="11"/>
        <v>Valid</v>
      </c>
      <c r="X125">
        <f t="shared" si="13"/>
        <v>50464.15</v>
      </c>
      <c r="Y125">
        <f t="shared" si="12"/>
        <v>47940.942500000005</v>
      </c>
    </row>
    <row r="126" spans="1:25" x14ac:dyDescent="0.3">
      <c r="A126" t="s">
        <v>316</v>
      </c>
      <c r="B126" s="1">
        <v>45903</v>
      </c>
      <c r="C126" t="s">
        <v>264</v>
      </c>
      <c r="D126" t="s">
        <v>29</v>
      </c>
      <c r="E126" t="s">
        <v>30</v>
      </c>
      <c r="F126" t="s">
        <v>31</v>
      </c>
      <c r="G126" t="s">
        <v>81</v>
      </c>
      <c r="H126" t="s">
        <v>87</v>
      </c>
      <c r="I126">
        <v>1</v>
      </c>
      <c r="J126">
        <v>3451.79</v>
      </c>
      <c r="K126">
        <v>0.15</v>
      </c>
      <c r="L126">
        <v>2934.02</v>
      </c>
      <c r="M126" t="s">
        <v>23</v>
      </c>
      <c r="N126" t="s">
        <v>34</v>
      </c>
      <c r="O126" t="s">
        <v>65</v>
      </c>
      <c r="P126" t="s">
        <v>116</v>
      </c>
      <c r="Q126" t="str">
        <f t="shared" si="7"/>
        <v>Completed</v>
      </c>
      <c r="R126" t="str">
        <f t="shared" si="8"/>
        <v>Online</v>
      </c>
      <c r="S126" t="str">
        <v>Cash On Delivery</v>
      </c>
      <c r="T126" t="str">
        <v>Electronics</v>
      </c>
      <c r="U126" t="str">
        <f t="shared" si="9"/>
        <v>VALID</v>
      </c>
      <c r="V126" t="str">
        <f t="shared" si="10"/>
        <v>NORMAL</v>
      </c>
      <c r="W126" t="str">
        <f t="shared" si="11"/>
        <v>Valid</v>
      </c>
      <c r="X126">
        <f t="shared" si="13"/>
        <v>3451.79</v>
      </c>
      <c r="Y126">
        <f t="shared" si="12"/>
        <v>2934.0214999999998</v>
      </c>
    </row>
    <row r="127" spans="1:25" x14ac:dyDescent="0.3">
      <c r="A127" t="s">
        <v>317</v>
      </c>
      <c r="B127" s="1">
        <v>46197</v>
      </c>
      <c r="C127" t="s">
        <v>139</v>
      </c>
      <c r="D127" t="s">
        <v>85</v>
      </c>
      <c r="E127" t="s">
        <v>86</v>
      </c>
      <c r="F127" t="s">
        <v>20</v>
      </c>
      <c r="G127" t="s">
        <v>21</v>
      </c>
      <c r="H127" t="s">
        <v>41</v>
      </c>
      <c r="I127">
        <v>2</v>
      </c>
      <c r="J127">
        <v>1914.42</v>
      </c>
      <c r="K127">
        <v>0</v>
      </c>
      <c r="L127">
        <v>3828.84</v>
      </c>
      <c r="M127" t="s">
        <v>76</v>
      </c>
      <c r="N127" t="s">
        <v>24</v>
      </c>
      <c r="O127" t="s">
        <v>65</v>
      </c>
      <c r="P127" t="s">
        <v>116</v>
      </c>
      <c r="Q127" t="str">
        <f t="shared" si="7"/>
        <v>Completed</v>
      </c>
      <c r="R127" t="str">
        <f t="shared" si="8"/>
        <v>Store</v>
      </c>
      <c r="S127" t="str">
        <v>Debit Card</v>
      </c>
      <c r="T127" t="str">
        <v>Accessories</v>
      </c>
      <c r="U127" t="str">
        <f t="shared" si="9"/>
        <v>VALID</v>
      </c>
      <c r="V127" t="str">
        <f t="shared" si="10"/>
        <v>NORMAL</v>
      </c>
      <c r="W127" t="str">
        <f t="shared" si="11"/>
        <v>Valid</v>
      </c>
      <c r="X127">
        <f t="shared" si="13"/>
        <v>3828.84</v>
      </c>
      <c r="Y127">
        <f t="shared" si="12"/>
        <v>3828.84</v>
      </c>
    </row>
    <row r="128" spans="1:25" x14ac:dyDescent="0.3">
      <c r="A128" t="s">
        <v>318</v>
      </c>
      <c r="B128" s="1">
        <v>45458</v>
      </c>
      <c r="C128" t="s">
        <v>319</v>
      </c>
      <c r="D128" t="s">
        <v>131</v>
      </c>
      <c r="E128" t="s">
        <v>132</v>
      </c>
      <c r="F128" t="s">
        <v>40</v>
      </c>
      <c r="G128" t="s">
        <v>21</v>
      </c>
      <c r="H128" t="s">
        <v>93</v>
      </c>
      <c r="I128">
        <v>1</v>
      </c>
      <c r="J128">
        <v>9188.0300000000007</v>
      </c>
      <c r="K128">
        <v>0.08</v>
      </c>
      <c r="L128">
        <v>8452.99</v>
      </c>
      <c r="M128" t="s">
        <v>76</v>
      </c>
      <c r="N128" t="s">
        <v>34</v>
      </c>
      <c r="O128" t="s">
        <v>25</v>
      </c>
      <c r="P128" t="s">
        <v>50</v>
      </c>
      <c r="Q128" t="str">
        <f t="shared" si="7"/>
        <v>Returned</v>
      </c>
      <c r="R128" t="str">
        <f t="shared" si="8"/>
        <v>Store</v>
      </c>
      <c r="S128" t="str">
        <v>Cash On Delivery</v>
      </c>
      <c r="T128" t="str">
        <v>Furniture</v>
      </c>
      <c r="U128" t="str">
        <f t="shared" si="9"/>
        <v>VALID</v>
      </c>
      <c r="V128" t="str">
        <f t="shared" si="10"/>
        <v>NORMAL</v>
      </c>
      <c r="W128" t="str">
        <f t="shared" si="11"/>
        <v>Valid</v>
      </c>
      <c r="X128">
        <f t="shared" si="13"/>
        <v>9188.0300000000007</v>
      </c>
      <c r="Y128">
        <f t="shared" si="12"/>
        <v>8452.9876000000004</v>
      </c>
    </row>
    <row r="129" spans="1:25" x14ac:dyDescent="0.3">
      <c r="A129" t="s">
        <v>320</v>
      </c>
      <c r="B129" s="1">
        <v>45308</v>
      </c>
      <c r="C129" t="s">
        <v>321</v>
      </c>
      <c r="D129" t="s">
        <v>170</v>
      </c>
      <c r="E129" t="s">
        <v>171</v>
      </c>
      <c r="F129" t="s">
        <v>31</v>
      </c>
      <c r="G129" t="s">
        <v>21</v>
      </c>
      <c r="H129" t="s">
        <v>93</v>
      </c>
      <c r="I129">
        <v>1</v>
      </c>
      <c r="J129">
        <v>68888.44</v>
      </c>
      <c r="K129">
        <v>0.03</v>
      </c>
      <c r="L129">
        <v>66821.789999999994</v>
      </c>
      <c r="M129" t="s">
        <v>76</v>
      </c>
      <c r="N129" t="s">
        <v>49</v>
      </c>
      <c r="O129" t="s">
        <v>65</v>
      </c>
      <c r="P129" t="s">
        <v>116</v>
      </c>
      <c r="Q129" t="str">
        <f t="shared" si="7"/>
        <v>Completed</v>
      </c>
      <c r="R129" t="str">
        <f t="shared" si="8"/>
        <v>Store</v>
      </c>
      <c r="S129" t="str">
        <v>Net Banking</v>
      </c>
      <c r="T129" t="str">
        <v>Electronics</v>
      </c>
      <c r="U129" t="str">
        <f t="shared" si="9"/>
        <v>VALID</v>
      </c>
      <c r="V129" t="str">
        <f t="shared" si="10"/>
        <v>NORMAL</v>
      </c>
      <c r="W129" t="str">
        <f t="shared" si="11"/>
        <v>Valid</v>
      </c>
      <c r="X129">
        <f t="shared" si="13"/>
        <v>68888.44</v>
      </c>
      <c r="Y129">
        <f t="shared" si="12"/>
        <v>66821.786800000002</v>
      </c>
    </row>
    <row r="130" spans="1:25" x14ac:dyDescent="0.3">
      <c r="A130" t="s">
        <v>322</v>
      </c>
      <c r="B130" s="1">
        <v>45771</v>
      </c>
      <c r="C130" t="s">
        <v>323</v>
      </c>
      <c r="D130" t="s">
        <v>105</v>
      </c>
      <c r="E130" t="s">
        <v>106</v>
      </c>
      <c r="F130" t="s">
        <v>40</v>
      </c>
      <c r="G130" t="s">
        <v>32</v>
      </c>
      <c r="H130" t="s">
        <v>33</v>
      </c>
      <c r="I130">
        <v>4</v>
      </c>
      <c r="J130">
        <v>7277.11</v>
      </c>
      <c r="K130">
        <v>0.08</v>
      </c>
      <c r="L130">
        <v>26779.759999999998</v>
      </c>
      <c r="M130" t="s">
        <v>48</v>
      </c>
      <c r="N130" t="s">
        <v>49</v>
      </c>
      <c r="O130" t="s">
        <v>25</v>
      </c>
      <c r="P130" t="s">
        <v>50</v>
      </c>
      <c r="Q130" t="str">
        <f t="shared" si="7"/>
        <v>Returned</v>
      </c>
      <c r="R130" t="str">
        <f t="shared" si="8"/>
        <v>Marketplace</v>
      </c>
      <c r="S130" t="str">
        <v>Net Banking</v>
      </c>
      <c r="T130" t="str">
        <v>Furniture</v>
      </c>
      <c r="U130" t="str">
        <f t="shared" si="9"/>
        <v>VALID</v>
      </c>
      <c r="V130" t="str">
        <f t="shared" si="10"/>
        <v>NORMAL</v>
      </c>
      <c r="W130" t="str">
        <f t="shared" si="11"/>
        <v>Valid</v>
      </c>
      <c r="X130">
        <f t="shared" si="13"/>
        <v>29108.44</v>
      </c>
      <c r="Y130">
        <f t="shared" si="12"/>
        <v>26779.764799999997</v>
      </c>
    </row>
    <row r="131" spans="1:25" x14ac:dyDescent="0.3">
      <c r="A131" t="s">
        <v>324</v>
      </c>
      <c r="B131" s="1">
        <v>45674</v>
      </c>
      <c r="C131" t="s">
        <v>325</v>
      </c>
      <c r="D131" t="s">
        <v>62</v>
      </c>
      <c r="E131" t="s">
        <v>63</v>
      </c>
      <c r="F131" t="s">
        <v>31</v>
      </c>
      <c r="G131" t="s">
        <v>21</v>
      </c>
      <c r="H131" t="s">
        <v>126</v>
      </c>
      <c r="I131">
        <v>5</v>
      </c>
      <c r="J131">
        <v>2932.62</v>
      </c>
      <c r="K131">
        <v>0</v>
      </c>
      <c r="L131">
        <v>14663.1</v>
      </c>
      <c r="M131" t="s">
        <v>76</v>
      </c>
      <c r="N131" t="s">
        <v>24</v>
      </c>
      <c r="O131" t="s">
        <v>25</v>
      </c>
      <c r="P131" t="s">
        <v>72</v>
      </c>
      <c r="Q131" t="str">
        <f t="shared" ref="Q131:Q194" si="14">PROPER(O131)</f>
        <v>Returned</v>
      </c>
      <c r="R131" t="str">
        <f t="shared" ref="R131:R194" si="15">PROPER(M131)</f>
        <v>Store</v>
      </c>
      <c r="S131" t="str">
        <v>Debit Card</v>
      </c>
      <c r="T131" t="str">
        <v>Electronics</v>
      </c>
      <c r="U131" t="str">
        <f t="shared" ref="U131:U194" si="16">IF(I131&lt;=0,"INVALID","VALID")</f>
        <v>VALID</v>
      </c>
      <c r="V131" t="str">
        <f t="shared" ref="V131:V194" si="17">IF(I131&gt;100,"REVIEW","NORMAL")</f>
        <v>NORMAL</v>
      </c>
      <c r="W131" t="str">
        <f t="shared" ref="W131:W194" si="18">IF(OR(K131&lt;0,K131&gt;1),"Invalid","Valid")</f>
        <v>Valid</v>
      </c>
      <c r="X131">
        <f t="shared" si="13"/>
        <v>14663.099999999999</v>
      </c>
      <c r="Y131">
        <f t="shared" ref="Y131:Y194" si="19">I131*J131-(I131*J131*K131)</f>
        <v>14663.099999999999</v>
      </c>
    </row>
    <row r="132" spans="1:25" x14ac:dyDescent="0.3">
      <c r="A132" t="s">
        <v>326</v>
      </c>
      <c r="B132" s="1">
        <v>45996</v>
      </c>
      <c r="C132" t="s">
        <v>327</v>
      </c>
      <c r="D132" t="s">
        <v>62</v>
      </c>
      <c r="E132" t="s">
        <v>63</v>
      </c>
      <c r="F132" t="s">
        <v>31</v>
      </c>
      <c r="G132" t="s">
        <v>21</v>
      </c>
      <c r="H132" t="s">
        <v>93</v>
      </c>
      <c r="I132">
        <v>2</v>
      </c>
      <c r="J132">
        <v>2642.92</v>
      </c>
      <c r="K132">
        <v>0.03</v>
      </c>
      <c r="L132">
        <v>5127.26</v>
      </c>
      <c r="M132" t="s">
        <v>48</v>
      </c>
      <c r="N132" t="s">
        <v>58</v>
      </c>
      <c r="O132" t="s">
        <v>65</v>
      </c>
      <c r="P132" t="s">
        <v>26</v>
      </c>
      <c r="Q132" t="str">
        <f t="shared" si="14"/>
        <v>Completed</v>
      </c>
      <c r="R132" t="str">
        <f t="shared" si="15"/>
        <v>Marketplace</v>
      </c>
      <c r="S132" t="str">
        <v>Credit Card</v>
      </c>
      <c r="T132" t="str">
        <v>Electronics</v>
      </c>
      <c r="U132" t="str">
        <f t="shared" si="16"/>
        <v>VALID</v>
      </c>
      <c r="V132" t="str">
        <f t="shared" si="17"/>
        <v>NORMAL</v>
      </c>
      <c r="W132" t="str">
        <f t="shared" si="18"/>
        <v>Valid</v>
      </c>
      <c r="X132">
        <f t="shared" ref="X132:X195" si="20">I132*J132</f>
        <v>5285.84</v>
      </c>
      <c r="Y132">
        <f t="shared" si="19"/>
        <v>5127.2647999999999</v>
      </c>
    </row>
    <row r="133" spans="1:25" x14ac:dyDescent="0.3">
      <c r="A133" t="s">
        <v>328</v>
      </c>
      <c r="B133" s="1">
        <v>45473</v>
      </c>
      <c r="C133" t="s">
        <v>329</v>
      </c>
      <c r="D133" t="s">
        <v>62</v>
      </c>
      <c r="E133" t="s">
        <v>63</v>
      </c>
      <c r="F133" t="s">
        <v>31</v>
      </c>
      <c r="G133" t="s">
        <v>32</v>
      </c>
      <c r="H133" t="s">
        <v>33</v>
      </c>
      <c r="I133">
        <v>5</v>
      </c>
      <c r="J133">
        <v>2671.04</v>
      </c>
      <c r="K133">
        <v>0.2</v>
      </c>
      <c r="L133">
        <v>10684.16</v>
      </c>
      <c r="M133" t="s">
        <v>48</v>
      </c>
      <c r="N133" t="s">
        <v>49</v>
      </c>
      <c r="O133" t="s">
        <v>65</v>
      </c>
      <c r="P133" t="s">
        <v>102</v>
      </c>
      <c r="Q133" t="str">
        <f t="shared" si="14"/>
        <v>Completed</v>
      </c>
      <c r="R133" t="str">
        <f t="shared" si="15"/>
        <v>Marketplace</v>
      </c>
      <c r="S133" t="str">
        <v>Net Banking</v>
      </c>
      <c r="T133" t="str">
        <v>Electronics</v>
      </c>
      <c r="U133" t="str">
        <f t="shared" si="16"/>
        <v>VALID</v>
      </c>
      <c r="V133" t="str">
        <f t="shared" si="17"/>
        <v>NORMAL</v>
      </c>
      <c r="W133" t="str">
        <f t="shared" si="18"/>
        <v>Valid</v>
      </c>
      <c r="X133">
        <f t="shared" si="20"/>
        <v>13355.2</v>
      </c>
      <c r="Y133">
        <f t="shared" si="19"/>
        <v>10684.16</v>
      </c>
    </row>
    <row r="134" spans="1:25" x14ac:dyDescent="0.3">
      <c r="A134" t="s">
        <v>330</v>
      </c>
      <c r="B134" s="1">
        <v>45881</v>
      </c>
      <c r="C134" t="s">
        <v>331</v>
      </c>
      <c r="D134" t="s">
        <v>105</v>
      </c>
      <c r="E134" t="s">
        <v>106</v>
      </c>
      <c r="F134" t="s">
        <v>40</v>
      </c>
      <c r="G134" t="s">
        <v>56</v>
      </c>
      <c r="H134" t="s">
        <v>101</v>
      </c>
      <c r="I134">
        <v>3</v>
      </c>
      <c r="J134">
        <v>7466.27</v>
      </c>
      <c r="K134">
        <v>0</v>
      </c>
      <c r="L134">
        <v>22398.81</v>
      </c>
      <c r="M134" t="s">
        <v>48</v>
      </c>
      <c r="N134" t="s">
        <v>34</v>
      </c>
      <c r="O134" t="s">
        <v>65</v>
      </c>
      <c r="P134" t="s">
        <v>59</v>
      </c>
      <c r="Q134" t="str">
        <f t="shared" si="14"/>
        <v>Completed</v>
      </c>
      <c r="R134" t="str">
        <f t="shared" si="15"/>
        <v>Marketplace</v>
      </c>
      <c r="S134" t="str">
        <v>Cash On Delivery</v>
      </c>
      <c r="T134" t="str">
        <v>Furniture</v>
      </c>
      <c r="U134" t="str">
        <f t="shared" si="16"/>
        <v>VALID</v>
      </c>
      <c r="V134" t="str">
        <f t="shared" si="17"/>
        <v>NORMAL</v>
      </c>
      <c r="W134" t="str">
        <f t="shared" si="18"/>
        <v>Valid</v>
      </c>
      <c r="X134">
        <f t="shared" si="20"/>
        <v>22398.81</v>
      </c>
      <c r="Y134">
        <f t="shared" si="19"/>
        <v>22398.81</v>
      </c>
    </row>
    <row r="135" spans="1:25" x14ac:dyDescent="0.3">
      <c r="A135" t="s">
        <v>332</v>
      </c>
      <c r="B135" s="1">
        <v>45387</v>
      </c>
      <c r="C135" t="s">
        <v>28</v>
      </c>
      <c r="D135" t="s">
        <v>18</v>
      </c>
      <c r="E135" t="s">
        <v>19</v>
      </c>
      <c r="F135" t="s">
        <v>20</v>
      </c>
      <c r="G135" t="s">
        <v>32</v>
      </c>
      <c r="H135" t="s">
        <v>68</v>
      </c>
      <c r="I135">
        <v>4</v>
      </c>
      <c r="J135">
        <v>890.54</v>
      </c>
      <c r="K135">
        <v>0.2</v>
      </c>
      <c r="L135">
        <v>2849.73</v>
      </c>
      <c r="M135" t="s">
        <v>23</v>
      </c>
      <c r="N135" t="s">
        <v>58</v>
      </c>
      <c r="O135" t="s">
        <v>65</v>
      </c>
      <c r="P135" t="s">
        <v>26</v>
      </c>
      <c r="Q135" t="str">
        <f t="shared" si="14"/>
        <v>Completed</v>
      </c>
      <c r="R135" t="str">
        <f t="shared" si="15"/>
        <v>Online</v>
      </c>
      <c r="S135" t="str">
        <v>Credit Card</v>
      </c>
      <c r="T135" t="str">
        <v>Accessories</v>
      </c>
      <c r="U135" t="str">
        <f t="shared" si="16"/>
        <v>VALID</v>
      </c>
      <c r="V135" t="str">
        <f t="shared" si="17"/>
        <v>NORMAL</v>
      </c>
      <c r="W135" t="str">
        <f t="shared" si="18"/>
        <v>Valid</v>
      </c>
      <c r="X135">
        <f t="shared" si="20"/>
        <v>3562.16</v>
      </c>
      <c r="Y135">
        <f t="shared" si="19"/>
        <v>2849.7280000000001</v>
      </c>
    </row>
    <row r="136" spans="1:25" x14ac:dyDescent="0.3">
      <c r="A136" t="s">
        <v>333</v>
      </c>
      <c r="B136" s="1">
        <v>45707</v>
      </c>
      <c r="C136" t="s">
        <v>334</v>
      </c>
      <c r="D136" t="s">
        <v>170</v>
      </c>
      <c r="E136" t="s">
        <v>171</v>
      </c>
      <c r="F136" t="s">
        <v>31</v>
      </c>
      <c r="G136" t="s">
        <v>81</v>
      </c>
      <c r="H136" t="s">
        <v>135</v>
      </c>
      <c r="I136">
        <v>5</v>
      </c>
      <c r="J136">
        <v>67280.850000000006</v>
      </c>
      <c r="K136">
        <v>0.2</v>
      </c>
      <c r="L136">
        <v>269123.40000000002</v>
      </c>
      <c r="M136" t="s">
        <v>48</v>
      </c>
      <c r="N136" t="s">
        <v>49</v>
      </c>
      <c r="O136" t="s">
        <v>65</v>
      </c>
      <c r="P136" t="s">
        <v>26</v>
      </c>
      <c r="Q136" t="str">
        <f t="shared" si="14"/>
        <v>Completed</v>
      </c>
      <c r="R136" t="str">
        <f t="shared" si="15"/>
        <v>Marketplace</v>
      </c>
      <c r="S136" t="str">
        <v>Net Banking</v>
      </c>
      <c r="T136" t="str">
        <v>Electronics</v>
      </c>
      <c r="U136" t="str">
        <f t="shared" si="16"/>
        <v>VALID</v>
      </c>
      <c r="V136" t="str">
        <f t="shared" si="17"/>
        <v>NORMAL</v>
      </c>
      <c r="W136" t="str">
        <f t="shared" si="18"/>
        <v>Valid</v>
      </c>
      <c r="X136">
        <f t="shared" si="20"/>
        <v>336404.25</v>
      </c>
      <c r="Y136">
        <f t="shared" si="19"/>
        <v>269123.40000000002</v>
      </c>
    </row>
    <row r="137" spans="1:25" x14ac:dyDescent="0.3">
      <c r="A137" t="s">
        <v>335</v>
      </c>
      <c r="B137" s="1">
        <v>45583</v>
      </c>
      <c r="C137" t="s">
        <v>336</v>
      </c>
      <c r="D137" t="s">
        <v>105</v>
      </c>
      <c r="E137" t="s">
        <v>106</v>
      </c>
      <c r="F137" t="s">
        <v>40</v>
      </c>
      <c r="G137" t="s">
        <v>21</v>
      </c>
      <c r="H137" t="s">
        <v>126</v>
      </c>
      <c r="I137">
        <v>3</v>
      </c>
      <c r="J137">
        <v>7095.33</v>
      </c>
      <c r="K137">
        <v>0.1</v>
      </c>
      <c r="L137">
        <v>19157.39</v>
      </c>
      <c r="M137" t="s">
        <v>76</v>
      </c>
      <c r="N137" t="s">
        <v>34</v>
      </c>
      <c r="O137" t="s">
        <v>65</v>
      </c>
      <c r="P137" t="s">
        <v>59</v>
      </c>
      <c r="Q137" t="str">
        <f t="shared" si="14"/>
        <v>Completed</v>
      </c>
      <c r="R137" t="str">
        <f t="shared" si="15"/>
        <v>Store</v>
      </c>
      <c r="S137" t="str">
        <v>Cash On Delivery</v>
      </c>
      <c r="T137" t="str">
        <v>Furniture</v>
      </c>
      <c r="U137" t="str">
        <f t="shared" si="16"/>
        <v>VALID</v>
      </c>
      <c r="V137" t="str">
        <f t="shared" si="17"/>
        <v>NORMAL</v>
      </c>
      <c r="W137" t="str">
        <f t="shared" si="18"/>
        <v>Valid</v>
      </c>
      <c r="X137">
        <f t="shared" si="20"/>
        <v>21285.989999999998</v>
      </c>
      <c r="Y137">
        <f t="shared" si="19"/>
        <v>19157.391</v>
      </c>
    </row>
    <row r="138" spans="1:25" x14ac:dyDescent="0.3">
      <c r="A138" t="s">
        <v>337</v>
      </c>
      <c r="B138" s="1">
        <v>45353</v>
      </c>
      <c r="C138" t="s">
        <v>166</v>
      </c>
      <c r="D138" t="s">
        <v>45</v>
      </c>
      <c r="E138" t="s">
        <v>46</v>
      </c>
      <c r="F138" t="s">
        <v>31</v>
      </c>
      <c r="G138" t="s">
        <v>56</v>
      </c>
      <c r="H138" t="s">
        <v>123</v>
      </c>
      <c r="I138">
        <v>2</v>
      </c>
      <c r="J138">
        <v>1693.76</v>
      </c>
      <c r="K138">
        <v>0.05</v>
      </c>
      <c r="L138">
        <v>3218.14</v>
      </c>
      <c r="M138" t="s">
        <v>23</v>
      </c>
      <c r="N138" t="s">
        <v>58</v>
      </c>
      <c r="O138" t="s">
        <v>35</v>
      </c>
      <c r="P138" t="s">
        <v>72</v>
      </c>
      <c r="Q138" t="str">
        <f t="shared" si="14"/>
        <v>Cancelled</v>
      </c>
      <c r="R138" t="str">
        <f t="shared" si="15"/>
        <v>Online</v>
      </c>
      <c r="S138" t="str">
        <v>Credit Card</v>
      </c>
      <c r="T138" t="str">
        <v>Electronics</v>
      </c>
      <c r="U138" t="str">
        <f t="shared" si="16"/>
        <v>VALID</v>
      </c>
      <c r="V138" t="str">
        <f t="shared" si="17"/>
        <v>NORMAL</v>
      </c>
      <c r="W138" t="str">
        <f t="shared" si="18"/>
        <v>Valid</v>
      </c>
      <c r="X138">
        <f t="shared" si="20"/>
        <v>3387.52</v>
      </c>
      <c r="Y138">
        <f t="shared" si="19"/>
        <v>3218.1439999999998</v>
      </c>
    </row>
    <row r="139" spans="1:25" x14ac:dyDescent="0.3">
      <c r="A139" t="s">
        <v>338</v>
      </c>
      <c r="B139" s="1">
        <v>45601</v>
      </c>
      <c r="C139" t="s">
        <v>339</v>
      </c>
      <c r="D139" t="s">
        <v>170</v>
      </c>
      <c r="E139" t="s">
        <v>171</v>
      </c>
      <c r="F139" t="s">
        <v>31</v>
      </c>
      <c r="G139" t="s">
        <v>32</v>
      </c>
      <c r="H139" t="s">
        <v>47</v>
      </c>
      <c r="I139">
        <v>4</v>
      </c>
      <c r="J139">
        <v>60828.81</v>
      </c>
      <c r="K139">
        <v>0.03</v>
      </c>
      <c r="L139">
        <v>236015.78</v>
      </c>
      <c r="M139" t="s">
        <v>76</v>
      </c>
      <c r="N139" t="s">
        <v>34</v>
      </c>
      <c r="O139" t="s">
        <v>65</v>
      </c>
      <c r="P139" t="s">
        <v>42</v>
      </c>
      <c r="Q139" t="str">
        <f t="shared" si="14"/>
        <v>Completed</v>
      </c>
      <c r="R139" t="str">
        <f t="shared" si="15"/>
        <v>Store</v>
      </c>
      <c r="S139" t="str">
        <v>Cash On Delivery</v>
      </c>
      <c r="T139" t="str">
        <v>Electronics</v>
      </c>
      <c r="U139" t="str">
        <f t="shared" si="16"/>
        <v>VALID</v>
      </c>
      <c r="V139" t="str">
        <f t="shared" si="17"/>
        <v>NORMAL</v>
      </c>
      <c r="W139" t="str">
        <f t="shared" si="18"/>
        <v>Valid</v>
      </c>
      <c r="X139">
        <f t="shared" si="20"/>
        <v>243315.24</v>
      </c>
      <c r="Y139">
        <f t="shared" si="19"/>
        <v>236015.78279999999</v>
      </c>
    </row>
    <row r="140" spans="1:25" x14ac:dyDescent="0.3">
      <c r="A140" t="s">
        <v>340</v>
      </c>
      <c r="B140" s="1">
        <v>45727</v>
      </c>
      <c r="C140" t="s">
        <v>341</v>
      </c>
      <c r="D140" t="s">
        <v>79</v>
      </c>
      <c r="E140" t="s">
        <v>80</v>
      </c>
      <c r="F140" t="s">
        <v>31</v>
      </c>
      <c r="G140" t="s">
        <v>32</v>
      </c>
      <c r="H140" t="s">
        <v>33</v>
      </c>
      <c r="I140">
        <v>1</v>
      </c>
      <c r="J140">
        <v>12436.83</v>
      </c>
      <c r="K140">
        <v>0.08</v>
      </c>
      <c r="L140">
        <v>11441.88</v>
      </c>
      <c r="M140" t="s">
        <v>23</v>
      </c>
      <c r="N140" t="s">
        <v>71</v>
      </c>
      <c r="O140" t="s">
        <v>65</v>
      </c>
      <c r="P140" t="s">
        <v>72</v>
      </c>
      <c r="Q140" t="str">
        <f t="shared" si="14"/>
        <v>Completed</v>
      </c>
      <c r="R140" t="str">
        <f t="shared" si="15"/>
        <v>Online</v>
      </c>
      <c r="S140" t="str">
        <v>Upi</v>
      </c>
      <c r="T140" t="str">
        <v>Electronics</v>
      </c>
      <c r="U140" t="str">
        <f t="shared" si="16"/>
        <v>VALID</v>
      </c>
      <c r="V140" t="str">
        <f t="shared" si="17"/>
        <v>NORMAL</v>
      </c>
      <c r="W140" t="str">
        <f t="shared" si="18"/>
        <v>Valid</v>
      </c>
      <c r="X140">
        <f t="shared" si="20"/>
        <v>12436.83</v>
      </c>
      <c r="Y140">
        <f t="shared" si="19"/>
        <v>11441.883599999999</v>
      </c>
    </row>
    <row r="141" spans="1:25" x14ac:dyDescent="0.3">
      <c r="A141" t="s">
        <v>342</v>
      </c>
      <c r="B141" s="1">
        <v>45731</v>
      </c>
      <c r="C141" t="s">
        <v>343</v>
      </c>
      <c r="D141" t="s">
        <v>96</v>
      </c>
      <c r="E141" t="s">
        <v>97</v>
      </c>
      <c r="F141" t="s">
        <v>31</v>
      </c>
      <c r="G141" t="s">
        <v>32</v>
      </c>
      <c r="H141" t="s">
        <v>68</v>
      </c>
      <c r="I141">
        <v>2</v>
      </c>
      <c r="J141">
        <v>1199.1400000000001</v>
      </c>
      <c r="K141">
        <v>0.1</v>
      </c>
      <c r="L141">
        <v>2158.4499999999998</v>
      </c>
      <c r="M141" t="s">
        <v>23</v>
      </c>
      <c r="N141" t="s">
        <v>58</v>
      </c>
      <c r="O141" t="s">
        <v>65</v>
      </c>
      <c r="P141" t="s">
        <v>42</v>
      </c>
      <c r="Q141" t="str">
        <f t="shared" si="14"/>
        <v>Completed</v>
      </c>
      <c r="R141" t="str">
        <f t="shared" si="15"/>
        <v>Online</v>
      </c>
      <c r="S141" t="str">
        <v>Credit Card</v>
      </c>
      <c r="T141" t="str">
        <v>Electronics</v>
      </c>
      <c r="U141" t="str">
        <f t="shared" si="16"/>
        <v>VALID</v>
      </c>
      <c r="V141" t="str">
        <f t="shared" si="17"/>
        <v>NORMAL</v>
      </c>
      <c r="W141" t="str">
        <f t="shared" si="18"/>
        <v>Valid</v>
      </c>
      <c r="X141">
        <f t="shared" si="20"/>
        <v>2398.2800000000002</v>
      </c>
      <c r="Y141">
        <f t="shared" si="19"/>
        <v>2158.4520000000002</v>
      </c>
    </row>
    <row r="142" spans="1:25" x14ac:dyDescent="0.3">
      <c r="A142" t="s">
        <v>344</v>
      </c>
      <c r="B142" s="1">
        <v>45577</v>
      </c>
      <c r="C142" t="s">
        <v>345</v>
      </c>
      <c r="D142" t="s">
        <v>18</v>
      </c>
      <c r="E142" t="s">
        <v>19</v>
      </c>
      <c r="F142" t="s">
        <v>20</v>
      </c>
      <c r="G142" t="s">
        <v>56</v>
      </c>
      <c r="H142" t="s">
        <v>101</v>
      </c>
      <c r="I142">
        <v>5</v>
      </c>
      <c r="J142">
        <v>915.9</v>
      </c>
      <c r="K142">
        <v>0.15</v>
      </c>
      <c r="L142">
        <v>3892.57</v>
      </c>
      <c r="M142" t="s">
        <v>48</v>
      </c>
      <c r="N142" t="s">
        <v>58</v>
      </c>
      <c r="O142" t="s">
        <v>25</v>
      </c>
      <c r="P142" t="s">
        <v>116</v>
      </c>
      <c r="Q142" t="str">
        <f t="shared" si="14"/>
        <v>Returned</v>
      </c>
      <c r="R142" t="str">
        <f t="shared" si="15"/>
        <v>Marketplace</v>
      </c>
      <c r="S142" t="str">
        <v>Credit Card</v>
      </c>
      <c r="T142" t="str">
        <v>Accessories</v>
      </c>
      <c r="U142" t="str">
        <f t="shared" si="16"/>
        <v>VALID</v>
      </c>
      <c r="V142" t="str">
        <f t="shared" si="17"/>
        <v>NORMAL</v>
      </c>
      <c r="W142" t="str">
        <f t="shared" si="18"/>
        <v>Valid</v>
      </c>
      <c r="X142">
        <f t="shared" si="20"/>
        <v>4579.5</v>
      </c>
      <c r="Y142">
        <f t="shared" si="19"/>
        <v>3892.5749999999998</v>
      </c>
    </row>
    <row r="143" spans="1:25" x14ac:dyDescent="0.3">
      <c r="A143" t="s">
        <v>346</v>
      </c>
      <c r="B143" s="1">
        <v>45357</v>
      </c>
      <c r="C143" t="s">
        <v>159</v>
      </c>
      <c r="D143" t="s">
        <v>121</v>
      </c>
      <c r="E143" t="s">
        <v>122</v>
      </c>
      <c r="F143" t="s">
        <v>55</v>
      </c>
      <c r="G143" t="s">
        <v>81</v>
      </c>
      <c r="H143" t="s">
        <v>98</v>
      </c>
      <c r="I143">
        <v>5</v>
      </c>
      <c r="J143">
        <v>453.81</v>
      </c>
      <c r="K143">
        <v>0.05</v>
      </c>
      <c r="L143">
        <v>2155.6</v>
      </c>
      <c r="M143" t="s">
        <v>48</v>
      </c>
      <c r="N143" t="s">
        <v>34</v>
      </c>
      <c r="O143" t="s">
        <v>35</v>
      </c>
      <c r="P143" t="s">
        <v>116</v>
      </c>
      <c r="Q143" t="str">
        <f t="shared" si="14"/>
        <v>Cancelled</v>
      </c>
      <c r="R143" t="str">
        <f t="shared" si="15"/>
        <v>Marketplace</v>
      </c>
      <c r="S143" t="str">
        <v>Cash On Delivery</v>
      </c>
      <c r="T143" t="str">
        <v>Stationery</v>
      </c>
      <c r="U143" t="str">
        <f t="shared" si="16"/>
        <v>VALID</v>
      </c>
      <c r="V143" t="str">
        <f t="shared" si="17"/>
        <v>NORMAL</v>
      </c>
      <c r="W143" t="str">
        <f t="shared" si="18"/>
        <v>Valid</v>
      </c>
      <c r="X143">
        <f t="shared" si="20"/>
        <v>2269.0500000000002</v>
      </c>
      <c r="Y143">
        <f t="shared" si="19"/>
        <v>2155.5975000000003</v>
      </c>
    </row>
    <row r="144" spans="1:25" x14ac:dyDescent="0.3">
      <c r="A144" t="s">
        <v>347</v>
      </c>
      <c r="B144" s="1">
        <v>45659</v>
      </c>
      <c r="C144" t="s">
        <v>348</v>
      </c>
      <c r="D144" t="s">
        <v>85</v>
      </c>
      <c r="E144" t="s">
        <v>86</v>
      </c>
      <c r="F144" t="s">
        <v>20</v>
      </c>
      <c r="G144" t="s">
        <v>21</v>
      </c>
      <c r="H144" t="s">
        <v>22</v>
      </c>
      <c r="I144">
        <v>1</v>
      </c>
      <c r="J144">
        <v>1702.17</v>
      </c>
      <c r="K144">
        <v>0</v>
      </c>
      <c r="L144">
        <v>1702.17</v>
      </c>
      <c r="M144" t="s">
        <v>48</v>
      </c>
      <c r="N144" t="s">
        <v>58</v>
      </c>
      <c r="O144" t="s">
        <v>65</v>
      </c>
      <c r="P144" t="s">
        <v>116</v>
      </c>
      <c r="Q144" t="str">
        <f t="shared" si="14"/>
        <v>Completed</v>
      </c>
      <c r="R144" t="str">
        <f t="shared" si="15"/>
        <v>Marketplace</v>
      </c>
      <c r="S144" t="str">
        <v>Credit Card</v>
      </c>
      <c r="T144" t="str">
        <v>Accessories</v>
      </c>
      <c r="U144" t="str">
        <f t="shared" si="16"/>
        <v>VALID</v>
      </c>
      <c r="V144" t="str">
        <f t="shared" si="17"/>
        <v>NORMAL</v>
      </c>
      <c r="W144" t="str">
        <f t="shared" si="18"/>
        <v>Valid</v>
      </c>
      <c r="X144">
        <f t="shared" si="20"/>
        <v>1702.17</v>
      </c>
      <c r="Y144">
        <f t="shared" si="19"/>
        <v>1702.17</v>
      </c>
    </row>
    <row r="145" spans="1:25" x14ac:dyDescent="0.3">
      <c r="A145" t="s">
        <v>349</v>
      </c>
      <c r="B145" s="1">
        <v>45962</v>
      </c>
      <c r="C145" t="s">
        <v>350</v>
      </c>
      <c r="D145" t="s">
        <v>18</v>
      </c>
      <c r="E145" t="s">
        <v>19</v>
      </c>
      <c r="F145" t="s">
        <v>20</v>
      </c>
      <c r="G145" t="s">
        <v>56</v>
      </c>
      <c r="H145" t="s">
        <v>57</v>
      </c>
      <c r="I145">
        <v>5</v>
      </c>
      <c r="J145">
        <v>837.06</v>
      </c>
      <c r="K145">
        <v>0.05</v>
      </c>
      <c r="L145">
        <v>3976.03</v>
      </c>
      <c r="M145" t="s">
        <v>23</v>
      </c>
      <c r="N145" t="s">
        <v>49</v>
      </c>
      <c r="O145" t="s">
        <v>65</v>
      </c>
      <c r="P145" t="s">
        <v>50</v>
      </c>
      <c r="Q145" t="str">
        <f t="shared" si="14"/>
        <v>Completed</v>
      </c>
      <c r="R145" t="str">
        <f t="shared" si="15"/>
        <v>Online</v>
      </c>
      <c r="S145" t="str">
        <v>Net Banking</v>
      </c>
      <c r="T145" t="str">
        <v>Accessories</v>
      </c>
      <c r="U145" t="str">
        <f t="shared" si="16"/>
        <v>VALID</v>
      </c>
      <c r="V145" t="str">
        <f t="shared" si="17"/>
        <v>NORMAL</v>
      </c>
      <c r="W145" t="str">
        <f t="shared" si="18"/>
        <v>Valid</v>
      </c>
      <c r="X145">
        <f t="shared" si="20"/>
        <v>4185.2999999999993</v>
      </c>
      <c r="Y145">
        <f t="shared" si="19"/>
        <v>3976.0349999999994</v>
      </c>
    </row>
    <row r="146" spans="1:25" x14ac:dyDescent="0.3">
      <c r="A146" t="s">
        <v>351</v>
      </c>
      <c r="B146" s="1">
        <v>45842</v>
      </c>
      <c r="C146" t="s">
        <v>352</v>
      </c>
      <c r="D146" t="s">
        <v>89</v>
      </c>
      <c r="E146" t="s">
        <v>90</v>
      </c>
      <c r="F146" t="s">
        <v>20</v>
      </c>
      <c r="G146" t="s">
        <v>56</v>
      </c>
      <c r="H146" t="s">
        <v>123</v>
      </c>
      <c r="I146">
        <v>1</v>
      </c>
      <c r="J146">
        <v>655.24</v>
      </c>
      <c r="K146">
        <v>0.03</v>
      </c>
      <c r="L146">
        <v>635.58000000000004</v>
      </c>
      <c r="M146" t="s">
        <v>23</v>
      </c>
      <c r="N146" t="s">
        <v>71</v>
      </c>
      <c r="O146" t="s">
        <v>25</v>
      </c>
      <c r="P146" t="s">
        <v>116</v>
      </c>
      <c r="Q146" t="str">
        <f t="shared" si="14"/>
        <v>Returned</v>
      </c>
      <c r="R146" t="str">
        <f t="shared" si="15"/>
        <v>Online</v>
      </c>
      <c r="S146" t="str">
        <v>Upi</v>
      </c>
      <c r="T146" t="str">
        <v>Accessories</v>
      </c>
      <c r="U146" t="str">
        <f t="shared" si="16"/>
        <v>VALID</v>
      </c>
      <c r="V146" t="str">
        <f t="shared" si="17"/>
        <v>NORMAL</v>
      </c>
      <c r="W146" t="str">
        <f t="shared" si="18"/>
        <v>Valid</v>
      </c>
      <c r="X146">
        <f t="shared" si="20"/>
        <v>655.24</v>
      </c>
      <c r="Y146">
        <f t="shared" si="19"/>
        <v>635.58280000000002</v>
      </c>
    </row>
    <row r="147" spans="1:25" x14ac:dyDescent="0.3">
      <c r="A147" t="s">
        <v>353</v>
      </c>
      <c r="B147" s="1">
        <v>45455</v>
      </c>
      <c r="C147" t="s">
        <v>206</v>
      </c>
      <c r="D147" t="s">
        <v>176</v>
      </c>
      <c r="E147" t="s">
        <v>177</v>
      </c>
      <c r="F147" t="s">
        <v>31</v>
      </c>
      <c r="G147" t="s">
        <v>56</v>
      </c>
      <c r="H147" t="s">
        <v>101</v>
      </c>
      <c r="I147">
        <v>1</v>
      </c>
      <c r="J147">
        <v>2110.33</v>
      </c>
      <c r="K147">
        <v>0.08</v>
      </c>
      <c r="L147">
        <v>1941.5</v>
      </c>
      <c r="M147" t="s">
        <v>23</v>
      </c>
      <c r="N147" t="s">
        <v>34</v>
      </c>
      <c r="O147" t="s">
        <v>65</v>
      </c>
      <c r="P147" t="s">
        <v>111</v>
      </c>
      <c r="Q147" t="str">
        <f t="shared" si="14"/>
        <v>Completed</v>
      </c>
      <c r="R147" t="str">
        <f t="shared" si="15"/>
        <v>Online</v>
      </c>
      <c r="S147" t="str">
        <v>Cash On Delivery</v>
      </c>
      <c r="T147" t="str">
        <v>Electronics</v>
      </c>
      <c r="U147" t="str">
        <f t="shared" si="16"/>
        <v>VALID</v>
      </c>
      <c r="V147" t="str">
        <f t="shared" si="17"/>
        <v>NORMAL</v>
      </c>
      <c r="W147" t="str">
        <f t="shared" si="18"/>
        <v>Valid</v>
      </c>
      <c r="X147">
        <f t="shared" si="20"/>
        <v>2110.33</v>
      </c>
      <c r="Y147">
        <f t="shared" si="19"/>
        <v>1941.5036</v>
      </c>
    </row>
    <row r="148" spans="1:25" x14ac:dyDescent="0.3">
      <c r="A148" t="s">
        <v>354</v>
      </c>
      <c r="B148" s="1">
        <v>45973</v>
      </c>
      <c r="C148" t="s">
        <v>355</v>
      </c>
      <c r="D148" t="s">
        <v>105</v>
      </c>
      <c r="E148" t="s">
        <v>106</v>
      </c>
      <c r="F148" t="s">
        <v>40</v>
      </c>
      <c r="G148" t="s">
        <v>21</v>
      </c>
      <c r="H148" t="s">
        <v>93</v>
      </c>
      <c r="I148">
        <v>3</v>
      </c>
      <c r="J148">
        <v>6906.01</v>
      </c>
      <c r="K148">
        <v>0.15</v>
      </c>
      <c r="L148">
        <v>17610.330000000002</v>
      </c>
      <c r="M148" t="s">
        <v>23</v>
      </c>
      <c r="N148" t="s">
        <v>71</v>
      </c>
      <c r="O148" t="s">
        <v>25</v>
      </c>
      <c r="P148" t="s">
        <v>72</v>
      </c>
      <c r="Q148" t="str">
        <f t="shared" si="14"/>
        <v>Returned</v>
      </c>
      <c r="R148" t="str">
        <f t="shared" si="15"/>
        <v>Online</v>
      </c>
      <c r="S148" t="str">
        <v>Upi</v>
      </c>
      <c r="T148" t="str">
        <v>Furniture</v>
      </c>
      <c r="U148" t="str">
        <f t="shared" si="16"/>
        <v>VALID</v>
      </c>
      <c r="V148" t="str">
        <f t="shared" si="17"/>
        <v>NORMAL</v>
      </c>
      <c r="W148" t="str">
        <f t="shared" si="18"/>
        <v>Valid</v>
      </c>
      <c r="X148">
        <f t="shared" si="20"/>
        <v>20718.03</v>
      </c>
      <c r="Y148">
        <f t="shared" si="19"/>
        <v>17610.325499999999</v>
      </c>
    </row>
    <row r="149" spans="1:25" x14ac:dyDescent="0.3">
      <c r="A149" t="s">
        <v>356</v>
      </c>
      <c r="B149" s="1">
        <v>46101</v>
      </c>
      <c r="C149" t="s">
        <v>357</v>
      </c>
      <c r="D149" t="s">
        <v>170</v>
      </c>
      <c r="E149" t="s">
        <v>171</v>
      </c>
      <c r="F149" t="s">
        <v>31</v>
      </c>
      <c r="G149" t="s">
        <v>32</v>
      </c>
      <c r="H149" t="s">
        <v>75</v>
      </c>
      <c r="I149">
        <v>2</v>
      </c>
      <c r="J149">
        <v>64902.32</v>
      </c>
      <c r="K149">
        <v>0.08</v>
      </c>
      <c r="L149">
        <v>119420.27</v>
      </c>
      <c r="M149" t="s">
        <v>76</v>
      </c>
      <c r="N149" t="s">
        <v>24</v>
      </c>
      <c r="O149" t="s">
        <v>35</v>
      </c>
      <c r="P149" t="s">
        <v>59</v>
      </c>
      <c r="Q149" t="str">
        <f t="shared" si="14"/>
        <v>Cancelled</v>
      </c>
      <c r="R149" t="str">
        <f t="shared" si="15"/>
        <v>Store</v>
      </c>
      <c r="S149" t="str">
        <v>Debit Card</v>
      </c>
      <c r="T149" t="str">
        <v>Electronics</v>
      </c>
      <c r="U149" t="str">
        <f t="shared" si="16"/>
        <v>VALID</v>
      </c>
      <c r="V149" t="str">
        <f t="shared" si="17"/>
        <v>NORMAL</v>
      </c>
      <c r="W149" t="str">
        <f t="shared" si="18"/>
        <v>Valid</v>
      </c>
      <c r="X149">
        <f t="shared" si="20"/>
        <v>129804.64</v>
      </c>
      <c r="Y149">
        <f t="shared" si="19"/>
        <v>119420.26880000001</v>
      </c>
    </row>
    <row r="150" spans="1:25" x14ac:dyDescent="0.3">
      <c r="A150" t="s">
        <v>358</v>
      </c>
      <c r="B150" s="1">
        <v>45621</v>
      </c>
      <c r="C150" t="s">
        <v>186</v>
      </c>
      <c r="D150" t="s">
        <v>96</v>
      </c>
      <c r="E150" t="s">
        <v>97</v>
      </c>
      <c r="F150" t="s">
        <v>31</v>
      </c>
      <c r="G150" t="s">
        <v>56</v>
      </c>
      <c r="H150" t="s">
        <v>57</v>
      </c>
      <c r="I150">
        <v>1</v>
      </c>
      <c r="J150">
        <v>1196.55</v>
      </c>
      <c r="K150">
        <v>0.03</v>
      </c>
      <c r="L150">
        <v>1160.6500000000001</v>
      </c>
      <c r="M150" t="s">
        <v>48</v>
      </c>
      <c r="N150" t="s">
        <v>71</v>
      </c>
      <c r="O150" t="s">
        <v>65</v>
      </c>
      <c r="P150" t="s">
        <v>42</v>
      </c>
      <c r="Q150" t="str">
        <f t="shared" si="14"/>
        <v>Completed</v>
      </c>
      <c r="R150" t="str">
        <f t="shared" si="15"/>
        <v>Marketplace</v>
      </c>
      <c r="S150" t="str">
        <v>Upi</v>
      </c>
      <c r="T150" t="str">
        <v>Electronics</v>
      </c>
      <c r="U150" t="str">
        <f t="shared" si="16"/>
        <v>VALID</v>
      </c>
      <c r="V150" t="str">
        <f t="shared" si="17"/>
        <v>NORMAL</v>
      </c>
      <c r="W150" t="str">
        <f t="shared" si="18"/>
        <v>Valid</v>
      </c>
      <c r="X150">
        <f t="shared" si="20"/>
        <v>1196.55</v>
      </c>
      <c r="Y150">
        <f t="shared" si="19"/>
        <v>1160.6534999999999</v>
      </c>
    </row>
    <row r="151" spans="1:25" x14ac:dyDescent="0.3">
      <c r="A151" t="s">
        <v>359</v>
      </c>
      <c r="B151" s="1">
        <v>45797</v>
      </c>
      <c r="C151" t="s">
        <v>334</v>
      </c>
      <c r="D151" t="s">
        <v>89</v>
      </c>
      <c r="E151" t="s">
        <v>90</v>
      </c>
      <c r="F151" t="s">
        <v>20</v>
      </c>
      <c r="G151" t="s">
        <v>81</v>
      </c>
      <c r="H151" t="s">
        <v>98</v>
      </c>
      <c r="I151">
        <v>1</v>
      </c>
      <c r="J151">
        <v>647.37</v>
      </c>
      <c r="K151">
        <v>0.03</v>
      </c>
      <c r="L151">
        <v>627.95000000000005</v>
      </c>
      <c r="M151" t="s">
        <v>23</v>
      </c>
      <c r="N151" t="s">
        <v>34</v>
      </c>
      <c r="O151" t="s">
        <v>65</v>
      </c>
      <c r="P151" t="s">
        <v>42</v>
      </c>
      <c r="Q151" t="str">
        <f t="shared" si="14"/>
        <v>Completed</v>
      </c>
      <c r="R151" t="str">
        <f t="shared" si="15"/>
        <v>Online</v>
      </c>
      <c r="S151" t="str">
        <v>Cash On Delivery</v>
      </c>
      <c r="T151" t="str">
        <v>Accessories</v>
      </c>
      <c r="U151" t="str">
        <f t="shared" si="16"/>
        <v>VALID</v>
      </c>
      <c r="V151" t="str">
        <f t="shared" si="17"/>
        <v>NORMAL</v>
      </c>
      <c r="W151" t="str">
        <f t="shared" si="18"/>
        <v>Valid</v>
      </c>
      <c r="X151">
        <f t="shared" si="20"/>
        <v>647.37</v>
      </c>
      <c r="Y151">
        <f t="shared" si="19"/>
        <v>627.94889999999998</v>
      </c>
    </row>
    <row r="152" spans="1:25" x14ac:dyDescent="0.3">
      <c r="A152" t="s">
        <v>360</v>
      </c>
      <c r="B152" s="1">
        <v>46126</v>
      </c>
      <c r="C152" t="s">
        <v>225</v>
      </c>
      <c r="D152" t="s">
        <v>176</v>
      </c>
      <c r="E152" t="s">
        <v>177</v>
      </c>
      <c r="F152" t="s">
        <v>31</v>
      </c>
      <c r="G152" t="s">
        <v>81</v>
      </c>
      <c r="H152" t="s">
        <v>82</v>
      </c>
      <c r="I152">
        <v>3</v>
      </c>
      <c r="J152">
        <v>2211.2199999999998</v>
      </c>
      <c r="K152">
        <v>0.2</v>
      </c>
      <c r="L152">
        <v>5306.93</v>
      </c>
      <c r="M152" t="s">
        <v>23</v>
      </c>
      <c r="N152" t="s">
        <v>34</v>
      </c>
      <c r="O152" t="s">
        <v>25</v>
      </c>
      <c r="P152" t="s">
        <v>50</v>
      </c>
      <c r="Q152" t="str">
        <f t="shared" si="14"/>
        <v>Returned</v>
      </c>
      <c r="R152" t="str">
        <f t="shared" si="15"/>
        <v>Online</v>
      </c>
      <c r="S152" t="str">
        <v>Cash On Delivery</v>
      </c>
      <c r="T152" t="str">
        <v>Electronics</v>
      </c>
      <c r="U152" t="str">
        <f t="shared" si="16"/>
        <v>VALID</v>
      </c>
      <c r="V152" t="str">
        <f t="shared" si="17"/>
        <v>NORMAL</v>
      </c>
      <c r="W152" t="str">
        <f t="shared" si="18"/>
        <v>Valid</v>
      </c>
      <c r="X152">
        <f t="shared" si="20"/>
        <v>6633.66</v>
      </c>
      <c r="Y152">
        <f t="shared" si="19"/>
        <v>5306.9279999999999</v>
      </c>
    </row>
    <row r="153" spans="1:25" x14ac:dyDescent="0.3">
      <c r="A153" t="s">
        <v>361</v>
      </c>
      <c r="B153" s="1">
        <v>46038</v>
      </c>
      <c r="C153" t="s">
        <v>362</v>
      </c>
      <c r="D153" t="s">
        <v>38</v>
      </c>
      <c r="E153" t="s">
        <v>39</v>
      </c>
      <c r="F153" t="s">
        <v>40</v>
      </c>
      <c r="G153" t="s">
        <v>21</v>
      </c>
      <c r="H153" t="s">
        <v>41</v>
      </c>
      <c r="I153">
        <v>2</v>
      </c>
      <c r="J153">
        <v>1511.14</v>
      </c>
      <c r="K153">
        <v>0.08</v>
      </c>
      <c r="L153">
        <v>2780.5</v>
      </c>
      <c r="M153" t="s">
        <v>48</v>
      </c>
      <c r="N153" t="s">
        <v>58</v>
      </c>
      <c r="O153" t="s">
        <v>65</v>
      </c>
      <c r="P153" t="s">
        <v>72</v>
      </c>
      <c r="Q153" t="str">
        <f t="shared" si="14"/>
        <v>Completed</v>
      </c>
      <c r="R153" t="str">
        <f t="shared" si="15"/>
        <v>Marketplace</v>
      </c>
      <c r="S153" t="str">
        <v>Credit Card</v>
      </c>
      <c r="T153" t="str">
        <v>Furniture</v>
      </c>
      <c r="U153" t="str">
        <f t="shared" si="16"/>
        <v>VALID</v>
      </c>
      <c r="V153" t="str">
        <f t="shared" si="17"/>
        <v>NORMAL</v>
      </c>
      <c r="W153" t="str">
        <f t="shared" si="18"/>
        <v>Valid</v>
      </c>
      <c r="X153">
        <f t="shared" si="20"/>
        <v>3022.28</v>
      </c>
      <c r="Y153">
        <f t="shared" si="19"/>
        <v>2780.4976000000001</v>
      </c>
    </row>
    <row r="154" spans="1:25" x14ac:dyDescent="0.3">
      <c r="A154" t="s">
        <v>363</v>
      </c>
      <c r="B154" s="1">
        <v>46141</v>
      </c>
      <c r="C154" t="s">
        <v>306</v>
      </c>
      <c r="D154" t="s">
        <v>105</v>
      </c>
      <c r="E154" t="s">
        <v>106</v>
      </c>
      <c r="F154" t="s">
        <v>40</v>
      </c>
      <c r="G154" t="s">
        <v>81</v>
      </c>
      <c r="H154" t="s">
        <v>82</v>
      </c>
      <c r="I154">
        <v>4</v>
      </c>
      <c r="J154">
        <v>7488.97</v>
      </c>
      <c r="K154">
        <v>0.1</v>
      </c>
      <c r="L154">
        <v>26960.29</v>
      </c>
      <c r="M154" t="s">
        <v>48</v>
      </c>
      <c r="N154" t="s">
        <v>34</v>
      </c>
      <c r="O154" t="s">
        <v>65</v>
      </c>
      <c r="P154" t="s">
        <v>50</v>
      </c>
      <c r="Q154" t="str">
        <f t="shared" si="14"/>
        <v>Completed</v>
      </c>
      <c r="R154" t="str">
        <f t="shared" si="15"/>
        <v>Marketplace</v>
      </c>
      <c r="S154" t="str">
        <v>Cash On Delivery</v>
      </c>
      <c r="T154" t="str">
        <v>Furniture</v>
      </c>
      <c r="U154" t="str">
        <f t="shared" si="16"/>
        <v>VALID</v>
      </c>
      <c r="V154" t="str">
        <f t="shared" si="17"/>
        <v>NORMAL</v>
      </c>
      <c r="W154" t="str">
        <f t="shared" si="18"/>
        <v>Valid</v>
      </c>
      <c r="X154">
        <f t="shared" si="20"/>
        <v>29955.88</v>
      </c>
      <c r="Y154">
        <f t="shared" si="19"/>
        <v>26960.292000000001</v>
      </c>
    </row>
    <row r="155" spans="1:25" x14ac:dyDescent="0.3">
      <c r="A155" t="s">
        <v>364</v>
      </c>
      <c r="B155" s="1">
        <v>46134</v>
      </c>
      <c r="C155" t="s">
        <v>365</v>
      </c>
      <c r="D155" t="s">
        <v>53</v>
      </c>
      <c r="E155" t="s">
        <v>54</v>
      </c>
      <c r="F155" t="s">
        <v>55</v>
      </c>
      <c r="G155" t="s">
        <v>56</v>
      </c>
      <c r="H155" t="s">
        <v>57</v>
      </c>
      <c r="I155">
        <v>2</v>
      </c>
      <c r="J155">
        <v>202.48</v>
      </c>
      <c r="K155">
        <v>0.1</v>
      </c>
      <c r="L155">
        <v>364.46</v>
      </c>
      <c r="M155" t="s">
        <v>23</v>
      </c>
      <c r="N155" t="s">
        <v>58</v>
      </c>
      <c r="O155" t="s">
        <v>25</v>
      </c>
      <c r="P155" t="s">
        <v>72</v>
      </c>
      <c r="Q155" t="str">
        <f t="shared" si="14"/>
        <v>Returned</v>
      </c>
      <c r="R155" t="str">
        <f t="shared" si="15"/>
        <v>Online</v>
      </c>
      <c r="S155" t="str">
        <v>Credit Card</v>
      </c>
      <c r="T155" t="str">
        <v>Stationery</v>
      </c>
      <c r="U155" t="str">
        <f t="shared" si="16"/>
        <v>VALID</v>
      </c>
      <c r="V155" t="str">
        <f t="shared" si="17"/>
        <v>NORMAL</v>
      </c>
      <c r="W155" t="str">
        <f t="shared" si="18"/>
        <v>Valid</v>
      </c>
      <c r="X155">
        <f t="shared" si="20"/>
        <v>404.96</v>
      </c>
      <c r="Y155">
        <f t="shared" si="19"/>
        <v>364.464</v>
      </c>
    </row>
    <row r="156" spans="1:25" x14ac:dyDescent="0.3">
      <c r="A156" t="s">
        <v>366</v>
      </c>
      <c r="B156" s="1">
        <v>45654</v>
      </c>
      <c r="C156" t="s">
        <v>238</v>
      </c>
      <c r="D156" t="s">
        <v>121</v>
      </c>
      <c r="E156" t="s">
        <v>122</v>
      </c>
      <c r="F156" t="s">
        <v>55</v>
      </c>
      <c r="G156" t="s">
        <v>32</v>
      </c>
      <c r="H156" t="s">
        <v>33</v>
      </c>
      <c r="I156">
        <v>1</v>
      </c>
      <c r="J156">
        <v>459.52</v>
      </c>
      <c r="K156">
        <v>0.08</v>
      </c>
      <c r="L156">
        <v>422.76</v>
      </c>
      <c r="M156" t="s">
        <v>76</v>
      </c>
      <c r="N156" t="s">
        <v>71</v>
      </c>
      <c r="O156" t="s">
        <v>25</v>
      </c>
      <c r="P156" t="s">
        <v>26</v>
      </c>
      <c r="Q156" t="str">
        <f t="shared" si="14"/>
        <v>Returned</v>
      </c>
      <c r="R156" t="str">
        <f t="shared" si="15"/>
        <v>Store</v>
      </c>
      <c r="S156" t="str">
        <v>Upi</v>
      </c>
      <c r="T156" t="str">
        <v>Stationery</v>
      </c>
      <c r="U156" t="str">
        <f t="shared" si="16"/>
        <v>VALID</v>
      </c>
      <c r="V156" t="str">
        <f t="shared" si="17"/>
        <v>NORMAL</v>
      </c>
      <c r="W156" t="str">
        <f t="shared" si="18"/>
        <v>Valid</v>
      </c>
      <c r="X156">
        <f t="shared" si="20"/>
        <v>459.52</v>
      </c>
      <c r="Y156">
        <f t="shared" si="19"/>
        <v>422.75839999999999</v>
      </c>
    </row>
    <row r="157" spans="1:25" x14ac:dyDescent="0.3">
      <c r="A157" t="s">
        <v>367</v>
      </c>
      <c r="B157" s="1">
        <v>45583</v>
      </c>
      <c r="C157" t="s">
        <v>115</v>
      </c>
      <c r="D157" t="s">
        <v>121</v>
      </c>
      <c r="E157" t="s">
        <v>122</v>
      </c>
      <c r="F157" t="s">
        <v>55</v>
      </c>
      <c r="G157" t="s">
        <v>21</v>
      </c>
      <c r="H157" t="s">
        <v>126</v>
      </c>
      <c r="I157">
        <v>4</v>
      </c>
      <c r="J157">
        <v>461.52</v>
      </c>
      <c r="K157">
        <v>0.08</v>
      </c>
      <c r="L157">
        <v>1698.39</v>
      </c>
      <c r="M157" t="s">
        <v>23</v>
      </c>
      <c r="N157" t="s">
        <v>24</v>
      </c>
      <c r="O157" t="s">
        <v>65</v>
      </c>
      <c r="P157" t="s">
        <v>102</v>
      </c>
      <c r="Q157" t="str">
        <f t="shared" si="14"/>
        <v>Completed</v>
      </c>
      <c r="R157" t="str">
        <f t="shared" si="15"/>
        <v>Online</v>
      </c>
      <c r="S157" t="str">
        <v>Debit Card</v>
      </c>
      <c r="T157" t="str">
        <v>Stationery</v>
      </c>
      <c r="U157" t="str">
        <f t="shared" si="16"/>
        <v>VALID</v>
      </c>
      <c r="V157" t="str">
        <f t="shared" si="17"/>
        <v>NORMAL</v>
      </c>
      <c r="W157" t="str">
        <f t="shared" si="18"/>
        <v>Valid</v>
      </c>
      <c r="X157">
        <f t="shared" si="20"/>
        <v>1846.08</v>
      </c>
      <c r="Y157">
        <f t="shared" si="19"/>
        <v>1698.3935999999999</v>
      </c>
    </row>
    <row r="158" spans="1:25" x14ac:dyDescent="0.3">
      <c r="A158" t="s">
        <v>368</v>
      </c>
      <c r="B158" s="1">
        <v>45771</v>
      </c>
      <c r="C158" t="s">
        <v>208</v>
      </c>
      <c r="D158" t="s">
        <v>105</v>
      </c>
      <c r="E158" t="s">
        <v>106</v>
      </c>
      <c r="F158" t="s">
        <v>40</v>
      </c>
      <c r="G158" t="s">
        <v>21</v>
      </c>
      <c r="H158" t="s">
        <v>126</v>
      </c>
      <c r="I158">
        <v>1</v>
      </c>
      <c r="J158">
        <v>7598.6</v>
      </c>
      <c r="K158">
        <v>0</v>
      </c>
      <c r="L158">
        <v>7598.6</v>
      </c>
      <c r="M158" t="s">
        <v>23</v>
      </c>
      <c r="N158" t="s">
        <v>34</v>
      </c>
      <c r="O158" t="s">
        <v>65</v>
      </c>
      <c r="P158" t="s">
        <v>42</v>
      </c>
      <c r="Q158" t="str">
        <f t="shared" si="14"/>
        <v>Completed</v>
      </c>
      <c r="R158" t="str">
        <f t="shared" si="15"/>
        <v>Online</v>
      </c>
      <c r="S158" t="str">
        <v>Cash On Delivery</v>
      </c>
      <c r="T158" t="str">
        <v>Furniture</v>
      </c>
      <c r="U158" t="str">
        <f t="shared" si="16"/>
        <v>VALID</v>
      </c>
      <c r="V158" t="str">
        <f t="shared" si="17"/>
        <v>NORMAL</v>
      </c>
      <c r="W158" t="str">
        <f t="shared" si="18"/>
        <v>Valid</v>
      </c>
      <c r="X158">
        <f t="shared" si="20"/>
        <v>7598.6</v>
      </c>
      <c r="Y158">
        <f t="shared" si="19"/>
        <v>7598.6</v>
      </c>
    </row>
    <row r="159" spans="1:25" x14ac:dyDescent="0.3">
      <c r="A159" t="s">
        <v>369</v>
      </c>
      <c r="B159" s="1">
        <v>46105</v>
      </c>
      <c r="C159" t="s">
        <v>370</v>
      </c>
      <c r="D159" t="s">
        <v>18</v>
      </c>
      <c r="E159" t="s">
        <v>19</v>
      </c>
      <c r="F159" t="s">
        <v>20</v>
      </c>
      <c r="G159" t="s">
        <v>21</v>
      </c>
      <c r="H159" t="s">
        <v>126</v>
      </c>
      <c r="I159">
        <v>2</v>
      </c>
      <c r="J159">
        <v>854.27</v>
      </c>
      <c r="K159">
        <v>0.2</v>
      </c>
      <c r="L159">
        <v>1366.83</v>
      </c>
      <c r="M159" t="s">
        <v>23</v>
      </c>
      <c r="N159" t="s">
        <v>58</v>
      </c>
      <c r="O159" t="s">
        <v>65</v>
      </c>
      <c r="P159" t="s">
        <v>102</v>
      </c>
      <c r="Q159" t="str">
        <f t="shared" si="14"/>
        <v>Completed</v>
      </c>
      <c r="R159" t="str">
        <f t="shared" si="15"/>
        <v>Online</v>
      </c>
      <c r="S159" t="str">
        <v>Credit Card</v>
      </c>
      <c r="T159" t="str">
        <v>Accessories</v>
      </c>
      <c r="U159" t="str">
        <f t="shared" si="16"/>
        <v>VALID</v>
      </c>
      <c r="V159" t="str">
        <f t="shared" si="17"/>
        <v>NORMAL</v>
      </c>
      <c r="W159" t="str">
        <f t="shared" si="18"/>
        <v>Valid</v>
      </c>
      <c r="X159">
        <f t="shared" si="20"/>
        <v>1708.54</v>
      </c>
      <c r="Y159">
        <f t="shared" si="19"/>
        <v>1366.8319999999999</v>
      </c>
    </row>
    <row r="160" spans="1:25" x14ac:dyDescent="0.3">
      <c r="A160" t="s">
        <v>371</v>
      </c>
      <c r="B160" s="1">
        <v>45943</v>
      </c>
      <c r="C160" t="s">
        <v>225</v>
      </c>
      <c r="D160" t="s">
        <v>105</v>
      </c>
      <c r="E160" t="s">
        <v>106</v>
      </c>
      <c r="F160" t="s">
        <v>40</v>
      </c>
      <c r="G160" t="s">
        <v>21</v>
      </c>
      <c r="H160" t="s">
        <v>22</v>
      </c>
      <c r="I160">
        <v>4</v>
      </c>
      <c r="J160">
        <v>7271.22</v>
      </c>
      <c r="K160">
        <v>0.05</v>
      </c>
      <c r="L160">
        <v>27630.639999999999</v>
      </c>
      <c r="M160" t="s">
        <v>48</v>
      </c>
      <c r="N160" t="s">
        <v>24</v>
      </c>
      <c r="O160" t="s">
        <v>65</v>
      </c>
      <c r="P160" t="s">
        <v>26</v>
      </c>
      <c r="Q160" t="str">
        <f t="shared" si="14"/>
        <v>Completed</v>
      </c>
      <c r="R160" t="str">
        <f t="shared" si="15"/>
        <v>Marketplace</v>
      </c>
      <c r="S160" t="str">
        <v>Debit Card</v>
      </c>
      <c r="T160" t="str">
        <v>Furniture</v>
      </c>
      <c r="U160" t="str">
        <f t="shared" si="16"/>
        <v>VALID</v>
      </c>
      <c r="V160" t="str">
        <f t="shared" si="17"/>
        <v>NORMAL</v>
      </c>
      <c r="W160" t="str">
        <f t="shared" si="18"/>
        <v>Valid</v>
      </c>
      <c r="X160">
        <f t="shared" si="20"/>
        <v>29084.880000000001</v>
      </c>
      <c r="Y160">
        <f t="shared" si="19"/>
        <v>27630.636000000002</v>
      </c>
    </row>
    <row r="161" spans="1:25" x14ac:dyDescent="0.3">
      <c r="A161" t="s">
        <v>372</v>
      </c>
      <c r="B161" s="1">
        <v>46119</v>
      </c>
      <c r="C161" t="s">
        <v>373</v>
      </c>
      <c r="D161" t="s">
        <v>131</v>
      </c>
      <c r="E161" t="s">
        <v>132</v>
      </c>
      <c r="F161" t="s">
        <v>40</v>
      </c>
      <c r="G161" t="s">
        <v>56</v>
      </c>
      <c r="H161" t="s">
        <v>123</v>
      </c>
      <c r="I161">
        <v>1</v>
      </c>
      <c r="J161">
        <v>9260.39</v>
      </c>
      <c r="K161">
        <v>0.1</v>
      </c>
      <c r="L161">
        <v>8334.35</v>
      </c>
      <c r="M161" t="s">
        <v>76</v>
      </c>
      <c r="N161" t="s">
        <v>24</v>
      </c>
      <c r="O161" t="s">
        <v>65</v>
      </c>
      <c r="P161" t="s">
        <v>50</v>
      </c>
      <c r="Q161" t="str">
        <f t="shared" si="14"/>
        <v>Completed</v>
      </c>
      <c r="R161" t="str">
        <f t="shared" si="15"/>
        <v>Store</v>
      </c>
      <c r="S161" t="str">
        <v>Debit Card</v>
      </c>
      <c r="T161" t="str">
        <v>Furniture</v>
      </c>
      <c r="U161" t="str">
        <f t="shared" si="16"/>
        <v>VALID</v>
      </c>
      <c r="V161" t="str">
        <f t="shared" si="17"/>
        <v>NORMAL</v>
      </c>
      <c r="W161" t="str">
        <f t="shared" si="18"/>
        <v>Valid</v>
      </c>
      <c r="X161">
        <f t="shared" si="20"/>
        <v>9260.39</v>
      </c>
      <c r="Y161">
        <f t="shared" si="19"/>
        <v>8334.3509999999987</v>
      </c>
    </row>
    <row r="162" spans="1:25" x14ac:dyDescent="0.3">
      <c r="A162" t="s">
        <v>374</v>
      </c>
      <c r="B162" s="1">
        <v>46046</v>
      </c>
      <c r="C162" t="s">
        <v>375</v>
      </c>
      <c r="D162" t="s">
        <v>96</v>
      </c>
      <c r="E162" t="s">
        <v>97</v>
      </c>
      <c r="F162" t="s">
        <v>31</v>
      </c>
      <c r="G162" t="s">
        <v>56</v>
      </c>
      <c r="H162" t="s">
        <v>123</v>
      </c>
      <c r="I162">
        <v>4</v>
      </c>
      <c r="J162">
        <v>1231.28</v>
      </c>
      <c r="K162">
        <v>0</v>
      </c>
      <c r="L162">
        <v>4925.12</v>
      </c>
      <c r="M162" t="s">
        <v>23</v>
      </c>
      <c r="N162" t="s">
        <v>34</v>
      </c>
      <c r="O162" t="s">
        <v>65</v>
      </c>
      <c r="P162" t="s">
        <v>111</v>
      </c>
      <c r="Q162" t="str">
        <f t="shared" si="14"/>
        <v>Completed</v>
      </c>
      <c r="R162" t="str">
        <f t="shared" si="15"/>
        <v>Online</v>
      </c>
      <c r="S162" t="str">
        <v>Cash On Delivery</v>
      </c>
      <c r="T162" t="str">
        <v>Electronics</v>
      </c>
      <c r="U162" t="str">
        <f t="shared" si="16"/>
        <v>VALID</v>
      </c>
      <c r="V162" t="str">
        <f t="shared" si="17"/>
        <v>NORMAL</v>
      </c>
      <c r="W162" t="str">
        <f t="shared" si="18"/>
        <v>Valid</v>
      </c>
      <c r="X162">
        <f t="shared" si="20"/>
        <v>4925.12</v>
      </c>
      <c r="Y162">
        <f t="shared" si="19"/>
        <v>4925.12</v>
      </c>
    </row>
    <row r="163" spans="1:25" x14ac:dyDescent="0.3">
      <c r="A163" t="s">
        <v>376</v>
      </c>
      <c r="B163" s="1">
        <v>45472</v>
      </c>
      <c r="C163" t="s">
        <v>377</v>
      </c>
      <c r="D163" t="s">
        <v>45</v>
      </c>
      <c r="E163" t="s">
        <v>46</v>
      </c>
      <c r="F163" t="s">
        <v>31</v>
      </c>
      <c r="G163" t="s">
        <v>32</v>
      </c>
      <c r="H163" t="s">
        <v>75</v>
      </c>
      <c r="I163">
        <v>5</v>
      </c>
      <c r="J163">
        <v>1727.04</v>
      </c>
      <c r="K163">
        <v>0.2</v>
      </c>
      <c r="L163">
        <v>6908.16</v>
      </c>
      <c r="M163" t="s">
        <v>23</v>
      </c>
      <c r="N163" t="s">
        <v>71</v>
      </c>
      <c r="O163" t="s">
        <v>25</v>
      </c>
      <c r="P163" t="s">
        <v>42</v>
      </c>
      <c r="Q163" t="str">
        <f t="shared" si="14"/>
        <v>Returned</v>
      </c>
      <c r="R163" t="str">
        <f t="shared" si="15"/>
        <v>Online</v>
      </c>
      <c r="S163" t="str">
        <v>Upi</v>
      </c>
      <c r="T163" t="str">
        <v>Electronics</v>
      </c>
      <c r="U163" t="str">
        <f t="shared" si="16"/>
        <v>VALID</v>
      </c>
      <c r="V163" t="str">
        <f t="shared" si="17"/>
        <v>NORMAL</v>
      </c>
      <c r="W163" t="str">
        <f t="shared" si="18"/>
        <v>Valid</v>
      </c>
      <c r="X163">
        <f t="shared" si="20"/>
        <v>8635.2000000000007</v>
      </c>
      <c r="Y163">
        <f t="shared" si="19"/>
        <v>6908.1600000000008</v>
      </c>
    </row>
    <row r="164" spans="1:25" x14ac:dyDescent="0.3">
      <c r="A164" t="s">
        <v>378</v>
      </c>
      <c r="B164" s="1">
        <v>45990</v>
      </c>
      <c r="C164" t="s">
        <v>379</v>
      </c>
      <c r="D164" t="s">
        <v>45</v>
      </c>
      <c r="E164" t="s">
        <v>46</v>
      </c>
      <c r="F164" t="s">
        <v>31</v>
      </c>
      <c r="G164" t="s">
        <v>260</v>
      </c>
      <c r="H164" t="s">
        <v>101</v>
      </c>
      <c r="I164">
        <v>2</v>
      </c>
      <c r="J164">
        <v>1918.17</v>
      </c>
      <c r="K164">
        <v>0.03</v>
      </c>
      <c r="L164">
        <v>3721.25</v>
      </c>
      <c r="M164" t="s">
        <v>23</v>
      </c>
      <c r="N164" t="s">
        <v>34</v>
      </c>
      <c r="O164" t="s">
        <v>65</v>
      </c>
      <c r="P164" t="s">
        <v>116</v>
      </c>
      <c r="Q164" t="str">
        <f t="shared" si="14"/>
        <v>Completed</v>
      </c>
      <c r="R164" t="str">
        <f t="shared" si="15"/>
        <v>Online</v>
      </c>
      <c r="S164" t="str">
        <v>Cash On Delivery</v>
      </c>
      <c r="T164" t="str">
        <v>Electronics</v>
      </c>
      <c r="U164" t="str">
        <f t="shared" si="16"/>
        <v>VALID</v>
      </c>
      <c r="V164" t="str">
        <f t="shared" si="17"/>
        <v>NORMAL</v>
      </c>
      <c r="W164" t="str">
        <f t="shared" si="18"/>
        <v>Valid</v>
      </c>
      <c r="X164">
        <f t="shared" si="20"/>
        <v>3836.34</v>
      </c>
      <c r="Y164">
        <f t="shared" si="19"/>
        <v>3721.2498000000001</v>
      </c>
    </row>
    <row r="165" spans="1:25" x14ac:dyDescent="0.3">
      <c r="A165" t="s">
        <v>380</v>
      </c>
      <c r="B165" s="1">
        <v>45931</v>
      </c>
      <c r="C165" t="s">
        <v>134</v>
      </c>
      <c r="D165" t="s">
        <v>18</v>
      </c>
      <c r="E165" t="s">
        <v>19</v>
      </c>
      <c r="F165" t="s">
        <v>20</v>
      </c>
      <c r="G165" t="s">
        <v>32</v>
      </c>
      <c r="H165" t="s">
        <v>75</v>
      </c>
      <c r="I165">
        <v>3</v>
      </c>
      <c r="J165">
        <v>816.69</v>
      </c>
      <c r="K165">
        <v>0.1</v>
      </c>
      <c r="L165">
        <v>2205.06</v>
      </c>
      <c r="M165" t="s">
        <v>23</v>
      </c>
      <c r="N165" t="s">
        <v>58</v>
      </c>
      <c r="O165" t="s">
        <v>35</v>
      </c>
      <c r="P165" t="s">
        <v>102</v>
      </c>
      <c r="Q165" t="str">
        <f t="shared" si="14"/>
        <v>Cancelled</v>
      </c>
      <c r="R165" t="str">
        <f t="shared" si="15"/>
        <v>Online</v>
      </c>
      <c r="S165" t="str">
        <v>Credit Card</v>
      </c>
      <c r="T165" t="str">
        <v>Accessories</v>
      </c>
      <c r="U165" t="str">
        <f t="shared" si="16"/>
        <v>VALID</v>
      </c>
      <c r="V165" t="str">
        <f t="shared" si="17"/>
        <v>NORMAL</v>
      </c>
      <c r="W165" t="str">
        <f t="shared" si="18"/>
        <v>Valid</v>
      </c>
      <c r="X165">
        <f t="shared" si="20"/>
        <v>2450.0700000000002</v>
      </c>
      <c r="Y165">
        <f t="shared" si="19"/>
        <v>2205.0630000000001</v>
      </c>
    </row>
    <row r="166" spans="1:25" x14ac:dyDescent="0.3">
      <c r="A166" t="s">
        <v>381</v>
      </c>
      <c r="B166" s="1">
        <v>45765</v>
      </c>
      <c r="C166" t="s">
        <v>285</v>
      </c>
      <c r="D166" t="s">
        <v>105</v>
      </c>
      <c r="E166" t="s">
        <v>106</v>
      </c>
      <c r="F166" t="s">
        <v>40</v>
      </c>
      <c r="G166" t="s">
        <v>56</v>
      </c>
      <c r="H166" t="s">
        <v>101</v>
      </c>
      <c r="I166">
        <v>4</v>
      </c>
      <c r="J166">
        <v>7084.87</v>
      </c>
      <c r="K166">
        <v>0.08</v>
      </c>
      <c r="L166">
        <v>26072.32</v>
      </c>
      <c r="M166" t="s">
        <v>48</v>
      </c>
      <c r="N166" t="s">
        <v>34</v>
      </c>
      <c r="O166" t="s">
        <v>65</v>
      </c>
      <c r="P166" t="s">
        <v>42</v>
      </c>
      <c r="Q166" t="str">
        <f t="shared" si="14"/>
        <v>Completed</v>
      </c>
      <c r="R166" t="str">
        <f t="shared" si="15"/>
        <v>Marketplace</v>
      </c>
      <c r="S166" t="str">
        <v>Cash On Delivery</v>
      </c>
      <c r="T166" t="str">
        <v>Furniture</v>
      </c>
      <c r="U166" t="str">
        <f t="shared" si="16"/>
        <v>VALID</v>
      </c>
      <c r="V166" t="str">
        <f t="shared" si="17"/>
        <v>NORMAL</v>
      </c>
      <c r="W166" t="str">
        <f t="shared" si="18"/>
        <v>Valid</v>
      </c>
      <c r="X166">
        <f t="shared" si="20"/>
        <v>28339.48</v>
      </c>
      <c r="Y166">
        <f t="shared" si="19"/>
        <v>26072.321599999999</v>
      </c>
    </row>
    <row r="167" spans="1:25" x14ac:dyDescent="0.3">
      <c r="A167" t="s">
        <v>382</v>
      </c>
      <c r="B167" s="1">
        <v>45696</v>
      </c>
      <c r="C167" t="s">
        <v>78</v>
      </c>
      <c r="D167" t="s">
        <v>45</v>
      </c>
      <c r="E167" t="s">
        <v>46</v>
      </c>
      <c r="F167" t="s">
        <v>31</v>
      </c>
      <c r="G167" t="s">
        <v>32</v>
      </c>
      <c r="H167" t="s">
        <v>75</v>
      </c>
      <c r="I167">
        <v>5</v>
      </c>
      <c r="J167">
        <v>1748.8</v>
      </c>
      <c r="K167">
        <v>0.15</v>
      </c>
      <c r="L167">
        <v>7432.4</v>
      </c>
      <c r="M167" t="s">
        <v>48</v>
      </c>
      <c r="N167" t="s">
        <v>24</v>
      </c>
      <c r="O167" t="s">
        <v>65</v>
      </c>
      <c r="P167" t="s">
        <v>26</v>
      </c>
      <c r="Q167" t="str">
        <f t="shared" si="14"/>
        <v>Completed</v>
      </c>
      <c r="R167" t="str">
        <f t="shared" si="15"/>
        <v>Marketplace</v>
      </c>
      <c r="S167" t="str">
        <v>Debit Card</v>
      </c>
      <c r="T167" t="str">
        <v>Electronics</v>
      </c>
      <c r="U167" t="str">
        <f t="shared" si="16"/>
        <v>VALID</v>
      </c>
      <c r="V167" t="str">
        <f t="shared" si="17"/>
        <v>NORMAL</v>
      </c>
      <c r="W167" t="str">
        <f t="shared" si="18"/>
        <v>Valid</v>
      </c>
      <c r="X167">
        <f t="shared" si="20"/>
        <v>8744</v>
      </c>
      <c r="Y167">
        <f t="shared" si="19"/>
        <v>7432.4</v>
      </c>
    </row>
    <row r="168" spans="1:25" x14ac:dyDescent="0.3">
      <c r="A168" t="s">
        <v>383</v>
      </c>
      <c r="B168" s="1">
        <v>46033</v>
      </c>
      <c r="C168" t="s">
        <v>377</v>
      </c>
      <c r="D168" t="s">
        <v>105</v>
      </c>
      <c r="E168" t="s">
        <v>106</v>
      </c>
      <c r="F168" t="s">
        <v>40</v>
      </c>
      <c r="G168" t="s">
        <v>32</v>
      </c>
      <c r="H168" t="s">
        <v>33</v>
      </c>
      <c r="I168">
        <v>2</v>
      </c>
      <c r="J168">
        <v>7688.3</v>
      </c>
      <c r="K168">
        <v>0.05</v>
      </c>
      <c r="L168">
        <v>14607.77</v>
      </c>
      <c r="M168" t="s">
        <v>48</v>
      </c>
      <c r="N168" t="s">
        <v>34</v>
      </c>
      <c r="O168" t="s">
        <v>25</v>
      </c>
      <c r="P168" t="s">
        <v>72</v>
      </c>
      <c r="Q168" t="str">
        <f t="shared" si="14"/>
        <v>Returned</v>
      </c>
      <c r="R168" t="str">
        <f t="shared" si="15"/>
        <v>Marketplace</v>
      </c>
      <c r="S168" t="str">
        <v>Cash On Delivery</v>
      </c>
      <c r="T168" t="str">
        <v>Furniture</v>
      </c>
      <c r="U168" t="str">
        <f t="shared" si="16"/>
        <v>VALID</v>
      </c>
      <c r="V168" t="str">
        <f t="shared" si="17"/>
        <v>NORMAL</v>
      </c>
      <c r="W168" t="str">
        <f t="shared" si="18"/>
        <v>Valid</v>
      </c>
      <c r="X168">
        <f t="shared" si="20"/>
        <v>15376.6</v>
      </c>
      <c r="Y168">
        <f t="shared" si="19"/>
        <v>14607.77</v>
      </c>
    </row>
    <row r="169" spans="1:25" x14ac:dyDescent="0.3">
      <c r="A169" t="s">
        <v>384</v>
      </c>
      <c r="B169" s="1">
        <v>45971</v>
      </c>
      <c r="C169" t="s">
        <v>385</v>
      </c>
      <c r="D169" t="s">
        <v>89</v>
      </c>
      <c r="E169" t="s">
        <v>90</v>
      </c>
      <c r="F169" t="s">
        <v>20</v>
      </c>
      <c r="G169" t="s">
        <v>32</v>
      </c>
      <c r="H169" t="s">
        <v>33</v>
      </c>
      <c r="I169">
        <v>2</v>
      </c>
      <c r="J169">
        <v>697.83</v>
      </c>
      <c r="K169">
        <v>0.15</v>
      </c>
      <c r="L169">
        <v>1186.31</v>
      </c>
      <c r="M169" t="s">
        <v>48</v>
      </c>
      <c r="N169" t="s">
        <v>58</v>
      </c>
      <c r="O169" t="s">
        <v>65</v>
      </c>
      <c r="P169" t="s">
        <v>26</v>
      </c>
      <c r="Q169" t="str">
        <f t="shared" si="14"/>
        <v>Completed</v>
      </c>
      <c r="R169" t="str">
        <f t="shared" si="15"/>
        <v>Marketplace</v>
      </c>
      <c r="S169" t="str">
        <v>Credit Card</v>
      </c>
      <c r="T169" t="str">
        <v>Accessories</v>
      </c>
      <c r="U169" t="str">
        <f t="shared" si="16"/>
        <v>VALID</v>
      </c>
      <c r="V169" t="str">
        <f t="shared" si="17"/>
        <v>NORMAL</v>
      </c>
      <c r="W169" t="str">
        <f t="shared" si="18"/>
        <v>Valid</v>
      </c>
      <c r="X169">
        <f t="shared" si="20"/>
        <v>1395.66</v>
      </c>
      <c r="Y169">
        <f t="shared" si="19"/>
        <v>1186.3110000000001</v>
      </c>
    </row>
    <row r="170" spans="1:25" x14ac:dyDescent="0.3">
      <c r="A170" t="s">
        <v>386</v>
      </c>
      <c r="B170" s="1">
        <v>45870</v>
      </c>
      <c r="C170" t="s">
        <v>202</v>
      </c>
      <c r="D170" t="s">
        <v>131</v>
      </c>
      <c r="E170" t="s">
        <v>132</v>
      </c>
      <c r="F170" t="s">
        <v>40</v>
      </c>
      <c r="G170" t="s">
        <v>56</v>
      </c>
      <c r="H170" t="s">
        <v>123</v>
      </c>
      <c r="I170">
        <v>2</v>
      </c>
      <c r="J170">
        <v>9363.17</v>
      </c>
      <c r="K170">
        <v>0.08</v>
      </c>
      <c r="L170">
        <v>17228.23</v>
      </c>
      <c r="M170" t="s">
        <v>23</v>
      </c>
      <c r="N170" t="s">
        <v>49</v>
      </c>
      <c r="O170" t="s">
        <v>35</v>
      </c>
      <c r="P170" t="s">
        <v>42</v>
      </c>
      <c r="Q170" t="str">
        <f t="shared" si="14"/>
        <v>Cancelled</v>
      </c>
      <c r="R170" t="str">
        <f t="shared" si="15"/>
        <v>Online</v>
      </c>
      <c r="S170" t="str">
        <v>Net Banking</v>
      </c>
      <c r="T170" t="str">
        <v>Furniture</v>
      </c>
      <c r="U170" t="str">
        <f t="shared" si="16"/>
        <v>VALID</v>
      </c>
      <c r="V170" t="str">
        <f t="shared" si="17"/>
        <v>NORMAL</v>
      </c>
      <c r="W170" t="str">
        <f t="shared" si="18"/>
        <v>Valid</v>
      </c>
      <c r="X170">
        <f t="shared" si="20"/>
        <v>18726.34</v>
      </c>
      <c r="Y170">
        <f t="shared" si="19"/>
        <v>17228.232800000002</v>
      </c>
    </row>
    <row r="171" spans="1:25" x14ac:dyDescent="0.3">
      <c r="A171" t="s">
        <v>387</v>
      </c>
      <c r="B171" s="1">
        <v>46076</v>
      </c>
      <c r="C171" t="s">
        <v>309</v>
      </c>
      <c r="D171" t="s">
        <v>85</v>
      </c>
      <c r="E171" t="s">
        <v>86</v>
      </c>
      <c r="F171" t="s">
        <v>20</v>
      </c>
      <c r="G171" t="s">
        <v>81</v>
      </c>
      <c r="H171" t="s">
        <v>135</v>
      </c>
      <c r="I171">
        <v>2</v>
      </c>
      <c r="J171">
        <v>1752.81</v>
      </c>
      <c r="K171">
        <v>0</v>
      </c>
      <c r="L171">
        <v>3505.62</v>
      </c>
      <c r="M171" t="s">
        <v>23</v>
      </c>
      <c r="N171" t="s">
        <v>34</v>
      </c>
      <c r="O171" t="s">
        <v>65</v>
      </c>
      <c r="P171" t="s">
        <v>50</v>
      </c>
      <c r="Q171" t="str">
        <f t="shared" si="14"/>
        <v>Completed</v>
      </c>
      <c r="R171" t="str">
        <f t="shared" si="15"/>
        <v>Online</v>
      </c>
      <c r="S171" t="str">
        <v>Cash On Delivery</v>
      </c>
      <c r="T171" t="str">
        <v>Accessories</v>
      </c>
      <c r="U171" t="str">
        <f t="shared" si="16"/>
        <v>VALID</v>
      </c>
      <c r="V171" t="str">
        <f t="shared" si="17"/>
        <v>NORMAL</v>
      </c>
      <c r="W171" t="str">
        <f t="shared" si="18"/>
        <v>Valid</v>
      </c>
      <c r="X171">
        <f t="shared" si="20"/>
        <v>3505.62</v>
      </c>
      <c r="Y171">
        <f t="shared" si="19"/>
        <v>3505.62</v>
      </c>
    </row>
    <row r="172" spans="1:25" x14ac:dyDescent="0.3">
      <c r="A172" t="s">
        <v>388</v>
      </c>
      <c r="B172" s="1">
        <v>45930</v>
      </c>
      <c r="C172" t="s">
        <v>389</v>
      </c>
      <c r="D172" t="s">
        <v>18</v>
      </c>
      <c r="E172" t="s">
        <v>19</v>
      </c>
      <c r="F172" t="s">
        <v>20</v>
      </c>
      <c r="G172" t="s">
        <v>21</v>
      </c>
      <c r="H172" t="s">
        <v>93</v>
      </c>
      <c r="I172">
        <v>1</v>
      </c>
      <c r="J172">
        <v>917.81</v>
      </c>
      <c r="K172">
        <v>0</v>
      </c>
      <c r="L172">
        <v>917.81</v>
      </c>
      <c r="M172" t="s">
        <v>23</v>
      </c>
      <c r="N172" t="s">
        <v>34</v>
      </c>
      <c r="O172" t="s">
        <v>65</v>
      </c>
      <c r="P172" t="s">
        <v>72</v>
      </c>
      <c r="Q172" t="str">
        <f t="shared" si="14"/>
        <v>Completed</v>
      </c>
      <c r="R172" t="str">
        <f t="shared" si="15"/>
        <v>Online</v>
      </c>
      <c r="S172" t="str">
        <v>Cash On Delivery</v>
      </c>
      <c r="T172" t="str">
        <v>Accessories</v>
      </c>
      <c r="U172" t="str">
        <f t="shared" si="16"/>
        <v>VALID</v>
      </c>
      <c r="V172" t="str">
        <f t="shared" si="17"/>
        <v>NORMAL</v>
      </c>
      <c r="W172" t="str">
        <f t="shared" si="18"/>
        <v>Valid</v>
      </c>
      <c r="X172">
        <f t="shared" si="20"/>
        <v>917.81</v>
      </c>
      <c r="Y172">
        <f t="shared" si="19"/>
        <v>917.81</v>
      </c>
    </row>
    <row r="173" spans="1:25" x14ac:dyDescent="0.3">
      <c r="A173" t="s">
        <v>390</v>
      </c>
      <c r="B173" s="1">
        <v>45677</v>
      </c>
      <c r="C173" t="s">
        <v>391</v>
      </c>
      <c r="D173" t="s">
        <v>121</v>
      </c>
      <c r="E173" t="s">
        <v>122</v>
      </c>
      <c r="F173" t="s">
        <v>55</v>
      </c>
      <c r="G173" t="s">
        <v>21</v>
      </c>
      <c r="H173" t="s">
        <v>22</v>
      </c>
      <c r="I173">
        <v>5</v>
      </c>
      <c r="J173">
        <v>484.62</v>
      </c>
      <c r="K173">
        <v>0.2</v>
      </c>
      <c r="L173">
        <v>1938.48</v>
      </c>
      <c r="M173" t="s">
        <v>48</v>
      </c>
      <c r="N173" t="s">
        <v>71</v>
      </c>
      <c r="O173" t="s">
        <v>65</v>
      </c>
      <c r="P173" t="s">
        <v>111</v>
      </c>
      <c r="Q173" t="str">
        <f t="shared" si="14"/>
        <v>Completed</v>
      </c>
      <c r="R173" t="str">
        <f t="shared" si="15"/>
        <v>Marketplace</v>
      </c>
      <c r="S173" t="str">
        <v>Upi</v>
      </c>
      <c r="T173" t="str">
        <v>Stationery</v>
      </c>
      <c r="U173" t="str">
        <f t="shared" si="16"/>
        <v>VALID</v>
      </c>
      <c r="V173" t="str">
        <f t="shared" si="17"/>
        <v>NORMAL</v>
      </c>
      <c r="W173" t="str">
        <f t="shared" si="18"/>
        <v>Valid</v>
      </c>
      <c r="X173">
        <f t="shared" si="20"/>
        <v>2423.1</v>
      </c>
      <c r="Y173">
        <f t="shared" si="19"/>
        <v>1938.48</v>
      </c>
    </row>
    <row r="174" spans="1:25" x14ac:dyDescent="0.3">
      <c r="A174" t="s">
        <v>392</v>
      </c>
      <c r="B174" s="1">
        <v>45519</v>
      </c>
      <c r="C174" t="s">
        <v>92</v>
      </c>
      <c r="D174" t="s">
        <v>131</v>
      </c>
      <c r="E174" t="s">
        <v>132</v>
      </c>
      <c r="F174" t="s">
        <v>40</v>
      </c>
      <c r="G174" t="s">
        <v>56</v>
      </c>
      <c r="H174" t="s">
        <v>101</v>
      </c>
      <c r="I174">
        <v>5</v>
      </c>
      <c r="J174">
        <v>8910</v>
      </c>
      <c r="K174">
        <v>0.03</v>
      </c>
      <c r="L174">
        <v>43213.5</v>
      </c>
      <c r="M174" t="s">
        <v>48</v>
      </c>
      <c r="N174" t="s">
        <v>24</v>
      </c>
      <c r="O174" t="s">
        <v>65</v>
      </c>
      <c r="P174" t="s">
        <v>50</v>
      </c>
      <c r="Q174" t="str">
        <f t="shared" si="14"/>
        <v>Completed</v>
      </c>
      <c r="R174" t="str">
        <f t="shared" si="15"/>
        <v>Marketplace</v>
      </c>
      <c r="S174" t="str">
        <v>Debit Card</v>
      </c>
      <c r="T174" t="str">
        <v>Furniture</v>
      </c>
      <c r="U174" t="str">
        <f t="shared" si="16"/>
        <v>VALID</v>
      </c>
      <c r="V174" t="str">
        <f t="shared" si="17"/>
        <v>NORMAL</v>
      </c>
      <c r="W174" t="str">
        <f t="shared" si="18"/>
        <v>Valid</v>
      </c>
      <c r="X174">
        <f t="shared" si="20"/>
        <v>44550</v>
      </c>
      <c r="Y174">
        <f t="shared" si="19"/>
        <v>43213.5</v>
      </c>
    </row>
    <row r="175" spans="1:25" x14ac:dyDescent="0.3">
      <c r="A175" t="s">
        <v>393</v>
      </c>
      <c r="B175" s="1">
        <v>45678</v>
      </c>
      <c r="C175" t="s">
        <v>394</v>
      </c>
      <c r="D175" t="s">
        <v>53</v>
      </c>
      <c r="E175" t="s">
        <v>54</v>
      </c>
      <c r="F175" t="s">
        <v>55</v>
      </c>
      <c r="G175" t="s">
        <v>21</v>
      </c>
      <c r="H175" t="s">
        <v>126</v>
      </c>
      <c r="I175">
        <v>2</v>
      </c>
      <c r="J175">
        <v>226.55</v>
      </c>
      <c r="K175">
        <v>0.08</v>
      </c>
      <c r="L175">
        <v>416.85</v>
      </c>
      <c r="M175" t="s">
        <v>23</v>
      </c>
      <c r="N175" t="s">
        <v>34</v>
      </c>
      <c r="O175" t="s">
        <v>65</v>
      </c>
      <c r="P175" t="s">
        <v>102</v>
      </c>
      <c r="Q175" t="str">
        <f t="shared" si="14"/>
        <v>Completed</v>
      </c>
      <c r="R175" t="str">
        <f t="shared" si="15"/>
        <v>Online</v>
      </c>
      <c r="S175" t="str">
        <v>Cash On Delivery</v>
      </c>
      <c r="T175" t="str">
        <v>Stationery</v>
      </c>
      <c r="U175" t="str">
        <f t="shared" si="16"/>
        <v>VALID</v>
      </c>
      <c r="V175" t="str">
        <f t="shared" si="17"/>
        <v>NORMAL</v>
      </c>
      <c r="W175" t="str">
        <f t="shared" si="18"/>
        <v>Valid</v>
      </c>
      <c r="X175">
        <f t="shared" si="20"/>
        <v>453.1</v>
      </c>
      <c r="Y175">
        <f t="shared" si="19"/>
        <v>416.85200000000003</v>
      </c>
    </row>
    <row r="176" spans="1:25" x14ac:dyDescent="0.3">
      <c r="A176" t="s">
        <v>395</v>
      </c>
      <c r="B176" s="1">
        <v>45320</v>
      </c>
      <c r="C176" t="s">
        <v>130</v>
      </c>
      <c r="D176" t="s">
        <v>53</v>
      </c>
      <c r="E176" t="s">
        <v>54</v>
      </c>
      <c r="F176" t="s">
        <v>55</v>
      </c>
      <c r="G176" t="s">
        <v>81</v>
      </c>
      <c r="H176" t="s">
        <v>87</v>
      </c>
      <c r="I176">
        <v>1</v>
      </c>
      <c r="J176">
        <v>236.78</v>
      </c>
      <c r="K176">
        <v>0.1</v>
      </c>
      <c r="L176">
        <v>213.1</v>
      </c>
      <c r="M176" t="s">
        <v>23</v>
      </c>
      <c r="N176" t="s">
        <v>58</v>
      </c>
      <c r="O176" t="s">
        <v>65</v>
      </c>
      <c r="P176" t="s">
        <v>50</v>
      </c>
      <c r="Q176" t="str">
        <f t="shared" si="14"/>
        <v>Completed</v>
      </c>
      <c r="R176" t="str">
        <f t="shared" si="15"/>
        <v>Online</v>
      </c>
      <c r="S176" t="str">
        <v>Credit Card</v>
      </c>
      <c r="T176" t="str">
        <v>Stationery</v>
      </c>
      <c r="U176" t="str">
        <f t="shared" si="16"/>
        <v>VALID</v>
      </c>
      <c r="V176" t="str">
        <f t="shared" si="17"/>
        <v>NORMAL</v>
      </c>
      <c r="W176" t="str">
        <f t="shared" si="18"/>
        <v>Valid</v>
      </c>
      <c r="X176">
        <f t="shared" si="20"/>
        <v>236.78</v>
      </c>
      <c r="Y176">
        <f t="shared" si="19"/>
        <v>213.102</v>
      </c>
    </row>
    <row r="177" spans="1:25" x14ac:dyDescent="0.3">
      <c r="A177" t="s">
        <v>396</v>
      </c>
      <c r="B177" s="1">
        <v>45679</v>
      </c>
      <c r="C177" t="s">
        <v>397</v>
      </c>
      <c r="D177" t="s">
        <v>79</v>
      </c>
      <c r="E177" t="s">
        <v>80</v>
      </c>
      <c r="F177" t="s">
        <v>31</v>
      </c>
      <c r="G177" t="s">
        <v>81</v>
      </c>
      <c r="H177" t="s">
        <v>135</v>
      </c>
      <c r="I177">
        <v>2</v>
      </c>
      <c r="J177">
        <v>12206.68</v>
      </c>
      <c r="K177">
        <v>0.1</v>
      </c>
      <c r="L177">
        <v>21972.02</v>
      </c>
      <c r="M177" t="s">
        <v>48</v>
      </c>
      <c r="N177" t="s">
        <v>34</v>
      </c>
      <c r="O177" t="s">
        <v>25</v>
      </c>
      <c r="P177" t="s">
        <v>111</v>
      </c>
      <c r="Q177" t="str">
        <f t="shared" si="14"/>
        <v>Returned</v>
      </c>
      <c r="R177" t="str">
        <f t="shared" si="15"/>
        <v>Marketplace</v>
      </c>
      <c r="S177" t="str">
        <v>Cash On Delivery</v>
      </c>
      <c r="T177" t="str">
        <v>Electronics</v>
      </c>
      <c r="U177" t="str">
        <f t="shared" si="16"/>
        <v>VALID</v>
      </c>
      <c r="V177" t="str">
        <f t="shared" si="17"/>
        <v>NORMAL</v>
      </c>
      <c r="W177" t="str">
        <f t="shared" si="18"/>
        <v>Valid</v>
      </c>
      <c r="X177">
        <f t="shared" si="20"/>
        <v>24413.360000000001</v>
      </c>
      <c r="Y177">
        <f t="shared" si="19"/>
        <v>21972.024000000001</v>
      </c>
    </row>
    <row r="178" spans="1:25" x14ac:dyDescent="0.3">
      <c r="A178" t="s">
        <v>398</v>
      </c>
      <c r="B178" s="1">
        <v>46146</v>
      </c>
      <c r="C178" t="s">
        <v>153</v>
      </c>
      <c r="D178" t="s">
        <v>121</v>
      </c>
      <c r="E178" t="s">
        <v>122</v>
      </c>
      <c r="F178" t="s">
        <v>55</v>
      </c>
      <c r="G178" t="s">
        <v>56</v>
      </c>
      <c r="H178" t="s">
        <v>64</v>
      </c>
      <c r="I178">
        <v>2</v>
      </c>
      <c r="J178">
        <v>471.7</v>
      </c>
      <c r="K178">
        <v>0.03</v>
      </c>
      <c r="L178">
        <v>915.1</v>
      </c>
      <c r="M178" t="s">
        <v>76</v>
      </c>
      <c r="N178" t="s">
        <v>58</v>
      </c>
      <c r="O178" t="s">
        <v>25</v>
      </c>
      <c r="P178" t="s">
        <v>42</v>
      </c>
      <c r="Q178" t="str">
        <f t="shared" si="14"/>
        <v>Returned</v>
      </c>
      <c r="R178" t="str">
        <f t="shared" si="15"/>
        <v>Store</v>
      </c>
      <c r="S178" t="str">
        <v>Credit Card</v>
      </c>
      <c r="T178" t="str">
        <v>Stationery</v>
      </c>
      <c r="U178" t="str">
        <f t="shared" si="16"/>
        <v>VALID</v>
      </c>
      <c r="V178" t="str">
        <f t="shared" si="17"/>
        <v>NORMAL</v>
      </c>
      <c r="W178" t="str">
        <f t="shared" si="18"/>
        <v>Valid</v>
      </c>
      <c r="X178">
        <f t="shared" si="20"/>
        <v>943.4</v>
      </c>
      <c r="Y178">
        <f t="shared" si="19"/>
        <v>915.09799999999996</v>
      </c>
    </row>
    <row r="179" spans="1:25" x14ac:dyDescent="0.3">
      <c r="A179" t="s">
        <v>399</v>
      </c>
      <c r="B179" s="1">
        <v>45423</v>
      </c>
      <c r="C179" t="s">
        <v>134</v>
      </c>
      <c r="D179" t="s">
        <v>85</v>
      </c>
      <c r="E179" t="s">
        <v>86</v>
      </c>
      <c r="F179" t="s">
        <v>20</v>
      </c>
      <c r="G179" t="s">
        <v>32</v>
      </c>
      <c r="H179" t="s">
        <v>75</v>
      </c>
      <c r="I179">
        <v>5</v>
      </c>
      <c r="J179">
        <v>1700.22</v>
      </c>
      <c r="K179">
        <v>0</v>
      </c>
      <c r="L179">
        <v>8501.1</v>
      </c>
      <c r="M179" t="s">
        <v>23</v>
      </c>
      <c r="N179" t="s">
        <v>71</v>
      </c>
      <c r="O179" t="s">
        <v>65</v>
      </c>
      <c r="P179" t="s">
        <v>72</v>
      </c>
      <c r="Q179" t="str">
        <f t="shared" si="14"/>
        <v>Completed</v>
      </c>
      <c r="R179" t="str">
        <f t="shared" si="15"/>
        <v>Online</v>
      </c>
      <c r="S179" t="str">
        <v>Upi</v>
      </c>
      <c r="T179" t="str">
        <v>Accessories</v>
      </c>
      <c r="U179" t="str">
        <f t="shared" si="16"/>
        <v>VALID</v>
      </c>
      <c r="V179" t="str">
        <f t="shared" si="17"/>
        <v>NORMAL</v>
      </c>
      <c r="W179" t="str">
        <f t="shared" si="18"/>
        <v>Valid</v>
      </c>
      <c r="X179">
        <f t="shared" si="20"/>
        <v>8501.1</v>
      </c>
      <c r="Y179">
        <f t="shared" si="19"/>
        <v>8501.1</v>
      </c>
    </row>
    <row r="180" spans="1:25" x14ac:dyDescent="0.3">
      <c r="A180" t="s">
        <v>400</v>
      </c>
      <c r="B180" s="1">
        <v>45498</v>
      </c>
      <c r="C180" t="s">
        <v>196</v>
      </c>
      <c r="D180" t="s">
        <v>170</v>
      </c>
      <c r="E180" t="s">
        <v>171</v>
      </c>
      <c r="F180" t="s">
        <v>31</v>
      </c>
      <c r="G180" t="s">
        <v>81</v>
      </c>
      <c r="H180" t="s">
        <v>87</v>
      </c>
      <c r="I180">
        <v>3</v>
      </c>
      <c r="J180">
        <v>60162.32</v>
      </c>
      <c r="K180">
        <v>0.15</v>
      </c>
      <c r="L180">
        <v>153413.92000000001</v>
      </c>
      <c r="M180" t="s">
        <v>76</v>
      </c>
      <c r="N180" t="s">
        <v>49</v>
      </c>
      <c r="O180" t="s">
        <v>35</v>
      </c>
      <c r="P180" t="s">
        <v>42</v>
      </c>
      <c r="Q180" t="str">
        <f t="shared" si="14"/>
        <v>Cancelled</v>
      </c>
      <c r="R180" t="str">
        <f t="shared" si="15"/>
        <v>Store</v>
      </c>
      <c r="S180" t="str">
        <v>Net Banking</v>
      </c>
      <c r="T180" t="str">
        <v>Electronics</v>
      </c>
      <c r="U180" t="str">
        <f t="shared" si="16"/>
        <v>VALID</v>
      </c>
      <c r="V180" t="str">
        <f t="shared" si="17"/>
        <v>NORMAL</v>
      </c>
      <c r="W180" t="str">
        <f t="shared" si="18"/>
        <v>Valid</v>
      </c>
      <c r="X180">
        <f t="shared" si="20"/>
        <v>180486.96</v>
      </c>
      <c r="Y180">
        <f t="shared" si="19"/>
        <v>153413.916</v>
      </c>
    </row>
    <row r="181" spans="1:25" x14ac:dyDescent="0.3">
      <c r="A181" t="s">
        <v>401</v>
      </c>
      <c r="B181" s="1">
        <v>45445</v>
      </c>
      <c r="C181" t="s">
        <v>365</v>
      </c>
      <c r="D181" t="s">
        <v>170</v>
      </c>
      <c r="E181" t="s">
        <v>171</v>
      </c>
      <c r="F181" t="s">
        <v>31</v>
      </c>
      <c r="G181" t="s">
        <v>81</v>
      </c>
      <c r="H181" t="s">
        <v>82</v>
      </c>
      <c r="I181">
        <v>1</v>
      </c>
      <c r="J181">
        <v>68360.5</v>
      </c>
      <c r="K181">
        <v>0.2</v>
      </c>
      <c r="L181">
        <v>54688.4</v>
      </c>
      <c r="M181" t="s">
        <v>76</v>
      </c>
      <c r="N181" t="s">
        <v>34</v>
      </c>
      <c r="O181" t="s">
        <v>65</v>
      </c>
      <c r="P181" t="s">
        <v>72</v>
      </c>
      <c r="Q181" t="str">
        <f t="shared" si="14"/>
        <v>Completed</v>
      </c>
      <c r="R181" t="str">
        <f t="shared" si="15"/>
        <v>Store</v>
      </c>
      <c r="S181" t="str">
        <v>Cash On Delivery</v>
      </c>
      <c r="T181" t="str">
        <v>Electronics</v>
      </c>
      <c r="U181" t="str">
        <f t="shared" si="16"/>
        <v>VALID</v>
      </c>
      <c r="V181" t="str">
        <f t="shared" si="17"/>
        <v>NORMAL</v>
      </c>
      <c r="W181" t="str">
        <f t="shared" si="18"/>
        <v>Valid</v>
      </c>
      <c r="X181">
        <f t="shared" si="20"/>
        <v>68360.5</v>
      </c>
      <c r="Y181">
        <f t="shared" si="19"/>
        <v>54688.4</v>
      </c>
    </row>
    <row r="182" spans="1:25" x14ac:dyDescent="0.3">
      <c r="A182" t="s">
        <v>402</v>
      </c>
      <c r="B182" s="1">
        <v>45678</v>
      </c>
      <c r="C182" t="s">
        <v>289</v>
      </c>
      <c r="D182" t="s">
        <v>105</v>
      </c>
      <c r="E182" t="s">
        <v>106</v>
      </c>
      <c r="F182" t="s">
        <v>40</v>
      </c>
      <c r="G182" t="s">
        <v>21</v>
      </c>
      <c r="H182" t="s">
        <v>22</v>
      </c>
      <c r="I182">
        <v>4</v>
      </c>
      <c r="J182">
        <v>7490.68</v>
      </c>
      <c r="K182">
        <v>0.1</v>
      </c>
      <c r="L182">
        <v>26966.45</v>
      </c>
      <c r="M182" t="s">
        <v>76</v>
      </c>
      <c r="N182" t="s">
        <v>24</v>
      </c>
      <c r="O182" t="s">
        <v>35</v>
      </c>
      <c r="P182" t="s">
        <v>26</v>
      </c>
      <c r="Q182" t="str">
        <f t="shared" si="14"/>
        <v>Cancelled</v>
      </c>
      <c r="R182" t="str">
        <f t="shared" si="15"/>
        <v>Store</v>
      </c>
      <c r="S182" t="str">
        <v>Debit Card</v>
      </c>
      <c r="T182" t="str">
        <v>Furniture</v>
      </c>
      <c r="U182" t="str">
        <f t="shared" si="16"/>
        <v>VALID</v>
      </c>
      <c r="V182" t="str">
        <f t="shared" si="17"/>
        <v>NORMAL</v>
      </c>
      <c r="W182" t="str">
        <f t="shared" si="18"/>
        <v>Valid</v>
      </c>
      <c r="X182">
        <f t="shared" si="20"/>
        <v>29962.720000000001</v>
      </c>
      <c r="Y182">
        <f t="shared" si="19"/>
        <v>26966.448</v>
      </c>
    </row>
    <row r="183" spans="1:25" x14ac:dyDescent="0.3">
      <c r="A183" t="s">
        <v>403</v>
      </c>
      <c r="B183" s="1">
        <v>45715</v>
      </c>
      <c r="C183" t="s">
        <v>404</v>
      </c>
      <c r="D183" t="s">
        <v>131</v>
      </c>
      <c r="E183" t="s">
        <v>132</v>
      </c>
      <c r="F183" t="s">
        <v>40</v>
      </c>
      <c r="G183" t="s">
        <v>56</v>
      </c>
      <c r="H183" t="s">
        <v>57</v>
      </c>
      <c r="I183">
        <v>3</v>
      </c>
      <c r="J183">
        <v>9056.74</v>
      </c>
      <c r="K183">
        <v>0.03</v>
      </c>
      <c r="L183">
        <v>26355.11</v>
      </c>
      <c r="M183" t="s">
        <v>48</v>
      </c>
      <c r="N183" t="s">
        <v>71</v>
      </c>
      <c r="O183" t="s">
        <v>35</v>
      </c>
      <c r="P183" t="s">
        <v>72</v>
      </c>
      <c r="Q183" t="str">
        <f t="shared" si="14"/>
        <v>Cancelled</v>
      </c>
      <c r="R183" t="str">
        <f t="shared" si="15"/>
        <v>Marketplace</v>
      </c>
      <c r="S183" t="str">
        <v>Upi</v>
      </c>
      <c r="T183" t="str">
        <v>Furniture</v>
      </c>
      <c r="U183" t="str">
        <f t="shared" si="16"/>
        <v>VALID</v>
      </c>
      <c r="V183" t="str">
        <f t="shared" si="17"/>
        <v>NORMAL</v>
      </c>
      <c r="W183" t="str">
        <f t="shared" si="18"/>
        <v>Valid</v>
      </c>
      <c r="X183">
        <f t="shared" si="20"/>
        <v>27170.22</v>
      </c>
      <c r="Y183">
        <f t="shared" si="19"/>
        <v>26355.113400000002</v>
      </c>
    </row>
    <row r="184" spans="1:25" x14ac:dyDescent="0.3">
      <c r="A184" t="s">
        <v>405</v>
      </c>
      <c r="B184" s="1">
        <v>45599</v>
      </c>
      <c r="C184" t="s">
        <v>406</v>
      </c>
      <c r="D184" t="s">
        <v>45</v>
      </c>
      <c r="E184" t="s">
        <v>46</v>
      </c>
      <c r="F184" t="s">
        <v>31</v>
      </c>
      <c r="G184" t="s">
        <v>81</v>
      </c>
      <c r="H184" t="s">
        <v>82</v>
      </c>
      <c r="I184">
        <v>1</v>
      </c>
      <c r="J184">
        <v>1770.77</v>
      </c>
      <c r="K184">
        <v>0</v>
      </c>
      <c r="L184">
        <v>1770.77</v>
      </c>
      <c r="M184" t="s">
        <v>48</v>
      </c>
      <c r="N184" t="s">
        <v>34</v>
      </c>
      <c r="O184" t="s">
        <v>65</v>
      </c>
      <c r="P184" t="s">
        <v>102</v>
      </c>
      <c r="Q184" t="str">
        <f t="shared" si="14"/>
        <v>Completed</v>
      </c>
      <c r="R184" t="str">
        <f t="shared" si="15"/>
        <v>Marketplace</v>
      </c>
      <c r="S184" t="str">
        <v>Cash On Delivery</v>
      </c>
      <c r="T184" t="str">
        <v>Electronics</v>
      </c>
      <c r="U184" t="str">
        <f t="shared" si="16"/>
        <v>VALID</v>
      </c>
      <c r="V184" t="str">
        <f t="shared" si="17"/>
        <v>NORMAL</v>
      </c>
      <c r="W184" t="str">
        <f t="shared" si="18"/>
        <v>Valid</v>
      </c>
      <c r="X184">
        <f t="shared" si="20"/>
        <v>1770.77</v>
      </c>
      <c r="Y184">
        <f t="shared" si="19"/>
        <v>1770.77</v>
      </c>
    </row>
    <row r="185" spans="1:25" x14ac:dyDescent="0.3">
      <c r="A185" t="s">
        <v>407</v>
      </c>
      <c r="B185" s="1">
        <v>45888</v>
      </c>
      <c r="C185" t="s">
        <v>186</v>
      </c>
      <c r="D185" t="s">
        <v>45</v>
      </c>
      <c r="E185" t="s">
        <v>46</v>
      </c>
      <c r="F185" t="s">
        <v>31</v>
      </c>
      <c r="G185" t="s">
        <v>56</v>
      </c>
      <c r="I185">
        <v>5</v>
      </c>
      <c r="J185">
        <v>1908.02</v>
      </c>
      <c r="K185">
        <v>0.05</v>
      </c>
      <c r="L185">
        <v>9063.09</v>
      </c>
      <c r="M185" t="s">
        <v>48</v>
      </c>
      <c r="N185" t="s">
        <v>34</v>
      </c>
      <c r="O185" t="s">
        <v>65</v>
      </c>
      <c r="P185" t="s">
        <v>50</v>
      </c>
      <c r="Q185" t="str">
        <f t="shared" si="14"/>
        <v>Completed</v>
      </c>
      <c r="R185" t="str">
        <f t="shared" si="15"/>
        <v>Marketplace</v>
      </c>
      <c r="S185" t="str">
        <v>Cash On Delivery</v>
      </c>
      <c r="T185" t="str">
        <v>Electronics</v>
      </c>
      <c r="U185" t="str">
        <f t="shared" si="16"/>
        <v>VALID</v>
      </c>
      <c r="V185" t="str">
        <f t="shared" si="17"/>
        <v>NORMAL</v>
      </c>
      <c r="W185" t="str">
        <f t="shared" si="18"/>
        <v>Valid</v>
      </c>
      <c r="X185">
        <f t="shared" si="20"/>
        <v>9540.1</v>
      </c>
      <c r="Y185">
        <f t="shared" si="19"/>
        <v>9063.0950000000012</v>
      </c>
    </row>
    <row r="186" spans="1:25" x14ac:dyDescent="0.3">
      <c r="A186" t="s">
        <v>408</v>
      </c>
      <c r="B186" s="1">
        <v>45854</v>
      </c>
      <c r="C186" t="s">
        <v>409</v>
      </c>
      <c r="D186" t="s">
        <v>79</v>
      </c>
      <c r="E186" t="s">
        <v>80</v>
      </c>
      <c r="F186" t="s">
        <v>31</v>
      </c>
      <c r="G186" t="s">
        <v>56</v>
      </c>
      <c r="H186" t="s">
        <v>64</v>
      </c>
      <c r="I186">
        <v>4</v>
      </c>
      <c r="J186">
        <v>12969.45</v>
      </c>
      <c r="K186">
        <v>0.2</v>
      </c>
      <c r="L186">
        <v>41502.239999999998</v>
      </c>
      <c r="M186" t="s">
        <v>76</v>
      </c>
      <c r="N186" t="s">
        <v>49</v>
      </c>
      <c r="O186" t="s">
        <v>65</v>
      </c>
      <c r="P186" t="s">
        <v>59</v>
      </c>
      <c r="Q186" t="str">
        <f t="shared" si="14"/>
        <v>Completed</v>
      </c>
      <c r="R186" t="str">
        <f t="shared" si="15"/>
        <v>Store</v>
      </c>
      <c r="S186" t="str">
        <v>Net Banking</v>
      </c>
      <c r="T186" t="str">
        <v>Electronics</v>
      </c>
      <c r="U186" t="str">
        <f t="shared" si="16"/>
        <v>VALID</v>
      </c>
      <c r="V186" t="str">
        <f t="shared" si="17"/>
        <v>NORMAL</v>
      </c>
      <c r="W186" t="str">
        <f t="shared" si="18"/>
        <v>Valid</v>
      </c>
      <c r="X186">
        <f t="shared" si="20"/>
        <v>51877.8</v>
      </c>
      <c r="Y186">
        <f t="shared" si="19"/>
        <v>41502.240000000005</v>
      </c>
    </row>
    <row r="187" spans="1:25" x14ac:dyDescent="0.3">
      <c r="A187" t="s">
        <v>410</v>
      </c>
      <c r="B187" s="1">
        <v>46047</v>
      </c>
      <c r="C187" t="s">
        <v>411</v>
      </c>
      <c r="D187" t="s">
        <v>105</v>
      </c>
      <c r="E187" t="s">
        <v>106</v>
      </c>
      <c r="F187" t="s">
        <v>40</v>
      </c>
      <c r="G187" t="s">
        <v>21</v>
      </c>
      <c r="H187" t="s">
        <v>126</v>
      </c>
      <c r="I187">
        <v>3</v>
      </c>
      <c r="J187">
        <v>6680.98</v>
      </c>
      <c r="K187">
        <v>0</v>
      </c>
      <c r="L187">
        <v>20042.939999999999</v>
      </c>
      <c r="M187" t="s">
        <v>76</v>
      </c>
      <c r="N187" t="s">
        <v>24</v>
      </c>
      <c r="O187" t="s">
        <v>65</v>
      </c>
      <c r="P187" t="s">
        <v>42</v>
      </c>
      <c r="Q187" t="str">
        <f t="shared" si="14"/>
        <v>Completed</v>
      </c>
      <c r="R187" t="str">
        <f t="shared" si="15"/>
        <v>Store</v>
      </c>
      <c r="S187" t="str">
        <v>Debit Card</v>
      </c>
      <c r="T187" t="str">
        <v>Furniture</v>
      </c>
      <c r="U187" t="str">
        <f t="shared" si="16"/>
        <v>VALID</v>
      </c>
      <c r="V187" t="str">
        <f t="shared" si="17"/>
        <v>NORMAL</v>
      </c>
      <c r="W187" t="str">
        <f t="shared" si="18"/>
        <v>Valid</v>
      </c>
      <c r="X187">
        <f t="shared" si="20"/>
        <v>20042.939999999999</v>
      </c>
      <c r="Y187">
        <f t="shared" si="19"/>
        <v>20042.939999999999</v>
      </c>
    </row>
    <row r="188" spans="1:25" x14ac:dyDescent="0.3">
      <c r="A188" t="s">
        <v>412</v>
      </c>
      <c r="B188" s="1">
        <v>45555</v>
      </c>
      <c r="C188" t="s">
        <v>406</v>
      </c>
      <c r="D188" t="s">
        <v>121</v>
      </c>
      <c r="E188" t="s">
        <v>122</v>
      </c>
      <c r="F188" t="s">
        <v>55</v>
      </c>
      <c r="G188" t="s">
        <v>56</v>
      </c>
      <c r="H188" t="s">
        <v>64</v>
      </c>
      <c r="I188">
        <v>4</v>
      </c>
      <c r="J188">
        <v>454.41</v>
      </c>
      <c r="K188">
        <v>0</v>
      </c>
      <c r="L188">
        <v>1817.64</v>
      </c>
      <c r="M188" t="s">
        <v>76</v>
      </c>
      <c r="N188" t="s">
        <v>49</v>
      </c>
      <c r="O188" t="s">
        <v>413</v>
      </c>
      <c r="P188" t="s">
        <v>50</v>
      </c>
      <c r="Q188" t="str">
        <f t="shared" si="14"/>
        <v>Completed</v>
      </c>
      <c r="R188" t="str">
        <f t="shared" si="15"/>
        <v>Store</v>
      </c>
      <c r="S188" t="str">
        <v>Net Banking</v>
      </c>
      <c r="T188" t="str">
        <v>Stationery</v>
      </c>
      <c r="U188" t="str">
        <f t="shared" si="16"/>
        <v>VALID</v>
      </c>
      <c r="V188" t="str">
        <f t="shared" si="17"/>
        <v>NORMAL</v>
      </c>
      <c r="W188" t="str">
        <f t="shared" si="18"/>
        <v>Valid</v>
      </c>
      <c r="X188">
        <f t="shared" si="20"/>
        <v>1817.64</v>
      </c>
      <c r="Y188">
        <f t="shared" si="19"/>
        <v>1817.64</v>
      </c>
    </row>
    <row r="189" spans="1:25" x14ac:dyDescent="0.3">
      <c r="A189" t="s">
        <v>414</v>
      </c>
      <c r="B189" s="1">
        <v>45767</v>
      </c>
      <c r="C189" t="s">
        <v>194</v>
      </c>
      <c r="D189" t="s">
        <v>45</v>
      </c>
      <c r="E189" t="s">
        <v>46</v>
      </c>
      <c r="F189" t="s">
        <v>31</v>
      </c>
      <c r="G189" t="s">
        <v>56</v>
      </c>
      <c r="H189" t="s">
        <v>64</v>
      </c>
      <c r="I189">
        <v>3</v>
      </c>
      <c r="J189">
        <v>1850.88</v>
      </c>
      <c r="K189">
        <v>0.08</v>
      </c>
      <c r="L189">
        <v>5108.43</v>
      </c>
      <c r="M189" t="s">
        <v>76</v>
      </c>
      <c r="N189" t="s">
        <v>71</v>
      </c>
      <c r="O189" t="s">
        <v>65</v>
      </c>
      <c r="P189" t="s">
        <v>50</v>
      </c>
      <c r="Q189" t="str">
        <f t="shared" si="14"/>
        <v>Completed</v>
      </c>
      <c r="R189" t="str">
        <f t="shared" si="15"/>
        <v>Store</v>
      </c>
      <c r="S189" t="str">
        <v>Upi</v>
      </c>
      <c r="T189" t="str">
        <v>Electronics</v>
      </c>
      <c r="U189" t="str">
        <f t="shared" si="16"/>
        <v>VALID</v>
      </c>
      <c r="V189" t="str">
        <f t="shared" si="17"/>
        <v>NORMAL</v>
      </c>
      <c r="W189" t="str">
        <f t="shared" si="18"/>
        <v>Valid</v>
      </c>
      <c r="X189">
        <f t="shared" si="20"/>
        <v>5552.64</v>
      </c>
      <c r="Y189">
        <f t="shared" si="19"/>
        <v>5108.4288000000006</v>
      </c>
    </row>
    <row r="190" spans="1:25" x14ac:dyDescent="0.3">
      <c r="A190" t="s">
        <v>415</v>
      </c>
      <c r="B190" s="1">
        <v>45837</v>
      </c>
      <c r="C190" t="s">
        <v>416</v>
      </c>
      <c r="D190" t="s">
        <v>62</v>
      </c>
      <c r="E190" t="s">
        <v>63</v>
      </c>
      <c r="F190" t="s">
        <v>31</v>
      </c>
      <c r="G190" t="s">
        <v>32</v>
      </c>
      <c r="H190" t="s">
        <v>68</v>
      </c>
      <c r="I190">
        <v>4</v>
      </c>
      <c r="J190">
        <v>2974.84</v>
      </c>
      <c r="K190">
        <v>0.15</v>
      </c>
      <c r="L190">
        <v>10114.459999999999</v>
      </c>
      <c r="M190" t="s">
        <v>76</v>
      </c>
      <c r="N190" t="s">
        <v>34</v>
      </c>
      <c r="O190" t="s">
        <v>65</v>
      </c>
      <c r="P190" t="s">
        <v>111</v>
      </c>
      <c r="Q190" t="str">
        <f t="shared" si="14"/>
        <v>Completed</v>
      </c>
      <c r="R190" t="str">
        <f t="shared" si="15"/>
        <v>Store</v>
      </c>
      <c r="S190" t="str">
        <v>Cash On Delivery</v>
      </c>
      <c r="T190" t="str">
        <v>Electronics</v>
      </c>
      <c r="U190" t="str">
        <f t="shared" si="16"/>
        <v>VALID</v>
      </c>
      <c r="V190" t="str">
        <f t="shared" si="17"/>
        <v>NORMAL</v>
      </c>
      <c r="W190" t="str">
        <f t="shared" si="18"/>
        <v>Valid</v>
      </c>
      <c r="X190">
        <f t="shared" si="20"/>
        <v>11899.36</v>
      </c>
      <c r="Y190">
        <f t="shared" si="19"/>
        <v>10114.456</v>
      </c>
    </row>
    <row r="191" spans="1:25" x14ac:dyDescent="0.3">
      <c r="A191" t="s">
        <v>417</v>
      </c>
      <c r="B191" s="1">
        <v>46145</v>
      </c>
      <c r="C191" t="s">
        <v>61</v>
      </c>
      <c r="D191" t="s">
        <v>53</v>
      </c>
      <c r="E191" t="s">
        <v>54</v>
      </c>
      <c r="F191" t="s">
        <v>55</v>
      </c>
      <c r="G191" t="s">
        <v>81</v>
      </c>
      <c r="H191" t="s">
        <v>98</v>
      </c>
      <c r="I191">
        <v>2</v>
      </c>
      <c r="J191">
        <v>223.02</v>
      </c>
      <c r="K191">
        <v>0.03</v>
      </c>
      <c r="L191">
        <v>432.66</v>
      </c>
      <c r="M191" t="s">
        <v>23</v>
      </c>
      <c r="N191" t="s">
        <v>49</v>
      </c>
      <c r="O191" t="s">
        <v>65</v>
      </c>
      <c r="P191" t="s">
        <v>50</v>
      </c>
      <c r="Q191" t="str">
        <f t="shared" si="14"/>
        <v>Completed</v>
      </c>
      <c r="R191" t="str">
        <f t="shared" si="15"/>
        <v>Online</v>
      </c>
      <c r="S191" t="str">
        <v>Net Banking</v>
      </c>
      <c r="T191" t="str">
        <v>Stationery</v>
      </c>
      <c r="U191" t="str">
        <f t="shared" si="16"/>
        <v>VALID</v>
      </c>
      <c r="V191" t="str">
        <f t="shared" si="17"/>
        <v>NORMAL</v>
      </c>
      <c r="W191" t="str">
        <f t="shared" si="18"/>
        <v>Valid</v>
      </c>
      <c r="X191">
        <f t="shared" si="20"/>
        <v>446.04</v>
      </c>
      <c r="Y191">
        <f t="shared" si="19"/>
        <v>432.65880000000004</v>
      </c>
    </row>
    <row r="192" spans="1:25" x14ac:dyDescent="0.3">
      <c r="A192" t="s">
        <v>418</v>
      </c>
      <c r="B192" s="1">
        <v>46105</v>
      </c>
      <c r="C192" t="s">
        <v>419</v>
      </c>
      <c r="D192" t="s">
        <v>96</v>
      </c>
      <c r="E192" t="s">
        <v>97</v>
      </c>
      <c r="F192" t="s">
        <v>31</v>
      </c>
      <c r="G192" t="s">
        <v>56</v>
      </c>
      <c r="H192" t="s">
        <v>64</v>
      </c>
      <c r="I192">
        <v>2</v>
      </c>
      <c r="J192">
        <v>1137.82</v>
      </c>
      <c r="K192">
        <v>0</v>
      </c>
      <c r="L192">
        <v>2275.64</v>
      </c>
      <c r="M192" t="s">
        <v>23</v>
      </c>
      <c r="N192" t="s">
        <v>49</v>
      </c>
      <c r="O192" t="s">
        <v>25</v>
      </c>
      <c r="P192" t="s">
        <v>50</v>
      </c>
      <c r="Q192" t="str">
        <f t="shared" si="14"/>
        <v>Returned</v>
      </c>
      <c r="R192" t="str">
        <f t="shared" si="15"/>
        <v>Online</v>
      </c>
      <c r="S192" t="str">
        <v>Net Banking</v>
      </c>
      <c r="T192" t="str">
        <v>Electronics</v>
      </c>
      <c r="U192" t="str">
        <f t="shared" si="16"/>
        <v>VALID</v>
      </c>
      <c r="V192" t="str">
        <f t="shared" si="17"/>
        <v>NORMAL</v>
      </c>
      <c r="W192" t="str">
        <f t="shared" si="18"/>
        <v>Valid</v>
      </c>
      <c r="X192">
        <f t="shared" si="20"/>
        <v>2275.64</v>
      </c>
      <c r="Y192">
        <f t="shared" si="19"/>
        <v>2275.64</v>
      </c>
    </row>
    <row r="193" spans="1:25" x14ac:dyDescent="0.3">
      <c r="A193" t="s">
        <v>420</v>
      </c>
      <c r="B193" s="1">
        <v>45584</v>
      </c>
      <c r="C193" t="s">
        <v>257</v>
      </c>
      <c r="D193" t="s">
        <v>105</v>
      </c>
      <c r="E193" t="s">
        <v>106</v>
      </c>
      <c r="F193" t="s">
        <v>40</v>
      </c>
      <c r="G193" t="s">
        <v>56</v>
      </c>
      <c r="H193" t="s">
        <v>123</v>
      </c>
      <c r="I193">
        <v>2</v>
      </c>
      <c r="J193">
        <v>7035.69</v>
      </c>
      <c r="K193">
        <v>0</v>
      </c>
      <c r="L193">
        <v>14071.38</v>
      </c>
      <c r="M193" t="s">
        <v>48</v>
      </c>
      <c r="N193" t="s">
        <v>49</v>
      </c>
      <c r="O193" t="s">
        <v>65</v>
      </c>
      <c r="P193" t="s">
        <v>50</v>
      </c>
      <c r="Q193" t="str">
        <f t="shared" si="14"/>
        <v>Completed</v>
      </c>
      <c r="R193" t="str">
        <f t="shared" si="15"/>
        <v>Marketplace</v>
      </c>
      <c r="S193" t="str">
        <v>Net Banking</v>
      </c>
      <c r="T193" t="str">
        <v>Furniture</v>
      </c>
      <c r="U193" t="str">
        <f t="shared" si="16"/>
        <v>VALID</v>
      </c>
      <c r="V193" t="str">
        <f t="shared" si="17"/>
        <v>NORMAL</v>
      </c>
      <c r="W193" t="str">
        <f t="shared" si="18"/>
        <v>Valid</v>
      </c>
      <c r="X193">
        <f t="shared" si="20"/>
        <v>14071.38</v>
      </c>
      <c r="Y193">
        <f t="shared" si="19"/>
        <v>14071.38</v>
      </c>
    </row>
    <row r="194" spans="1:25" x14ac:dyDescent="0.3">
      <c r="A194" t="s">
        <v>421</v>
      </c>
      <c r="B194" s="1">
        <v>46022</v>
      </c>
      <c r="C194" t="s">
        <v>422</v>
      </c>
      <c r="D194" t="s">
        <v>62</v>
      </c>
      <c r="E194" t="s">
        <v>63</v>
      </c>
      <c r="F194" t="s">
        <v>31</v>
      </c>
      <c r="G194" t="s">
        <v>81</v>
      </c>
      <c r="H194" t="s">
        <v>98</v>
      </c>
      <c r="I194">
        <v>5</v>
      </c>
      <c r="J194">
        <v>2624.12</v>
      </c>
      <c r="K194">
        <v>0.1</v>
      </c>
      <c r="L194">
        <v>11808.54</v>
      </c>
      <c r="M194" t="s">
        <v>23</v>
      </c>
      <c r="N194" t="s">
        <v>24</v>
      </c>
      <c r="O194" t="s">
        <v>65</v>
      </c>
      <c r="P194" t="s">
        <v>59</v>
      </c>
      <c r="Q194" t="str">
        <f t="shared" si="14"/>
        <v>Completed</v>
      </c>
      <c r="R194" t="str">
        <f t="shared" si="15"/>
        <v>Online</v>
      </c>
      <c r="S194" t="str">
        <v>Debit Card</v>
      </c>
      <c r="T194" t="str">
        <v>Electronics</v>
      </c>
      <c r="U194" t="str">
        <f t="shared" si="16"/>
        <v>VALID</v>
      </c>
      <c r="V194" t="str">
        <f t="shared" si="17"/>
        <v>NORMAL</v>
      </c>
      <c r="W194" t="str">
        <f t="shared" si="18"/>
        <v>Valid</v>
      </c>
      <c r="X194">
        <f t="shared" si="20"/>
        <v>13120.599999999999</v>
      </c>
      <c r="Y194">
        <f t="shared" si="19"/>
        <v>11808.539999999999</v>
      </c>
    </row>
    <row r="195" spans="1:25" x14ac:dyDescent="0.3">
      <c r="A195" t="s">
        <v>423</v>
      </c>
      <c r="B195" s="1">
        <v>45403</v>
      </c>
      <c r="C195" t="s">
        <v>424</v>
      </c>
      <c r="D195" t="s">
        <v>45</v>
      </c>
      <c r="E195" t="s">
        <v>46</v>
      </c>
      <c r="F195" t="s">
        <v>31</v>
      </c>
      <c r="G195" t="s">
        <v>32</v>
      </c>
      <c r="H195" t="s">
        <v>75</v>
      </c>
      <c r="I195">
        <v>5</v>
      </c>
      <c r="J195">
        <v>1892.1</v>
      </c>
      <c r="K195">
        <v>0.15</v>
      </c>
      <c r="L195">
        <v>8041.43</v>
      </c>
      <c r="M195" t="s">
        <v>23</v>
      </c>
      <c r="N195" t="s">
        <v>34</v>
      </c>
      <c r="O195" t="s">
        <v>65</v>
      </c>
      <c r="P195" t="s">
        <v>72</v>
      </c>
      <c r="Q195" t="str">
        <f t="shared" ref="Q195:Q258" si="21">PROPER(O195)</f>
        <v>Completed</v>
      </c>
      <c r="R195" t="str">
        <f t="shared" ref="R195:R258" si="22">PROPER(M195)</f>
        <v>Online</v>
      </c>
      <c r="S195" t="str">
        <v>Cash On Delivery</v>
      </c>
      <c r="T195" t="str">
        <v>Electronics</v>
      </c>
      <c r="U195" t="str">
        <f t="shared" ref="U195:U258" si="23">IF(I195&lt;=0,"INVALID","VALID")</f>
        <v>VALID</v>
      </c>
      <c r="V195" t="str">
        <f t="shared" ref="V195:V258" si="24">IF(I195&gt;100,"REVIEW","NORMAL")</f>
        <v>NORMAL</v>
      </c>
      <c r="W195" t="str">
        <f t="shared" ref="W195:W258" si="25">IF(OR(K195&lt;0,K195&gt;1),"Invalid","Valid")</f>
        <v>Valid</v>
      </c>
      <c r="X195">
        <f t="shared" si="20"/>
        <v>9460.5</v>
      </c>
      <c r="Y195">
        <f t="shared" ref="Y195:Y258" si="26">I195*J195-(I195*J195*K195)</f>
        <v>8041.4250000000002</v>
      </c>
    </row>
    <row r="196" spans="1:25" x14ac:dyDescent="0.3">
      <c r="A196" t="s">
        <v>425</v>
      </c>
      <c r="B196" s="1">
        <v>45483</v>
      </c>
      <c r="C196" t="s">
        <v>426</v>
      </c>
      <c r="D196" t="s">
        <v>121</v>
      </c>
      <c r="E196" t="s">
        <v>122</v>
      </c>
      <c r="F196" t="s">
        <v>55</v>
      </c>
      <c r="G196" t="s">
        <v>81</v>
      </c>
      <c r="H196" t="s">
        <v>135</v>
      </c>
      <c r="I196">
        <v>2</v>
      </c>
      <c r="J196">
        <v>455.53</v>
      </c>
      <c r="K196">
        <v>0.08</v>
      </c>
      <c r="L196">
        <v>838.18</v>
      </c>
      <c r="M196" t="s">
        <v>48</v>
      </c>
      <c r="N196" t="s">
        <v>34</v>
      </c>
      <c r="O196" t="s">
        <v>65</v>
      </c>
      <c r="P196" t="s">
        <v>111</v>
      </c>
      <c r="Q196" t="str">
        <f t="shared" si="21"/>
        <v>Completed</v>
      </c>
      <c r="R196" t="str">
        <f t="shared" si="22"/>
        <v>Marketplace</v>
      </c>
      <c r="S196" t="str">
        <v>Cash On Delivery</v>
      </c>
      <c r="T196" t="str">
        <v>Stationery</v>
      </c>
      <c r="U196" t="str">
        <f t="shared" si="23"/>
        <v>VALID</v>
      </c>
      <c r="V196" t="str">
        <f t="shared" si="24"/>
        <v>NORMAL</v>
      </c>
      <c r="W196" t="str">
        <f t="shared" si="25"/>
        <v>Valid</v>
      </c>
      <c r="X196">
        <f t="shared" ref="X196:X259" si="27">I196*J196</f>
        <v>911.06</v>
      </c>
      <c r="Y196">
        <f t="shared" si="26"/>
        <v>838.1751999999999</v>
      </c>
    </row>
    <row r="197" spans="1:25" x14ac:dyDescent="0.3">
      <c r="A197" t="s">
        <v>427</v>
      </c>
      <c r="B197" s="1">
        <v>46184</v>
      </c>
      <c r="C197" t="s">
        <v>151</v>
      </c>
      <c r="D197" t="s">
        <v>131</v>
      </c>
      <c r="E197" t="s">
        <v>132</v>
      </c>
      <c r="F197" t="s">
        <v>40</v>
      </c>
      <c r="G197" t="s">
        <v>56</v>
      </c>
      <c r="H197" t="s">
        <v>123</v>
      </c>
      <c r="I197">
        <v>3</v>
      </c>
      <c r="J197">
        <v>10215.74</v>
      </c>
      <c r="K197">
        <v>0.08</v>
      </c>
      <c r="L197">
        <v>28195.439999999999</v>
      </c>
      <c r="M197" t="s">
        <v>48</v>
      </c>
      <c r="N197" t="s">
        <v>58</v>
      </c>
      <c r="O197" t="s">
        <v>35</v>
      </c>
      <c r="P197" t="s">
        <v>116</v>
      </c>
      <c r="Q197" t="str">
        <f t="shared" si="21"/>
        <v>Cancelled</v>
      </c>
      <c r="R197" t="str">
        <f t="shared" si="22"/>
        <v>Marketplace</v>
      </c>
      <c r="S197" t="str">
        <v>Credit Card</v>
      </c>
      <c r="T197" t="str">
        <v>Furniture</v>
      </c>
      <c r="U197" t="str">
        <f t="shared" si="23"/>
        <v>VALID</v>
      </c>
      <c r="V197" t="str">
        <f t="shared" si="24"/>
        <v>NORMAL</v>
      </c>
      <c r="W197" t="str">
        <f t="shared" si="25"/>
        <v>Valid</v>
      </c>
      <c r="X197">
        <f t="shared" si="27"/>
        <v>30647.22</v>
      </c>
      <c r="Y197">
        <f t="shared" si="26"/>
        <v>28195.4424</v>
      </c>
    </row>
    <row r="198" spans="1:25" x14ac:dyDescent="0.3">
      <c r="A198" t="s">
        <v>428</v>
      </c>
      <c r="B198" s="1">
        <v>45720</v>
      </c>
      <c r="C198" t="s">
        <v>247</v>
      </c>
      <c r="D198" t="s">
        <v>96</v>
      </c>
      <c r="E198" t="s">
        <v>97</v>
      </c>
      <c r="F198" t="s">
        <v>31</v>
      </c>
      <c r="G198" t="s">
        <v>21</v>
      </c>
      <c r="H198" t="s">
        <v>41</v>
      </c>
      <c r="I198">
        <v>2</v>
      </c>
      <c r="J198">
        <v>1123.83</v>
      </c>
      <c r="K198">
        <v>0.03</v>
      </c>
      <c r="L198">
        <v>2180.23</v>
      </c>
      <c r="M198" t="s">
        <v>48</v>
      </c>
      <c r="N198" t="s">
        <v>71</v>
      </c>
      <c r="O198" t="s">
        <v>65</v>
      </c>
      <c r="P198" t="s">
        <v>116</v>
      </c>
      <c r="Q198" t="str">
        <f t="shared" si="21"/>
        <v>Completed</v>
      </c>
      <c r="R198" t="str">
        <f t="shared" si="22"/>
        <v>Marketplace</v>
      </c>
      <c r="S198" t="str">
        <v>Upi</v>
      </c>
      <c r="T198" t="str">
        <v>Electronics</v>
      </c>
      <c r="U198" t="str">
        <f t="shared" si="23"/>
        <v>VALID</v>
      </c>
      <c r="V198" t="str">
        <f t="shared" si="24"/>
        <v>NORMAL</v>
      </c>
      <c r="W198" t="str">
        <f t="shared" si="25"/>
        <v>Valid</v>
      </c>
      <c r="X198">
        <f t="shared" si="27"/>
        <v>2247.66</v>
      </c>
      <c r="Y198">
        <f t="shared" si="26"/>
        <v>2180.2302</v>
      </c>
    </row>
    <row r="199" spans="1:25" x14ac:dyDescent="0.3">
      <c r="A199" t="s">
        <v>429</v>
      </c>
      <c r="B199" s="1">
        <v>45619</v>
      </c>
      <c r="C199" t="s">
        <v>334</v>
      </c>
      <c r="D199" t="s">
        <v>29</v>
      </c>
      <c r="E199" t="s">
        <v>30</v>
      </c>
      <c r="F199" t="s">
        <v>31</v>
      </c>
      <c r="G199" t="s">
        <v>56</v>
      </c>
      <c r="H199" t="s">
        <v>57</v>
      </c>
      <c r="I199">
        <v>3</v>
      </c>
      <c r="J199">
        <v>3268.17</v>
      </c>
      <c r="K199">
        <v>0.08</v>
      </c>
      <c r="L199">
        <v>9020.15</v>
      </c>
      <c r="M199" t="s">
        <v>48</v>
      </c>
      <c r="N199" t="s">
        <v>34</v>
      </c>
      <c r="O199" t="s">
        <v>35</v>
      </c>
      <c r="P199" t="s">
        <v>59</v>
      </c>
      <c r="Q199" t="str">
        <f t="shared" si="21"/>
        <v>Cancelled</v>
      </c>
      <c r="R199" t="str">
        <f t="shared" si="22"/>
        <v>Marketplace</v>
      </c>
      <c r="S199" t="str">
        <v>Cash On Delivery</v>
      </c>
      <c r="T199" t="str">
        <v>Electronics</v>
      </c>
      <c r="U199" t="str">
        <f t="shared" si="23"/>
        <v>VALID</v>
      </c>
      <c r="V199" t="str">
        <f t="shared" si="24"/>
        <v>NORMAL</v>
      </c>
      <c r="W199" t="str">
        <f t="shared" si="25"/>
        <v>Valid</v>
      </c>
      <c r="X199">
        <f t="shared" si="27"/>
        <v>9804.51</v>
      </c>
      <c r="Y199">
        <f t="shared" si="26"/>
        <v>9020.1491999999998</v>
      </c>
    </row>
    <row r="200" spans="1:25" x14ac:dyDescent="0.3">
      <c r="A200" t="s">
        <v>430</v>
      </c>
      <c r="B200" s="1">
        <v>45996</v>
      </c>
      <c r="C200" t="s">
        <v>149</v>
      </c>
      <c r="D200" t="s">
        <v>131</v>
      </c>
      <c r="E200" t="s">
        <v>132</v>
      </c>
      <c r="F200" t="s">
        <v>40</v>
      </c>
      <c r="G200" t="s">
        <v>56</v>
      </c>
      <c r="H200" t="s">
        <v>123</v>
      </c>
      <c r="I200">
        <v>3</v>
      </c>
      <c r="J200">
        <v>9441.9599999999991</v>
      </c>
      <c r="K200">
        <v>0.2</v>
      </c>
      <c r="L200">
        <v>22660.7</v>
      </c>
      <c r="M200" t="s">
        <v>76</v>
      </c>
      <c r="N200" t="s">
        <v>58</v>
      </c>
      <c r="O200" t="s">
        <v>65</v>
      </c>
      <c r="P200" t="s">
        <v>42</v>
      </c>
      <c r="Q200" t="str">
        <f t="shared" si="21"/>
        <v>Completed</v>
      </c>
      <c r="R200" t="str">
        <f t="shared" si="22"/>
        <v>Store</v>
      </c>
      <c r="S200" t="str">
        <v>Credit Card</v>
      </c>
      <c r="T200" t="str">
        <v>Furniture</v>
      </c>
      <c r="U200" t="str">
        <f t="shared" si="23"/>
        <v>VALID</v>
      </c>
      <c r="V200" t="str">
        <f t="shared" si="24"/>
        <v>NORMAL</v>
      </c>
      <c r="W200" t="str">
        <f t="shared" si="25"/>
        <v>Valid</v>
      </c>
      <c r="X200">
        <f t="shared" si="27"/>
        <v>28325.879999999997</v>
      </c>
      <c r="Y200">
        <f t="shared" si="26"/>
        <v>22660.703999999998</v>
      </c>
    </row>
    <row r="201" spans="1:25" x14ac:dyDescent="0.3">
      <c r="A201" t="s">
        <v>431</v>
      </c>
      <c r="B201" s="1">
        <v>45584</v>
      </c>
      <c r="C201" t="s">
        <v>84</v>
      </c>
      <c r="D201" t="s">
        <v>89</v>
      </c>
      <c r="E201" t="s">
        <v>90</v>
      </c>
      <c r="F201" t="s">
        <v>20</v>
      </c>
      <c r="G201" t="s">
        <v>56</v>
      </c>
      <c r="H201" t="s">
        <v>64</v>
      </c>
      <c r="I201">
        <v>1</v>
      </c>
      <c r="J201">
        <v>654.6</v>
      </c>
      <c r="K201">
        <v>0.05</v>
      </c>
      <c r="L201">
        <v>621.87</v>
      </c>
      <c r="M201" t="s">
        <v>76</v>
      </c>
      <c r="N201" t="s">
        <v>49</v>
      </c>
      <c r="O201" t="s">
        <v>25</v>
      </c>
      <c r="P201" t="s">
        <v>59</v>
      </c>
      <c r="Q201" t="str">
        <f t="shared" si="21"/>
        <v>Returned</v>
      </c>
      <c r="R201" t="str">
        <f t="shared" si="22"/>
        <v>Store</v>
      </c>
      <c r="S201" t="str">
        <v>Net Banking</v>
      </c>
      <c r="T201" t="str">
        <v>Accessories</v>
      </c>
      <c r="U201" t="str">
        <f t="shared" si="23"/>
        <v>VALID</v>
      </c>
      <c r="V201" t="str">
        <f t="shared" si="24"/>
        <v>NORMAL</v>
      </c>
      <c r="W201" t="str">
        <f t="shared" si="25"/>
        <v>Valid</v>
      </c>
      <c r="X201">
        <f t="shared" si="27"/>
        <v>654.6</v>
      </c>
      <c r="Y201">
        <f t="shared" si="26"/>
        <v>621.87</v>
      </c>
    </row>
    <row r="202" spans="1:25" x14ac:dyDescent="0.3">
      <c r="A202" t="s">
        <v>432</v>
      </c>
      <c r="B202" s="1">
        <v>46079</v>
      </c>
      <c r="C202" t="s">
        <v>245</v>
      </c>
      <c r="D202" t="s">
        <v>79</v>
      </c>
      <c r="E202" t="s">
        <v>80</v>
      </c>
      <c r="F202" t="s">
        <v>31</v>
      </c>
      <c r="G202" t="s">
        <v>32</v>
      </c>
      <c r="H202" t="s">
        <v>75</v>
      </c>
      <c r="I202">
        <v>3</v>
      </c>
      <c r="J202">
        <v>12014.84</v>
      </c>
      <c r="K202">
        <v>0.15</v>
      </c>
      <c r="L202">
        <v>30637.84</v>
      </c>
      <c r="M202" t="s">
        <v>48</v>
      </c>
      <c r="N202" t="s">
        <v>34</v>
      </c>
      <c r="O202" t="s">
        <v>25</v>
      </c>
      <c r="P202" t="s">
        <v>50</v>
      </c>
      <c r="Q202" t="str">
        <f t="shared" si="21"/>
        <v>Returned</v>
      </c>
      <c r="R202" t="str">
        <f t="shared" si="22"/>
        <v>Marketplace</v>
      </c>
      <c r="S202" t="str">
        <v>Cash On Delivery</v>
      </c>
      <c r="T202" t="str">
        <v>Electronics</v>
      </c>
      <c r="U202" t="str">
        <f t="shared" si="23"/>
        <v>VALID</v>
      </c>
      <c r="V202" t="str">
        <f t="shared" si="24"/>
        <v>NORMAL</v>
      </c>
      <c r="W202" t="str">
        <f t="shared" si="25"/>
        <v>Valid</v>
      </c>
      <c r="X202">
        <f t="shared" si="27"/>
        <v>36044.520000000004</v>
      </c>
      <c r="Y202">
        <f t="shared" si="26"/>
        <v>30637.842000000004</v>
      </c>
    </row>
    <row r="203" spans="1:25" x14ac:dyDescent="0.3">
      <c r="A203" t="s">
        <v>433</v>
      </c>
      <c r="B203" s="1">
        <v>45836</v>
      </c>
      <c r="C203" t="s">
        <v>200</v>
      </c>
      <c r="D203" t="s">
        <v>96</v>
      </c>
      <c r="E203" t="s">
        <v>97</v>
      </c>
      <c r="F203" t="s">
        <v>31</v>
      </c>
      <c r="G203" t="s">
        <v>21</v>
      </c>
      <c r="H203" t="s">
        <v>93</v>
      </c>
      <c r="I203">
        <v>5</v>
      </c>
      <c r="J203">
        <v>1285.54</v>
      </c>
      <c r="K203">
        <v>0</v>
      </c>
      <c r="L203">
        <v>6427.7</v>
      </c>
      <c r="M203" t="s">
        <v>23</v>
      </c>
      <c r="N203" t="s">
        <v>34</v>
      </c>
      <c r="O203" t="s">
        <v>25</v>
      </c>
      <c r="P203" t="s">
        <v>116</v>
      </c>
      <c r="Q203" t="str">
        <f t="shared" si="21"/>
        <v>Returned</v>
      </c>
      <c r="R203" t="str">
        <f t="shared" si="22"/>
        <v>Online</v>
      </c>
      <c r="S203" t="str">
        <v>Cash On Delivery</v>
      </c>
      <c r="T203" t="str">
        <v>Electronics</v>
      </c>
      <c r="U203" t="str">
        <f t="shared" si="23"/>
        <v>VALID</v>
      </c>
      <c r="V203" t="str">
        <f t="shared" si="24"/>
        <v>NORMAL</v>
      </c>
      <c r="W203" t="str">
        <f t="shared" si="25"/>
        <v>Valid</v>
      </c>
      <c r="X203">
        <f t="shared" si="27"/>
        <v>6427.7</v>
      </c>
      <c r="Y203">
        <f t="shared" si="26"/>
        <v>6427.7</v>
      </c>
    </row>
    <row r="204" spans="1:25" x14ac:dyDescent="0.3">
      <c r="A204" t="s">
        <v>434</v>
      </c>
      <c r="B204" s="1">
        <v>46184</v>
      </c>
      <c r="C204" t="s">
        <v>208</v>
      </c>
      <c r="D204" t="s">
        <v>170</v>
      </c>
      <c r="E204" t="s">
        <v>171</v>
      </c>
      <c r="F204" t="s">
        <v>31</v>
      </c>
      <c r="G204" t="s">
        <v>21</v>
      </c>
      <c r="H204" t="s">
        <v>22</v>
      </c>
      <c r="I204">
        <v>1</v>
      </c>
      <c r="J204">
        <v>65651.75</v>
      </c>
      <c r="K204">
        <v>0.2</v>
      </c>
      <c r="L204">
        <v>52521.4</v>
      </c>
      <c r="M204" t="s">
        <v>23</v>
      </c>
      <c r="N204" t="s">
        <v>58</v>
      </c>
      <c r="O204" t="s">
        <v>35</v>
      </c>
      <c r="P204" t="s">
        <v>50</v>
      </c>
      <c r="Q204" t="str">
        <f t="shared" si="21"/>
        <v>Cancelled</v>
      </c>
      <c r="R204" t="str">
        <f t="shared" si="22"/>
        <v>Online</v>
      </c>
      <c r="S204" t="str">
        <v>Credit Card</v>
      </c>
      <c r="T204" t="str">
        <v>Electronics</v>
      </c>
      <c r="U204" t="str">
        <f t="shared" si="23"/>
        <v>VALID</v>
      </c>
      <c r="V204" t="str">
        <f t="shared" si="24"/>
        <v>NORMAL</v>
      </c>
      <c r="W204" t="str">
        <f t="shared" si="25"/>
        <v>Valid</v>
      </c>
      <c r="X204">
        <f t="shared" si="27"/>
        <v>65651.75</v>
      </c>
      <c r="Y204">
        <f t="shared" si="26"/>
        <v>52521.4</v>
      </c>
    </row>
    <row r="205" spans="1:25" x14ac:dyDescent="0.3">
      <c r="A205" t="s">
        <v>435</v>
      </c>
      <c r="B205" s="1">
        <v>46069</v>
      </c>
      <c r="C205" t="s">
        <v>149</v>
      </c>
      <c r="D205" t="s">
        <v>79</v>
      </c>
      <c r="E205" t="s">
        <v>80</v>
      </c>
      <c r="F205" t="s">
        <v>31</v>
      </c>
      <c r="G205" t="s">
        <v>56</v>
      </c>
      <c r="H205" t="s">
        <v>57</v>
      </c>
      <c r="I205">
        <v>2</v>
      </c>
      <c r="J205">
        <v>11510.95</v>
      </c>
      <c r="K205">
        <v>0.08</v>
      </c>
      <c r="L205">
        <v>21180.15</v>
      </c>
      <c r="M205" t="s">
        <v>48</v>
      </c>
      <c r="N205" t="s">
        <v>58</v>
      </c>
      <c r="O205" t="s">
        <v>25</v>
      </c>
      <c r="P205" t="s">
        <v>102</v>
      </c>
      <c r="Q205" t="str">
        <f t="shared" si="21"/>
        <v>Returned</v>
      </c>
      <c r="R205" t="str">
        <f t="shared" si="22"/>
        <v>Marketplace</v>
      </c>
      <c r="S205" t="str">
        <v>Credit Card</v>
      </c>
      <c r="T205" t="str">
        <v>Electronics</v>
      </c>
      <c r="U205" t="str">
        <f t="shared" si="23"/>
        <v>VALID</v>
      </c>
      <c r="V205" t="str">
        <f t="shared" si="24"/>
        <v>NORMAL</v>
      </c>
      <c r="W205" t="str">
        <f t="shared" si="25"/>
        <v>Valid</v>
      </c>
      <c r="X205">
        <f t="shared" si="27"/>
        <v>23021.9</v>
      </c>
      <c r="Y205">
        <f t="shared" si="26"/>
        <v>21180.148000000001</v>
      </c>
    </row>
    <row r="206" spans="1:25" x14ac:dyDescent="0.3">
      <c r="A206" t="s">
        <v>436</v>
      </c>
      <c r="B206" s="1">
        <v>46193</v>
      </c>
      <c r="C206" t="s">
        <v>216</v>
      </c>
      <c r="D206" t="s">
        <v>105</v>
      </c>
      <c r="E206" t="s">
        <v>106</v>
      </c>
      <c r="F206" t="s">
        <v>40</v>
      </c>
      <c r="G206" t="s">
        <v>32</v>
      </c>
      <c r="H206" t="s">
        <v>33</v>
      </c>
      <c r="I206">
        <v>3</v>
      </c>
      <c r="J206">
        <v>6809</v>
      </c>
      <c r="K206">
        <v>0</v>
      </c>
      <c r="L206">
        <v>20427</v>
      </c>
      <c r="M206" t="s">
        <v>48</v>
      </c>
      <c r="N206" t="s">
        <v>71</v>
      </c>
      <c r="O206" t="s">
        <v>65</v>
      </c>
      <c r="P206" t="s">
        <v>50</v>
      </c>
      <c r="Q206" t="str">
        <f t="shared" si="21"/>
        <v>Completed</v>
      </c>
      <c r="R206" t="str">
        <f t="shared" si="22"/>
        <v>Marketplace</v>
      </c>
      <c r="S206" t="str">
        <v>Upi</v>
      </c>
      <c r="T206" t="str">
        <v>Furniture</v>
      </c>
      <c r="U206" t="str">
        <f t="shared" si="23"/>
        <v>VALID</v>
      </c>
      <c r="V206" t="str">
        <f t="shared" si="24"/>
        <v>NORMAL</v>
      </c>
      <c r="W206" t="str">
        <f t="shared" si="25"/>
        <v>Valid</v>
      </c>
      <c r="X206">
        <f t="shared" si="27"/>
        <v>20427</v>
      </c>
      <c r="Y206">
        <f t="shared" si="26"/>
        <v>20427</v>
      </c>
    </row>
    <row r="207" spans="1:25" x14ac:dyDescent="0.3">
      <c r="A207" t="s">
        <v>437</v>
      </c>
      <c r="B207" s="1">
        <v>45781</v>
      </c>
      <c r="C207" t="s">
        <v>253</v>
      </c>
      <c r="D207" t="s">
        <v>79</v>
      </c>
      <c r="E207" t="s">
        <v>80</v>
      </c>
      <c r="F207" t="s">
        <v>31</v>
      </c>
      <c r="G207" t="s">
        <v>32</v>
      </c>
      <c r="H207" t="s">
        <v>68</v>
      </c>
      <c r="I207">
        <v>1</v>
      </c>
      <c r="J207">
        <v>13211.28</v>
      </c>
      <c r="K207">
        <v>0.2</v>
      </c>
      <c r="L207">
        <v>10569.02</v>
      </c>
      <c r="M207" t="s">
        <v>48</v>
      </c>
      <c r="N207" t="s">
        <v>24</v>
      </c>
      <c r="O207" t="s">
        <v>25</v>
      </c>
      <c r="P207" t="s">
        <v>102</v>
      </c>
      <c r="Q207" t="str">
        <f t="shared" si="21"/>
        <v>Returned</v>
      </c>
      <c r="R207" t="str">
        <f t="shared" si="22"/>
        <v>Marketplace</v>
      </c>
      <c r="S207" t="str">
        <v>Debit Card</v>
      </c>
      <c r="T207" t="str">
        <v>Electronics</v>
      </c>
      <c r="U207" t="str">
        <f t="shared" si="23"/>
        <v>VALID</v>
      </c>
      <c r="V207" t="str">
        <f t="shared" si="24"/>
        <v>NORMAL</v>
      </c>
      <c r="W207" t="str">
        <f t="shared" si="25"/>
        <v>Valid</v>
      </c>
      <c r="X207">
        <f t="shared" si="27"/>
        <v>13211.28</v>
      </c>
      <c r="Y207">
        <f t="shared" si="26"/>
        <v>10569.024000000001</v>
      </c>
    </row>
    <row r="208" spans="1:25" x14ac:dyDescent="0.3">
      <c r="A208" t="s">
        <v>438</v>
      </c>
      <c r="B208" s="1">
        <v>45820</v>
      </c>
      <c r="C208" t="s">
        <v>439</v>
      </c>
      <c r="D208" t="s">
        <v>105</v>
      </c>
      <c r="E208" t="s">
        <v>106</v>
      </c>
      <c r="F208" t="s">
        <v>40</v>
      </c>
      <c r="G208" t="s">
        <v>81</v>
      </c>
      <c r="H208" t="s">
        <v>98</v>
      </c>
      <c r="I208">
        <v>1</v>
      </c>
      <c r="J208">
        <v>7178.99</v>
      </c>
      <c r="K208">
        <v>0.05</v>
      </c>
      <c r="L208">
        <v>6820.04</v>
      </c>
      <c r="M208" t="s">
        <v>76</v>
      </c>
      <c r="N208" t="s">
        <v>49</v>
      </c>
      <c r="O208" t="s">
        <v>25</v>
      </c>
      <c r="P208" t="s">
        <v>26</v>
      </c>
      <c r="Q208" t="str">
        <f t="shared" si="21"/>
        <v>Returned</v>
      </c>
      <c r="R208" t="str">
        <f t="shared" si="22"/>
        <v>Store</v>
      </c>
      <c r="S208" t="str">
        <v>Net Banking</v>
      </c>
      <c r="T208" t="str">
        <v>Furniture</v>
      </c>
      <c r="U208" t="str">
        <f t="shared" si="23"/>
        <v>VALID</v>
      </c>
      <c r="V208" t="str">
        <f t="shared" si="24"/>
        <v>NORMAL</v>
      </c>
      <c r="W208" t="str">
        <f t="shared" si="25"/>
        <v>Valid</v>
      </c>
      <c r="X208">
        <f t="shared" si="27"/>
        <v>7178.99</v>
      </c>
      <c r="Y208">
        <f t="shared" si="26"/>
        <v>6820.0405000000001</v>
      </c>
    </row>
    <row r="209" spans="1:25" x14ac:dyDescent="0.3">
      <c r="A209" t="s">
        <v>440</v>
      </c>
      <c r="B209" s="1">
        <v>45845</v>
      </c>
      <c r="C209" t="s">
        <v>441</v>
      </c>
      <c r="D209" t="s">
        <v>62</v>
      </c>
      <c r="E209" t="s">
        <v>63</v>
      </c>
      <c r="F209" t="s">
        <v>31</v>
      </c>
      <c r="G209" t="s">
        <v>56</v>
      </c>
      <c r="H209" t="s">
        <v>64</v>
      </c>
      <c r="I209">
        <v>5</v>
      </c>
      <c r="J209">
        <v>2763.09</v>
      </c>
      <c r="K209">
        <v>0.05</v>
      </c>
      <c r="L209">
        <v>13124.68</v>
      </c>
      <c r="M209" t="s">
        <v>48</v>
      </c>
      <c r="N209" t="s">
        <v>49</v>
      </c>
      <c r="O209" t="s">
        <v>65</v>
      </c>
      <c r="P209" t="s">
        <v>111</v>
      </c>
      <c r="Q209" t="str">
        <f t="shared" si="21"/>
        <v>Completed</v>
      </c>
      <c r="R209" t="str">
        <f t="shared" si="22"/>
        <v>Marketplace</v>
      </c>
      <c r="S209" t="str">
        <v>Net Banking</v>
      </c>
      <c r="T209" t="str">
        <v>Electronics</v>
      </c>
      <c r="U209" t="str">
        <f t="shared" si="23"/>
        <v>VALID</v>
      </c>
      <c r="V209" t="str">
        <f t="shared" si="24"/>
        <v>NORMAL</v>
      </c>
      <c r="W209" t="str">
        <f t="shared" si="25"/>
        <v>Valid</v>
      </c>
      <c r="X209">
        <f t="shared" si="27"/>
        <v>13815.45</v>
      </c>
      <c r="Y209">
        <f t="shared" si="26"/>
        <v>13124.677500000002</v>
      </c>
    </row>
    <row r="210" spans="1:25" x14ac:dyDescent="0.3">
      <c r="A210" t="s">
        <v>442</v>
      </c>
      <c r="B210" s="1">
        <v>45354</v>
      </c>
      <c r="C210" t="s">
        <v>443</v>
      </c>
      <c r="D210" t="s">
        <v>131</v>
      </c>
      <c r="E210" t="s">
        <v>132</v>
      </c>
      <c r="F210" t="s">
        <v>40</v>
      </c>
      <c r="G210" t="s">
        <v>21</v>
      </c>
      <c r="H210" t="s">
        <v>41</v>
      </c>
      <c r="I210">
        <v>2</v>
      </c>
      <c r="J210">
        <v>8776.43</v>
      </c>
      <c r="K210">
        <v>0.15</v>
      </c>
      <c r="L210">
        <v>14919.93</v>
      </c>
      <c r="M210" t="s">
        <v>76</v>
      </c>
      <c r="N210" t="s">
        <v>24</v>
      </c>
      <c r="O210" t="s">
        <v>65</v>
      </c>
      <c r="P210" t="s">
        <v>59</v>
      </c>
      <c r="Q210" t="str">
        <f t="shared" si="21"/>
        <v>Completed</v>
      </c>
      <c r="R210" t="str">
        <f t="shared" si="22"/>
        <v>Store</v>
      </c>
      <c r="S210" t="str">
        <v>Debit Card</v>
      </c>
      <c r="T210" t="str">
        <v>Furniture</v>
      </c>
      <c r="U210" t="str">
        <f t="shared" si="23"/>
        <v>VALID</v>
      </c>
      <c r="V210" t="str">
        <f t="shared" si="24"/>
        <v>NORMAL</v>
      </c>
      <c r="W210" t="str">
        <f t="shared" si="25"/>
        <v>Valid</v>
      </c>
      <c r="X210">
        <f t="shared" si="27"/>
        <v>17552.86</v>
      </c>
      <c r="Y210">
        <f t="shared" si="26"/>
        <v>14919.931</v>
      </c>
    </row>
    <row r="211" spans="1:25" x14ac:dyDescent="0.3">
      <c r="A211" t="s">
        <v>444</v>
      </c>
      <c r="B211" s="1">
        <v>45921</v>
      </c>
      <c r="C211" t="s">
        <v>445</v>
      </c>
      <c r="D211" t="s">
        <v>85</v>
      </c>
      <c r="E211" t="s">
        <v>86</v>
      </c>
      <c r="F211" t="s">
        <v>20</v>
      </c>
      <c r="G211" t="s">
        <v>81</v>
      </c>
      <c r="H211" t="s">
        <v>82</v>
      </c>
      <c r="I211">
        <v>4</v>
      </c>
      <c r="J211">
        <v>1764.5</v>
      </c>
      <c r="K211">
        <v>0.1</v>
      </c>
      <c r="L211">
        <v>6352.2</v>
      </c>
      <c r="M211" t="s">
        <v>23</v>
      </c>
      <c r="N211" t="s">
        <v>71</v>
      </c>
      <c r="O211" t="s">
        <v>65</v>
      </c>
      <c r="P211" t="s">
        <v>59</v>
      </c>
      <c r="Q211" t="str">
        <f t="shared" si="21"/>
        <v>Completed</v>
      </c>
      <c r="R211" t="str">
        <f t="shared" si="22"/>
        <v>Online</v>
      </c>
      <c r="S211" t="str">
        <v>Upi</v>
      </c>
      <c r="T211" t="str">
        <v>Accessories</v>
      </c>
      <c r="U211" t="str">
        <f t="shared" si="23"/>
        <v>VALID</v>
      </c>
      <c r="V211" t="str">
        <f t="shared" si="24"/>
        <v>NORMAL</v>
      </c>
      <c r="W211" t="str">
        <f t="shared" si="25"/>
        <v>Valid</v>
      </c>
      <c r="X211">
        <f t="shared" si="27"/>
        <v>7058</v>
      </c>
      <c r="Y211">
        <f t="shared" si="26"/>
        <v>6352.2</v>
      </c>
    </row>
    <row r="212" spans="1:25" x14ac:dyDescent="0.3">
      <c r="A212" t="s">
        <v>446</v>
      </c>
      <c r="B212" s="1">
        <v>46168</v>
      </c>
      <c r="C212" t="s">
        <v>447</v>
      </c>
      <c r="D212" t="s">
        <v>53</v>
      </c>
      <c r="E212" t="s">
        <v>54</v>
      </c>
      <c r="F212" t="s">
        <v>55</v>
      </c>
      <c r="G212" t="s">
        <v>32</v>
      </c>
      <c r="H212" t="s">
        <v>33</v>
      </c>
      <c r="I212">
        <v>2</v>
      </c>
      <c r="J212">
        <v>209.03</v>
      </c>
      <c r="K212">
        <v>0.08</v>
      </c>
      <c r="L212">
        <v>384.62</v>
      </c>
      <c r="M212" t="s">
        <v>76</v>
      </c>
      <c r="N212" t="s">
        <v>71</v>
      </c>
      <c r="O212" t="s">
        <v>65</v>
      </c>
      <c r="P212" t="s">
        <v>116</v>
      </c>
      <c r="Q212" t="str">
        <f t="shared" si="21"/>
        <v>Completed</v>
      </c>
      <c r="R212" t="str">
        <f t="shared" si="22"/>
        <v>Store</v>
      </c>
      <c r="S212" t="str">
        <v>Upi</v>
      </c>
      <c r="T212" t="str">
        <v>Stationery</v>
      </c>
      <c r="U212" t="str">
        <f t="shared" si="23"/>
        <v>VALID</v>
      </c>
      <c r="V212" t="str">
        <f t="shared" si="24"/>
        <v>NORMAL</v>
      </c>
      <c r="W212" t="str">
        <f t="shared" si="25"/>
        <v>Valid</v>
      </c>
      <c r="X212">
        <f t="shared" si="27"/>
        <v>418.06</v>
      </c>
      <c r="Y212">
        <f t="shared" si="26"/>
        <v>384.61520000000002</v>
      </c>
    </row>
    <row r="213" spans="1:25" x14ac:dyDescent="0.3">
      <c r="A213" t="s">
        <v>448</v>
      </c>
      <c r="B213" s="1">
        <v>46155</v>
      </c>
      <c r="C213" t="s">
        <v>249</v>
      </c>
      <c r="D213" t="s">
        <v>45</v>
      </c>
      <c r="E213" t="s">
        <v>46</v>
      </c>
      <c r="F213" t="s">
        <v>31</v>
      </c>
      <c r="G213" t="s">
        <v>56</v>
      </c>
      <c r="H213" t="s">
        <v>64</v>
      </c>
      <c r="I213">
        <v>2</v>
      </c>
      <c r="J213">
        <v>1936.63</v>
      </c>
      <c r="K213">
        <v>0.15</v>
      </c>
      <c r="L213">
        <v>3292.27</v>
      </c>
      <c r="M213" t="s">
        <v>76</v>
      </c>
      <c r="N213" t="s">
        <v>49</v>
      </c>
      <c r="O213" t="s">
        <v>25</v>
      </c>
      <c r="P213" t="s">
        <v>111</v>
      </c>
      <c r="Q213" t="str">
        <f t="shared" si="21"/>
        <v>Returned</v>
      </c>
      <c r="R213" t="str">
        <f t="shared" si="22"/>
        <v>Store</v>
      </c>
      <c r="S213" t="str">
        <v>Net Banking</v>
      </c>
      <c r="T213" t="str">
        <v>Electronics</v>
      </c>
      <c r="U213" t="str">
        <f t="shared" si="23"/>
        <v>VALID</v>
      </c>
      <c r="V213" t="str">
        <f t="shared" si="24"/>
        <v>NORMAL</v>
      </c>
      <c r="W213" t="str">
        <f t="shared" si="25"/>
        <v>Valid</v>
      </c>
      <c r="X213">
        <f t="shared" si="27"/>
        <v>3873.26</v>
      </c>
      <c r="Y213">
        <f t="shared" si="26"/>
        <v>3292.2710000000002</v>
      </c>
    </row>
    <row r="214" spans="1:25" x14ac:dyDescent="0.3">
      <c r="A214" t="s">
        <v>449</v>
      </c>
      <c r="B214" s="1">
        <v>46098</v>
      </c>
      <c r="C214" t="s">
        <v>230</v>
      </c>
      <c r="D214" t="s">
        <v>176</v>
      </c>
      <c r="E214" t="s">
        <v>177</v>
      </c>
      <c r="F214" t="s">
        <v>31</v>
      </c>
      <c r="G214" t="s">
        <v>56</v>
      </c>
      <c r="H214" t="s">
        <v>64</v>
      </c>
      <c r="I214">
        <v>3</v>
      </c>
      <c r="J214">
        <v>2036.64</v>
      </c>
      <c r="K214">
        <v>0</v>
      </c>
      <c r="L214">
        <v>6109.92</v>
      </c>
      <c r="M214" t="s">
        <v>76</v>
      </c>
      <c r="N214" t="s">
        <v>58</v>
      </c>
      <c r="O214" t="s">
        <v>25</v>
      </c>
      <c r="P214" t="s">
        <v>59</v>
      </c>
      <c r="Q214" t="str">
        <f t="shared" si="21"/>
        <v>Returned</v>
      </c>
      <c r="R214" t="str">
        <f t="shared" si="22"/>
        <v>Store</v>
      </c>
      <c r="S214" t="str">
        <v>Credit Card</v>
      </c>
      <c r="T214" t="str">
        <v>Electronics</v>
      </c>
      <c r="U214" t="str">
        <f t="shared" si="23"/>
        <v>VALID</v>
      </c>
      <c r="V214" t="str">
        <f t="shared" si="24"/>
        <v>NORMAL</v>
      </c>
      <c r="W214" t="str">
        <f t="shared" si="25"/>
        <v>Valid</v>
      </c>
      <c r="X214">
        <f t="shared" si="27"/>
        <v>6109.92</v>
      </c>
      <c r="Y214">
        <f t="shared" si="26"/>
        <v>6109.92</v>
      </c>
    </row>
    <row r="215" spans="1:25" x14ac:dyDescent="0.3">
      <c r="A215" t="s">
        <v>450</v>
      </c>
      <c r="B215" s="1">
        <v>46166</v>
      </c>
      <c r="C215" t="s">
        <v>341</v>
      </c>
      <c r="D215" t="s">
        <v>176</v>
      </c>
      <c r="E215" t="s">
        <v>177</v>
      </c>
      <c r="F215" t="s">
        <v>31</v>
      </c>
      <c r="G215" t="s">
        <v>81</v>
      </c>
      <c r="H215" t="s">
        <v>135</v>
      </c>
      <c r="I215">
        <v>2</v>
      </c>
      <c r="J215">
        <v>2130.2199999999998</v>
      </c>
      <c r="K215">
        <v>0.1</v>
      </c>
      <c r="L215">
        <v>3834.4</v>
      </c>
      <c r="M215" t="s">
        <v>76</v>
      </c>
      <c r="N215" t="s">
        <v>71</v>
      </c>
      <c r="O215" t="s">
        <v>65</v>
      </c>
      <c r="P215" t="s">
        <v>102</v>
      </c>
      <c r="Q215" t="str">
        <f t="shared" si="21"/>
        <v>Completed</v>
      </c>
      <c r="R215" t="str">
        <f t="shared" si="22"/>
        <v>Store</v>
      </c>
      <c r="S215" t="str">
        <v>Upi</v>
      </c>
      <c r="T215" t="str">
        <v>Electronics</v>
      </c>
      <c r="U215" t="str">
        <f t="shared" si="23"/>
        <v>VALID</v>
      </c>
      <c r="V215" t="str">
        <f t="shared" si="24"/>
        <v>NORMAL</v>
      </c>
      <c r="W215" t="str">
        <f t="shared" si="25"/>
        <v>Valid</v>
      </c>
      <c r="X215">
        <f t="shared" si="27"/>
        <v>4260.4399999999996</v>
      </c>
      <c r="Y215">
        <f t="shared" si="26"/>
        <v>3834.3959999999997</v>
      </c>
    </row>
    <row r="216" spans="1:25" x14ac:dyDescent="0.3">
      <c r="A216" t="s">
        <v>451</v>
      </c>
      <c r="B216" s="1">
        <v>45986</v>
      </c>
      <c r="C216" t="s">
        <v>179</v>
      </c>
      <c r="D216" t="s">
        <v>38</v>
      </c>
      <c r="E216" t="s">
        <v>39</v>
      </c>
      <c r="F216" t="s">
        <v>40</v>
      </c>
      <c r="G216" t="s">
        <v>32</v>
      </c>
      <c r="H216" t="s">
        <v>47</v>
      </c>
      <c r="I216">
        <v>1</v>
      </c>
      <c r="J216">
        <v>1685.69</v>
      </c>
      <c r="K216">
        <v>0.03</v>
      </c>
      <c r="L216">
        <v>1635.12</v>
      </c>
      <c r="M216" t="s">
        <v>23</v>
      </c>
      <c r="N216" t="s">
        <v>49</v>
      </c>
      <c r="O216" t="s">
        <v>65</v>
      </c>
      <c r="P216" t="s">
        <v>72</v>
      </c>
      <c r="Q216" t="str">
        <f t="shared" si="21"/>
        <v>Completed</v>
      </c>
      <c r="R216" t="str">
        <f t="shared" si="22"/>
        <v>Online</v>
      </c>
      <c r="S216" t="str">
        <v>Net Banking</v>
      </c>
      <c r="T216" t="str">
        <v>Furniture</v>
      </c>
      <c r="U216" t="str">
        <f t="shared" si="23"/>
        <v>VALID</v>
      </c>
      <c r="V216" t="str">
        <f t="shared" si="24"/>
        <v>NORMAL</v>
      </c>
      <c r="W216" t="str">
        <f t="shared" si="25"/>
        <v>Valid</v>
      </c>
      <c r="X216">
        <f t="shared" si="27"/>
        <v>1685.69</v>
      </c>
      <c r="Y216">
        <f t="shared" si="26"/>
        <v>1635.1193000000001</v>
      </c>
    </row>
    <row r="217" spans="1:25" x14ac:dyDescent="0.3">
      <c r="A217" t="s">
        <v>452</v>
      </c>
      <c r="B217" s="1">
        <v>46127</v>
      </c>
      <c r="C217" t="s">
        <v>453</v>
      </c>
      <c r="D217" t="s">
        <v>62</v>
      </c>
      <c r="E217" t="s">
        <v>63</v>
      </c>
      <c r="F217" t="s">
        <v>31</v>
      </c>
      <c r="G217" t="s">
        <v>21</v>
      </c>
      <c r="H217" t="s">
        <v>22</v>
      </c>
      <c r="I217">
        <v>4</v>
      </c>
      <c r="J217">
        <v>2775.37</v>
      </c>
      <c r="K217">
        <v>0.05</v>
      </c>
      <c r="L217">
        <v>10546.41</v>
      </c>
      <c r="M217" t="s">
        <v>23</v>
      </c>
      <c r="N217" t="s">
        <v>34</v>
      </c>
      <c r="O217" t="s">
        <v>65</v>
      </c>
      <c r="P217" t="s">
        <v>42</v>
      </c>
      <c r="Q217" t="str">
        <f t="shared" si="21"/>
        <v>Completed</v>
      </c>
      <c r="R217" t="str">
        <f t="shared" si="22"/>
        <v>Online</v>
      </c>
      <c r="S217" t="str">
        <v>Cash On Delivery</v>
      </c>
      <c r="T217" t="str">
        <v>Electronics</v>
      </c>
      <c r="U217" t="str">
        <f t="shared" si="23"/>
        <v>VALID</v>
      </c>
      <c r="V217" t="str">
        <f t="shared" si="24"/>
        <v>NORMAL</v>
      </c>
      <c r="W217" t="str">
        <f t="shared" si="25"/>
        <v>Valid</v>
      </c>
      <c r="X217">
        <f t="shared" si="27"/>
        <v>11101.48</v>
      </c>
      <c r="Y217">
        <f t="shared" si="26"/>
        <v>10546.405999999999</v>
      </c>
    </row>
    <row r="218" spans="1:25" x14ac:dyDescent="0.3">
      <c r="A218" t="s">
        <v>454</v>
      </c>
      <c r="B218" s="1">
        <v>46013</v>
      </c>
      <c r="C218" t="s">
        <v>212</v>
      </c>
      <c r="D218" t="s">
        <v>45</v>
      </c>
      <c r="E218" t="s">
        <v>46</v>
      </c>
      <c r="F218" t="s">
        <v>31</v>
      </c>
      <c r="G218" t="s">
        <v>21</v>
      </c>
      <c r="H218" t="s">
        <v>126</v>
      </c>
      <c r="I218">
        <v>2</v>
      </c>
      <c r="J218">
        <v>1683.15</v>
      </c>
      <c r="K218">
        <v>0.03</v>
      </c>
      <c r="L218">
        <v>3265.31</v>
      </c>
      <c r="M218" t="s">
        <v>48</v>
      </c>
      <c r="N218" t="s">
        <v>71</v>
      </c>
      <c r="O218" t="s">
        <v>35</v>
      </c>
      <c r="P218" t="s">
        <v>116</v>
      </c>
      <c r="Q218" t="str">
        <f t="shared" si="21"/>
        <v>Cancelled</v>
      </c>
      <c r="R218" t="str">
        <f t="shared" si="22"/>
        <v>Marketplace</v>
      </c>
      <c r="S218" t="str">
        <v>Upi</v>
      </c>
      <c r="T218" t="str">
        <v>Electronics</v>
      </c>
      <c r="U218" t="str">
        <f t="shared" si="23"/>
        <v>VALID</v>
      </c>
      <c r="V218" t="str">
        <f t="shared" si="24"/>
        <v>NORMAL</v>
      </c>
      <c r="W218" t="str">
        <f t="shared" si="25"/>
        <v>Valid</v>
      </c>
      <c r="X218">
        <f t="shared" si="27"/>
        <v>3366.3</v>
      </c>
      <c r="Y218">
        <f t="shared" si="26"/>
        <v>3265.3110000000001</v>
      </c>
    </row>
    <row r="219" spans="1:25" x14ac:dyDescent="0.3">
      <c r="A219" t="s">
        <v>455</v>
      </c>
      <c r="B219" s="1">
        <v>46048</v>
      </c>
      <c r="C219" t="s">
        <v>385</v>
      </c>
      <c r="D219" t="s">
        <v>96</v>
      </c>
      <c r="E219" t="s">
        <v>97</v>
      </c>
      <c r="F219" t="s">
        <v>31</v>
      </c>
      <c r="G219" t="s">
        <v>32</v>
      </c>
      <c r="H219" t="s">
        <v>68</v>
      </c>
      <c r="I219">
        <v>4</v>
      </c>
      <c r="J219">
        <v>1285.1300000000001</v>
      </c>
      <c r="K219">
        <v>0.15</v>
      </c>
      <c r="L219">
        <v>4369.4399999999996</v>
      </c>
      <c r="M219" t="s">
        <v>48</v>
      </c>
      <c r="N219" t="s">
        <v>49</v>
      </c>
      <c r="O219" t="s">
        <v>65</v>
      </c>
      <c r="P219" t="s">
        <v>116</v>
      </c>
      <c r="Q219" t="str">
        <f t="shared" si="21"/>
        <v>Completed</v>
      </c>
      <c r="R219" t="str">
        <f t="shared" si="22"/>
        <v>Marketplace</v>
      </c>
      <c r="S219" t="str">
        <v>Net Banking</v>
      </c>
      <c r="T219" t="str">
        <v>Electronics</v>
      </c>
      <c r="U219" t="str">
        <f t="shared" si="23"/>
        <v>VALID</v>
      </c>
      <c r="V219" t="str">
        <f t="shared" si="24"/>
        <v>NORMAL</v>
      </c>
      <c r="W219" t="str">
        <f t="shared" si="25"/>
        <v>Valid</v>
      </c>
      <c r="X219">
        <f t="shared" si="27"/>
        <v>5140.5200000000004</v>
      </c>
      <c r="Y219">
        <f t="shared" si="26"/>
        <v>4369.442</v>
      </c>
    </row>
    <row r="220" spans="1:25" x14ac:dyDescent="0.3">
      <c r="A220" t="s">
        <v>456</v>
      </c>
      <c r="B220" s="1">
        <v>45645</v>
      </c>
      <c r="C220" t="s">
        <v>457</v>
      </c>
      <c r="D220" t="s">
        <v>85</v>
      </c>
      <c r="E220" t="s">
        <v>86</v>
      </c>
      <c r="F220" t="s">
        <v>20</v>
      </c>
      <c r="G220" t="s">
        <v>32</v>
      </c>
      <c r="H220" t="s">
        <v>47</v>
      </c>
      <c r="I220">
        <v>5</v>
      </c>
      <c r="J220">
        <v>1858.99</v>
      </c>
      <c r="K220">
        <v>0.03</v>
      </c>
      <c r="L220">
        <v>9016.1</v>
      </c>
      <c r="M220" t="s">
        <v>76</v>
      </c>
      <c r="N220" t="s">
        <v>24</v>
      </c>
      <c r="O220" t="s">
        <v>65</v>
      </c>
      <c r="P220" t="s">
        <v>111</v>
      </c>
      <c r="Q220" t="str">
        <f t="shared" si="21"/>
        <v>Completed</v>
      </c>
      <c r="R220" t="str">
        <f t="shared" si="22"/>
        <v>Store</v>
      </c>
      <c r="S220" t="str">
        <v>Debit Card</v>
      </c>
      <c r="T220" t="str">
        <v>Accessories</v>
      </c>
      <c r="U220" t="str">
        <f t="shared" si="23"/>
        <v>VALID</v>
      </c>
      <c r="V220" t="str">
        <f t="shared" si="24"/>
        <v>NORMAL</v>
      </c>
      <c r="W220" t="str">
        <f t="shared" si="25"/>
        <v>Valid</v>
      </c>
      <c r="X220">
        <f t="shared" si="27"/>
        <v>9294.9500000000007</v>
      </c>
      <c r="Y220">
        <f t="shared" si="26"/>
        <v>9016.1015000000007</v>
      </c>
    </row>
    <row r="221" spans="1:25" x14ac:dyDescent="0.3">
      <c r="A221" t="s">
        <v>458</v>
      </c>
      <c r="B221" s="1">
        <v>45644</v>
      </c>
      <c r="C221" t="s">
        <v>323</v>
      </c>
      <c r="D221" t="s">
        <v>131</v>
      </c>
      <c r="E221" t="s">
        <v>132</v>
      </c>
      <c r="F221" t="s">
        <v>40</v>
      </c>
      <c r="G221" t="s">
        <v>56</v>
      </c>
      <c r="H221" t="s">
        <v>64</v>
      </c>
      <c r="I221">
        <v>1</v>
      </c>
      <c r="J221">
        <v>8876.42</v>
      </c>
      <c r="K221">
        <v>0.05</v>
      </c>
      <c r="L221">
        <v>8432.6</v>
      </c>
      <c r="M221" t="s">
        <v>76</v>
      </c>
      <c r="N221" t="s">
        <v>49</v>
      </c>
      <c r="O221" t="s">
        <v>35</v>
      </c>
      <c r="P221" t="s">
        <v>59</v>
      </c>
      <c r="Q221" t="str">
        <f t="shared" si="21"/>
        <v>Cancelled</v>
      </c>
      <c r="R221" t="str">
        <f t="shared" si="22"/>
        <v>Store</v>
      </c>
      <c r="S221" t="str">
        <v>Net Banking</v>
      </c>
      <c r="T221" t="str">
        <v>Furniture</v>
      </c>
      <c r="U221" t="str">
        <f t="shared" si="23"/>
        <v>VALID</v>
      </c>
      <c r="V221" t="str">
        <f t="shared" si="24"/>
        <v>NORMAL</v>
      </c>
      <c r="W221" t="str">
        <f t="shared" si="25"/>
        <v>Valid</v>
      </c>
      <c r="X221">
        <f t="shared" si="27"/>
        <v>8876.42</v>
      </c>
      <c r="Y221">
        <f t="shared" si="26"/>
        <v>8432.5990000000002</v>
      </c>
    </row>
    <row r="222" spans="1:25" x14ac:dyDescent="0.3">
      <c r="A222" t="s">
        <v>459</v>
      </c>
      <c r="B222" s="1">
        <v>45468</v>
      </c>
      <c r="C222" t="s">
        <v>460</v>
      </c>
      <c r="D222" t="s">
        <v>62</v>
      </c>
      <c r="E222" t="s">
        <v>63</v>
      </c>
      <c r="F222" t="s">
        <v>31</v>
      </c>
      <c r="G222" t="s">
        <v>32</v>
      </c>
      <c r="H222" t="s">
        <v>47</v>
      </c>
      <c r="I222">
        <v>4</v>
      </c>
      <c r="J222">
        <v>2646.57</v>
      </c>
      <c r="K222">
        <v>0</v>
      </c>
      <c r="L222">
        <v>10586.28</v>
      </c>
      <c r="M222" t="s">
        <v>23</v>
      </c>
      <c r="N222" t="s">
        <v>58</v>
      </c>
      <c r="O222" t="s">
        <v>25</v>
      </c>
      <c r="P222" t="s">
        <v>111</v>
      </c>
      <c r="Q222" t="str">
        <f t="shared" si="21"/>
        <v>Returned</v>
      </c>
      <c r="R222" t="str">
        <f t="shared" si="22"/>
        <v>Online</v>
      </c>
      <c r="S222" t="str">
        <v>Credit Card</v>
      </c>
      <c r="T222" t="str">
        <v>Electronics</v>
      </c>
      <c r="U222" t="str">
        <f t="shared" si="23"/>
        <v>VALID</v>
      </c>
      <c r="V222" t="str">
        <f t="shared" si="24"/>
        <v>NORMAL</v>
      </c>
      <c r="W222" t="str">
        <f t="shared" si="25"/>
        <v>Valid</v>
      </c>
      <c r="X222">
        <f t="shared" si="27"/>
        <v>10586.28</v>
      </c>
      <c r="Y222">
        <f t="shared" si="26"/>
        <v>10586.28</v>
      </c>
    </row>
    <row r="223" spans="1:25" x14ac:dyDescent="0.3">
      <c r="A223" t="s">
        <v>461</v>
      </c>
      <c r="B223" s="1">
        <v>45491</v>
      </c>
      <c r="C223" t="s">
        <v>462</v>
      </c>
      <c r="D223" t="s">
        <v>105</v>
      </c>
      <c r="E223" t="s">
        <v>106</v>
      </c>
      <c r="F223" t="s">
        <v>40</v>
      </c>
      <c r="G223" t="s">
        <v>21</v>
      </c>
      <c r="H223" t="s">
        <v>22</v>
      </c>
      <c r="I223">
        <v>4</v>
      </c>
      <c r="J223">
        <v>7749.73</v>
      </c>
      <c r="K223">
        <v>0.2</v>
      </c>
      <c r="L223">
        <v>24799.14</v>
      </c>
      <c r="M223" t="s">
        <v>76</v>
      </c>
      <c r="N223" t="s">
        <v>71</v>
      </c>
      <c r="O223" t="s">
        <v>65</v>
      </c>
      <c r="P223" t="s">
        <v>50</v>
      </c>
      <c r="Q223" t="str">
        <f t="shared" si="21"/>
        <v>Completed</v>
      </c>
      <c r="R223" t="str">
        <f t="shared" si="22"/>
        <v>Store</v>
      </c>
      <c r="S223" t="str">
        <v>Upi</v>
      </c>
      <c r="T223" t="str">
        <v>Furniture</v>
      </c>
      <c r="U223" t="str">
        <f t="shared" si="23"/>
        <v>VALID</v>
      </c>
      <c r="V223" t="str">
        <f t="shared" si="24"/>
        <v>NORMAL</v>
      </c>
      <c r="W223" t="str">
        <f t="shared" si="25"/>
        <v>Valid</v>
      </c>
      <c r="X223">
        <f t="shared" si="27"/>
        <v>30998.92</v>
      </c>
      <c r="Y223">
        <f t="shared" si="26"/>
        <v>24799.135999999999</v>
      </c>
    </row>
    <row r="224" spans="1:25" x14ac:dyDescent="0.3">
      <c r="A224" t="s">
        <v>463</v>
      </c>
      <c r="B224" s="1">
        <v>46142</v>
      </c>
      <c r="C224" t="s">
        <v>149</v>
      </c>
      <c r="D224" t="s">
        <v>170</v>
      </c>
      <c r="E224" t="s">
        <v>171</v>
      </c>
      <c r="F224" t="s">
        <v>31</v>
      </c>
      <c r="G224" t="s">
        <v>81</v>
      </c>
      <c r="H224" t="s">
        <v>87</v>
      </c>
      <c r="I224">
        <v>1</v>
      </c>
      <c r="J224">
        <v>69289.47</v>
      </c>
      <c r="K224">
        <v>0.03</v>
      </c>
      <c r="L224">
        <v>67210.789999999994</v>
      </c>
      <c r="M224" t="s">
        <v>76</v>
      </c>
      <c r="N224" t="s">
        <v>49</v>
      </c>
      <c r="O224" t="s">
        <v>65</v>
      </c>
      <c r="P224" t="s">
        <v>111</v>
      </c>
      <c r="Q224" t="str">
        <f t="shared" si="21"/>
        <v>Completed</v>
      </c>
      <c r="R224" t="str">
        <f t="shared" si="22"/>
        <v>Store</v>
      </c>
      <c r="S224" t="str">
        <v>Net Banking</v>
      </c>
      <c r="T224" t="str">
        <v>Electronics</v>
      </c>
      <c r="U224" t="str">
        <f t="shared" si="23"/>
        <v>VALID</v>
      </c>
      <c r="V224" t="str">
        <f t="shared" si="24"/>
        <v>NORMAL</v>
      </c>
      <c r="W224" t="str">
        <f t="shared" si="25"/>
        <v>Valid</v>
      </c>
      <c r="X224">
        <f t="shared" si="27"/>
        <v>69289.47</v>
      </c>
      <c r="Y224">
        <f t="shared" si="26"/>
        <v>67210.785900000003</v>
      </c>
    </row>
    <row r="225" spans="1:25" x14ac:dyDescent="0.3">
      <c r="A225" t="s">
        <v>464</v>
      </c>
      <c r="B225" s="1">
        <v>45476</v>
      </c>
      <c r="C225" t="s">
        <v>385</v>
      </c>
      <c r="D225" t="s">
        <v>53</v>
      </c>
      <c r="E225" t="s">
        <v>54</v>
      </c>
      <c r="F225" t="s">
        <v>55</v>
      </c>
      <c r="G225" t="s">
        <v>32</v>
      </c>
      <c r="H225" t="s">
        <v>47</v>
      </c>
      <c r="I225">
        <v>5</v>
      </c>
      <c r="J225">
        <v>232.82</v>
      </c>
      <c r="K225">
        <v>0.1</v>
      </c>
      <c r="L225">
        <v>1047.69</v>
      </c>
      <c r="M225" t="s">
        <v>23</v>
      </c>
      <c r="N225" t="s">
        <v>58</v>
      </c>
      <c r="O225" t="s">
        <v>65</v>
      </c>
      <c r="P225" t="s">
        <v>72</v>
      </c>
      <c r="Q225" t="str">
        <f t="shared" si="21"/>
        <v>Completed</v>
      </c>
      <c r="R225" t="str">
        <f t="shared" si="22"/>
        <v>Online</v>
      </c>
      <c r="S225" t="str">
        <v>Credit Card</v>
      </c>
      <c r="T225" t="str">
        <v>Stationery</v>
      </c>
      <c r="U225" t="str">
        <f t="shared" si="23"/>
        <v>VALID</v>
      </c>
      <c r="V225" t="str">
        <f t="shared" si="24"/>
        <v>NORMAL</v>
      </c>
      <c r="W225" t="str">
        <f t="shared" si="25"/>
        <v>Valid</v>
      </c>
      <c r="X225">
        <f t="shared" si="27"/>
        <v>1164.0999999999999</v>
      </c>
      <c r="Y225">
        <f t="shared" si="26"/>
        <v>1047.6899999999998</v>
      </c>
    </row>
    <row r="226" spans="1:25" x14ac:dyDescent="0.3">
      <c r="A226" t="s">
        <v>465</v>
      </c>
      <c r="B226" s="1">
        <v>45722</v>
      </c>
      <c r="C226" t="s">
        <v>466</v>
      </c>
      <c r="D226" t="s">
        <v>79</v>
      </c>
      <c r="E226" t="s">
        <v>80</v>
      </c>
      <c r="F226" t="s">
        <v>31</v>
      </c>
      <c r="G226" t="s">
        <v>56</v>
      </c>
      <c r="H226" t="s">
        <v>123</v>
      </c>
      <c r="I226">
        <v>3</v>
      </c>
      <c r="J226">
        <v>12256.62</v>
      </c>
      <c r="K226">
        <v>0.1</v>
      </c>
      <c r="L226">
        <v>33092.870000000003</v>
      </c>
      <c r="M226" t="s">
        <v>48</v>
      </c>
      <c r="N226" t="s">
        <v>71</v>
      </c>
      <c r="O226" t="s">
        <v>65</v>
      </c>
      <c r="P226" t="s">
        <v>59</v>
      </c>
      <c r="Q226" t="str">
        <f t="shared" si="21"/>
        <v>Completed</v>
      </c>
      <c r="R226" t="str">
        <f t="shared" si="22"/>
        <v>Marketplace</v>
      </c>
      <c r="S226" t="str">
        <v>Upi</v>
      </c>
      <c r="T226" t="str">
        <v>Electronics</v>
      </c>
      <c r="U226" t="str">
        <f t="shared" si="23"/>
        <v>VALID</v>
      </c>
      <c r="V226" t="str">
        <f t="shared" si="24"/>
        <v>NORMAL</v>
      </c>
      <c r="W226" t="str">
        <f t="shared" si="25"/>
        <v>Valid</v>
      </c>
      <c r="X226">
        <f t="shared" si="27"/>
        <v>36769.86</v>
      </c>
      <c r="Y226">
        <f t="shared" si="26"/>
        <v>33092.874000000003</v>
      </c>
    </row>
    <row r="227" spans="1:25" x14ac:dyDescent="0.3">
      <c r="A227" t="s">
        <v>467</v>
      </c>
      <c r="B227" s="1">
        <v>45458</v>
      </c>
      <c r="C227" t="s">
        <v>468</v>
      </c>
      <c r="D227" t="s">
        <v>176</v>
      </c>
      <c r="E227" t="s">
        <v>177</v>
      </c>
      <c r="F227" t="s">
        <v>31</v>
      </c>
      <c r="G227" t="s">
        <v>56</v>
      </c>
      <c r="H227" t="s">
        <v>123</v>
      </c>
      <c r="I227">
        <v>1</v>
      </c>
      <c r="J227">
        <v>2260.84</v>
      </c>
      <c r="K227">
        <v>0.1</v>
      </c>
      <c r="L227">
        <v>2034.76</v>
      </c>
      <c r="M227" t="s">
        <v>48</v>
      </c>
      <c r="N227" t="s">
        <v>58</v>
      </c>
      <c r="O227" t="s">
        <v>35</v>
      </c>
      <c r="P227" t="s">
        <v>26</v>
      </c>
      <c r="Q227" t="str">
        <f t="shared" si="21"/>
        <v>Cancelled</v>
      </c>
      <c r="R227" t="str">
        <f t="shared" si="22"/>
        <v>Marketplace</v>
      </c>
      <c r="S227" t="str">
        <v>Credit Card</v>
      </c>
      <c r="T227" t="str">
        <v>Electronics</v>
      </c>
      <c r="U227" t="str">
        <f t="shared" si="23"/>
        <v>VALID</v>
      </c>
      <c r="V227" t="str">
        <f t="shared" si="24"/>
        <v>NORMAL</v>
      </c>
      <c r="W227" t="str">
        <f t="shared" si="25"/>
        <v>Valid</v>
      </c>
      <c r="X227">
        <f t="shared" si="27"/>
        <v>2260.84</v>
      </c>
      <c r="Y227">
        <f t="shared" si="26"/>
        <v>2034.7560000000001</v>
      </c>
    </row>
    <row r="228" spans="1:25" x14ac:dyDescent="0.3">
      <c r="A228" t="s">
        <v>469</v>
      </c>
      <c r="B228" s="1">
        <v>46115</v>
      </c>
      <c r="C228" t="s">
        <v>470</v>
      </c>
      <c r="D228" t="s">
        <v>45</v>
      </c>
      <c r="E228" t="s">
        <v>46</v>
      </c>
      <c r="F228" t="s">
        <v>31</v>
      </c>
      <c r="G228" t="s">
        <v>21</v>
      </c>
      <c r="H228" t="s">
        <v>126</v>
      </c>
      <c r="I228">
        <v>5</v>
      </c>
      <c r="J228">
        <v>1686.91</v>
      </c>
      <c r="K228">
        <v>0.15</v>
      </c>
      <c r="L228">
        <v>7169.37</v>
      </c>
      <c r="M228" t="s">
        <v>76</v>
      </c>
      <c r="N228" t="s">
        <v>24</v>
      </c>
      <c r="O228" t="s">
        <v>65</v>
      </c>
      <c r="P228" t="s">
        <v>72</v>
      </c>
      <c r="Q228" t="str">
        <f t="shared" si="21"/>
        <v>Completed</v>
      </c>
      <c r="R228" t="str">
        <f t="shared" si="22"/>
        <v>Store</v>
      </c>
      <c r="S228" t="str">
        <v>Debit Card</v>
      </c>
      <c r="T228" t="str">
        <v>Electronics</v>
      </c>
      <c r="U228" t="str">
        <f t="shared" si="23"/>
        <v>VALID</v>
      </c>
      <c r="V228" t="str">
        <f t="shared" si="24"/>
        <v>NORMAL</v>
      </c>
      <c r="W228" t="str">
        <f t="shared" si="25"/>
        <v>Valid</v>
      </c>
      <c r="X228">
        <f t="shared" si="27"/>
        <v>8434.5500000000011</v>
      </c>
      <c r="Y228">
        <f t="shared" si="26"/>
        <v>7169.3675000000012</v>
      </c>
    </row>
    <row r="229" spans="1:25" x14ac:dyDescent="0.3">
      <c r="A229" t="s">
        <v>471</v>
      </c>
      <c r="B229" s="1">
        <v>45755</v>
      </c>
      <c r="C229" t="s">
        <v>137</v>
      </c>
      <c r="D229" t="s">
        <v>89</v>
      </c>
      <c r="E229" t="s">
        <v>90</v>
      </c>
      <c r="F229" t="s">
        <v>20</v>
      </c>
      <c r="G229" t="s">
        <v>56</v>
      </c>
      <c r="H229" t="s">
        <v>123</v>
      </c>
      <c r="I229">
        <v>2</v>
      </c>
      <c r="J229">
        <v>698.46</v>
      </c>
      <c r="K229">
        <v>0.2</v>
      </c>
      <c r="L229">
        <v>1117.54</v>
      </c>
      <c r="M229" t="s">
        <v>48</v>
      </c>
      <c r="N229" t="s">
        <v>24</v>
      </c>
      <c r="O229" t="s">
        <v>25</v>
      </c>
      <c r="P229" t="s">
        <v>72</v>
      </c>
      <c r="Q229" t="str">
        <f t="shared" si="21"/>
        <v>Returned</v>
      </c>
      <c r="R229" t="str">
        <f t="shared" si="22"/>
        <v>Marketplace</v>
      </c>
      <c r="S229" t="str">
        <v>Debit Card</v>
      </c>
      <c r="T229" t="str">
        <v>Accessories</v>
      </c>
      <c r="U229" t="str">
        <f t="shared" si="23"/>
        <v>VALID</v>
      </c>
      <c r="V229" t="str">
        <f t="shared" si="24"/>
        <v>NORMAL</v>
      </c>
      <c r="W229" t="str">
        <f t="shared" si="25"/>
        <v>Valid</v>
      </c>
      <c r="X229">
        <f t="shared" si="27"/>
        <v>1396.92</v>
      </c>
      <c r="Y229">
        <f t="shared" si="26"/>
        <v>1117.5360000000001</v>
      </c>
    </row>
    <row r="230" spans="1:25" x14ac:dyDescent="0.3">
      <c r="A230" t="s">
        <v>472</v>
      </c>
      <c r="B230" s="1">
        <v>45961</v>
      </c>
      <c r="C230" t="s">
        <v>70</v>
      </c>
      <c r="D230" t="s">
        <v>85</v>
      </c>
      <c r="E230" t="s">
        <v>86</v>
      </c>
      <c r="F230" t="s">
        <v>20</v>
      </c>
      <c r="G230" t="s">
        <v>81</v>
      </c>
      <c r="H230" t="s">
        <v>82</v>
      </c>
      <c r="I230">
        <v>2</v>
      </c>
      <c r="J230">
        <v>1670.64</v>
      </c>
      <c r="K230">
        <v>0.15</v>
      </c>
      <c r="L230">
        <v>2840.09</v>
      </c>
      <c r="M230" t="s">
        <v>48</v>
      </c>
      <c r="N230" t="s">
        <v>71</v>
      </c>
      <c r="O230" t="s">
        <v>65</v>
      </c>
      <c r="P230" t="s">
        <v>59</v>
      </c>
      <c r="Q230" t="str">
        <f t="shared" si="21"/>
        <v>Completed</v>
      </c>
      <c r="R230" t="str">
        <f t="shared" si="22"/>
        <v>Marketplace</v>
      </c>
      <c r="S230" t="str">
        <v>Upi</v>
      </c>
      <c r="T230" t="str">
        <v>Accessories</v>
      </c>
      <c r="U230" t="str">
        <f t="shared" si="23"/>
        <v>VALID</v>
      </c>
      <c r="V230" t="str">
        <f t="shared" si="24"/>
        <v>NORMAL</v>
      </c>
      <c r="W230" t="str">
        <f t="shared" si="25"/>
        <v>Valid</v>
      </c>
      <c r="X230">
        <f t="shared" si="27"/>
        <v>3341.28</v>
      </c>
      <c r="Y230">
        <f t="shared" si="26"/>
        <v>2840.0880000000002</v>
      </c>
    </row>
    <row r="231" spans="1:25" x14ac:dyDescent="0.3">
      <c r="A231" t="s">
        <v>473</v>
      </c>
      <c r="B231" s="1">
        <v>46109</v>
      </c>
      <c r="C231" t="s">
        <v>190</v>
      </c>
      <c r="D231" t="s">
        <v>131</v>
      </c>
      <c r="E231" t="s">
        <v>132</v>
      </c>
      <c r="F231" t="s">
        <v>40</v>
      </c>
      <c r="G231" t="s">
        <v>56</v>
      </c>
      <c r="H231" t="s">
        <v>101</v>
      </c>
      <c r="I231">
        <v>4</v>
      </c>
      <c r="J231">
        <v>9989.76</v>
      </c>
      <c r="K231">
        <v>0</v>
      </c>
      <c r="L231">
        <v>39959.040000000001</v>
      </c>
      <c r="M231" t="s">
        <v>48</v>
      </c>
      <c r="N231" t="s">
        <v>49</v>
      </c>
      <c r="O231" t="s">
        <v>25</v>
      </c>
      <c r="P231" t="s">
        <v>59</v>
      </c>
      <c r="Q231" t="str">
        <f t="shared" si="21"/>
        <v>Returned</v>
      </c>
      <c r="R231" t="str">
        <f t="shared" si="22"/>
        <v>Marketplace</v>
      </c>
      <c r="S231" t="str">
        <v>Net Banking</v>
      </c>
      <c r="T231" t="str">
        <v>Furniture</v>
      </c>
      <c r="U231" t="str">
        <f t="shared" si="23"/>
        <v>VALID</v>
      </c>
      <c r="V231" t="str">
        <f t="shared" si="24"/>
        <v>NORMAL</v>
      </c>
      <c r="W231" t="str">
        <f t="shared" si="25"/>
        <v>Valid</v>
      </c>
      <c r="X231">
        <f t="shared" si="27"/>
        <v>39959.040000000001</v>
      </c>
      <c r="Y231">
        <f t="shared" si="26"/>
        <v>39959.040000000001</v>
      </c>
    </row>
    <row r="232" spans="1:25" x14ac:dyDescent="0.3">
      <c r="A232" t="s">
        <v>474</v>
      </c>
      <c r="B232" s="1">
        <v>45707</v>
      </c>
      <c r="C232" t="s">
        <v>391</v>
      </c>
      <c r="D232" t="s">
        <v>176</v>
      </c>
      <c r="E232" t="s">
        <v>177</v>
      </c>
      <c r="F232" t="s">
        <v>31</v>
      </c>
      <c r="G232" t="s">
        <v>81</v>
      </c>
      <c r="H232" t="s">
        <v>87</v>
      </c>
      <c r="I232">
        <v>5</v>
      </c>
      <c r="J232">
        <v>2146.38</v>
      </c>
      <c r="K232">
        <v>0.15</v>
      </c>
      <c r="L232">
        <v>9122.1200000000008</v>
      </c>
      <c r="M232" t="s">
        <v>76</v>
      </c>
      <c r="N232" t="s">
        <v>49</v>
      </c>
      <c r="O232" t="s">
        <v>35</v>
      </c>
      <c r="P232" t="s">
        <v>102</v>
      </c>
      <c r="Q232" t="str">
        <f t="shared" si="21"/>
        <v>Cancelled</v>
      </c>
      <c r="R232" t="str">
        <f t="shared" si="22"/>
        <v>Store</v>
      </c>
      <c r="S232" t="str">
        <v>Net Banking</v>
      </c>
      <c r="T232" t="str">
        <v>Electronics</v>
      </c>
      <c r="U232" t="str">
        <f t="shared" si="23"/>
        <v>VALID</v>
      </c>
      <c r="V232" t="str">
        <f t="shared" si="24"/>
        <v>NORMAL</v>
      </c>
      <c r="W232" t="str">
        <f t="shared" si="25"/>
        <v>Valid</v>
      </c>
      <c r="X232">
        <f t="shared" si="27"/>
        <v>10731.900000000001</v>
      </c>
      <c r="Y232">
        <f t="shared" si="26"/>
        <v>9122.1150000000016</v>
      </c>
    </row>
    <row r="233" spans="1:25" x14ac:dyDescent="0.3">
      <c r="A233" t="s">
        <v>475</v>
      </c>
      <c r="B233" s="1">
        <v>46168</v>
      </c>
      <c r="C233" t="s">
        <v>476</v>
      </c>
      <c r="D233" t="s">
        <v>29</v>
      </c>
      <c r="E233" t="s">
        <v>30</v>
      </c>
      <c r="F233" t="s">
        <v>31</v>
      </c>
      <c r="G233" t="s">
        <v>56</v>
      </c>
      <c r="H233" t="s">
        <v>101</v>
      </c>
      <c r="I233">
        <v>3</v>
      </c>
      <c r="J233">
        <v>3359.81</v>
      </c>
      <c r="K233">
        <v>0.05</v>
      </c>
      <c r="L233">
        <v>9575.4599999999991</v>
      </c>
      <c r="M233" t="s">
        <v>23</v>
      </c>
      <c r="N233" t="s">
        <v>49</v>
      </c>
      <c r="O233" t="s">
        <v>65</v>
      </c>
      <c r="P233" t="s">
        <v>59</v>
      </c>
      <c r="Q233" t="str">
        <f t="shared" si="21"/>
        <v>Completed</v>
      </c>
      <c r="R233" t="str">
        <f t="shared" si="22"/>
        <v>Online</v>
      </c>
      <c r="S233" t="str">
        <v>Net Banking</v>
      </c>
      <c r="T233" t="str">
        <v>Electronics</v>
      </c>
      <c r="U233" t="str">
        <f t="shared" si="23"/>
        <v>VALID</v>
      </c>
      <c r="V233" t="str">
        <f t="shared" si="24"/>
        <v>NORMAL</v>
      </c>
      <c r="W233" t="str">
        <f t="shared" si="25"/>
        <v>Valid</v>
      </c>
      <c r="X233">
        <f t="shared" si="27"/>
        <v>10079.43</v>
      </c>
      <c r="Y233">
        <f t="shared" si="26"/>
        <v>9575.4585000000006</v>
      </c>
    </row>
    <row r="234" spans="1:25" x14ac:dyDescent="0.3">
      <c r="A234" t="s">
        <v>477</v>
      </c>
      <c r="B234" s="1">
        <v>45777</v>
      </c>
      <c r="C234" t="s">
        <v>175</v>
      </c>
      <c r="D234" t="s">
        <v>79</v>
      </c>
      <c r="E234" t="s">
        <v>80</v>
      </c>
      <c r="F234" t="s">
        <v>31</v>
      </c>
      <c r="G234" t="s">
        <v>254</v>
      </c>
      <c r="H234" t="s">
        <v>93</v>
      </c>
      <c r="I234">
        <v>4</v>
      </c>
      <c r="J234">
        <v>11897.17</v>
      </c>
      <c r="K234">
        <v>0.05</v>
      </c>
      <c r="L234">
        <v>45209.25</v>
      </c>
      <c r="M234" t="s">
        <v>76</v>
      </c>
      <c r="N234" t="s">
        <v>71</v>
      </c>
      <c r="O234" t="s">
        <v>35</v>
      </c>
      <c r="P234" t="s">
        <v>50</v>
      </c>
      <c r="Q234" t="str">
        <f t="shared" si="21"/>
        <v>Cancelled</v>
      </c>
      <c r="R234" t="str">
        <f t="shared" si="22"/>
        <v>Store</v>
      </c>
      <c r="S234" t="str">
        <v>Upi</v>
      </c>
      <c r="T234" t="str">
        <v>Electronics</v>
      </c>
      <c r="U234" t="str">
        <f t="shared" si="23"/>
        <v>VALID</v>
      </c>
      <c r="V234" t="str">
        <f t="shared" si="24"/>
        <v>NORMAL</v>
      </c>
      <c r="W234" t="str">
        <f t="shared" si="25"/>
        <v>Valid</v>
      </c>
      <c r="X234">
        <f t="shared" si="27"/>
        <v>47588.68</v>
      </c>
      <c r="Y234">
        <f t="shared" si="26"/>
        <v>45209.245999999999</v>
      </c>
    </row>
    <row r="235" spans="1:25" x14ac:dyDescent="0.3">
      <c r="A235" t="s">
        <v>478</v>
      </c>
      <c r="B235" s="1">
        <v>46107</v>
      </c>
      <c r="C235" t="s">
        <v>243</v>
      </c>
      <c r="D235" t="s">
        <v>29</v>
      </c>
      <c r="E235" t="s">
        <v>30</v>
      </c>
      <c r="F235" t="s">
        <v>31</v>
      </c>
      <c r="G235" t="s">
        <v>56</v>
      </c>
      <c r="H235" t="s">
        <v>64</v>
      </c>
      <c r="I235">
        <v>3</v>
      </c>
      <c r="J235">
        <v>3433.5</v>
      </c>
      <c r="K235">
        <v>0</v>
      </c>
      <c r="L235">
        <v>10300.5</v>
      </c>
      <c r="M235" t="s">
        <v>23</v>
      </c>
      <c r="N235" t="s">
        <v>71</v>
      </c>
      <c r="O235" t="s">
        <v>65</v>
      </c>
      <c r="P235" t="s">
        <v>42</v>
      </c>
      <c r="Q235" t="str">
        <f t="shared" si="21"/>
        <v>Completed</v>
      </c>
      <c r="R235" t="str">
        <f t="shared" si="22"/>
        <v>Online</v>
      </c>
      <c r="S235" t="str">
        <v>Upi</v>
      </c>
      <c r="T235" t="str">
        <v>Electronics</v>
      </c>
      <c r="U235" t="str">
        <f t="shared" si="23"/>
        <v>VALID</v>
      </c>
      <c r="V235" t="str">
        <f t="shared" si="24"/>
        <v>NORMAL</v>
      </c>
      <c r="W235" t="str">
        <f t="shared" si="25"/>
        <v>Valid</v>
      </c>
      <c r="X235">
        <f t="shared" si="27"/>
        <v>10300.5</v>
      </c>
      <c r="Y235">
        <f t="shared" si="26"/>
        <v>10300.5</v>
      </c>
    </row>
    <row r="236" spans="1:25" x14ac:dyDescent="0.3">
      <c r="A236" t="s">
        <v>479</v>
      </c>
      <c r="B236" s="1">
        <v>45591</v>
      </c>
      <c r="C236" t="s">
        <v>480</v>
      </c>
      <c r="D236" t="s">
        <v>53</v>
      </c>
      <c r="E236" t="s">
        <v>54</v>
      </c>
      <c r="F236" t="s">
        <v>55</v>
      </c>
      <c r="G236" t="s">
        <v>81</v>
      </c>
      <c r="H236" t="s">
        <v>135</v>
      </c>
      <c r="I236">
        <v>5</v>
      </c>
      <c r="J236">
        <v>227.33</v>
      </c>
      <c r="K236">
        <v>0.15</v>
      </c>
      <c r="L236">
        <v>966.15</v>
      </c>
      <c r="M236" t="s">
        <v>23</v>
      </c>
      <c r="N236" t="s">
        <v>49</v>
      </c>
      <c r="O236" t="s">
        <v>65</v>
      </c>
      <c r="P236" t="s">
        <v>111</v>
      </c>
      <c r="Q236" t="str">
        <f t="shared" si="21"/>
        <v>Completed</v>
      </c>
      <c r="R236" t="str">
        <f t="shared" si="22"/>
        <v>Online</v>
      </c>
      <c r="S236" t="str">
        <v>Net Banking</v>
      </c>
      <c r="T236" t="str">
        <v>Stationery</v>
      </c>
      <c r="U236" t="str">
        <f t="shared" si="23"/>
        <v>VALID</v>
      </c>
      <c r="V236" t="str">
        <f t="shared" si="24"/>
        <v>NORMAL</v>
      </c>
      <c r="W236" t="str">
        <f t="shared" si="25"/>
        <v>Valid</v>
      </c>
      <c r="X236">
        <f t="shared" si="27"/>
        <v>1136.6500000000001</v>
      </c>
      <c r="Y236">
        <f t="shared" si="26"/>
        <v>966.15250000000015</v>
      </c>
    </row>
    <row r="237" spans="1:25" x14ac:dyDescent="0.3">
      <c r="A237" t="s">
        <v>481</v>
      </c>
      <c r="B237" s="1">
        <v>45728</v>
      </c>
      <c r="C237" t="s">
        <v>100</v>
      </c>
      <c r="D237" t="s">
        <v>38</v>
      </c>
      <c r="E237" t="s">
        <v>39</v>
      </c>
      <c r="F237" t="s">
        <v>40</v>
      </c>
      <c r="G237" t="s">
        <v>81</v>
      </c>
      <c r="H237" t="s">
        <v>98</v>
      </c>
      <c r="I237">
        <v>2</v>
      </c>
      <c r="J237">
        <v>1550.93</v>
      </c>
      <c r="K237">
        <v>0.03</v>
      </c>
      <c r="L237">
        <v>3008.8</v>
      </c>
      <c r="M237" t="s">
        <v>48</v>
      </c>
      <c r="N237" t="s">
        <v>24</v>
      </c>
      <c r="O237" t="s">
        <v>35</v>
      </c>
      <c r="P237" t="s">
        <v>26</v>
      </c>
      <c r="Q237" t="str">
        <f t="shared" si="21"/>
        <v>Cancelled</v>
      </c>
      <c r="R237" t="str">
        <f t="shared" si="22"/>
        <v>Marketplace</v>
      </c>
      <c r="S237" t="str">
        <v>Debit Card</v>
      </c>
      <c r="T237" t="str">
        <v>Furniture</v>
      </c>
      <c r="U237" t="str">
        <f t="shared" si="23"/>
        <v>VALID</v>
      </c>
      <c r="V237" t="str">
        <f t="shared" si="24"/>
        <v>NORMAL</v>
      </c>
      <c r="W237" t="str">
        <f t="shared" si="25"/>
        <v>Valid</v>
      </c>
      <c r="X237">
        <f t="shared" si="27"/>
        <v>3101.86</v>
      </c>
      <c r="Y237">
        <f t="shared" si="26"/>
        <v>3008.8042</v>
      </c>
    </row>
    <row r="238" spans="1:25" x14ac:dyDescent="0.3">
      <c r="A238" t="s">
        <v>482</v>
      </c>
      <c r="B238" s="1">
        <v>45427</v>
      </c>
      <c r="C238" t="s">
        <v>483</v>
      </c>
      <c r="D238" t="s">
        <v>96</v>
      </c>
      <c r="E238" t="s">
        <v>97</v>
      </c>
      <c r="F238" t="s">
        <v>31</v>
      </c>
      <c r="G238" t="s">
        <v>56</v>
      </c>
      <c r="H238" t="s">
        <v>64</v>
      </c>
      <c r="I238">
        <v>3</v>
      </c>
      <c r="J238">
        <v>1247.6099999999999</v>
      </c>
      <c r="K238">
        <v>0.03</v>
      </c>
      <c r="L238">
        <v>3630.55</v>
      </c>
      <c r="M238" t="s">
        <v>48</v>
      </c>
      <c r="N238" t="s">
        <v>58</v>
      </c>
      <c r="O238" t="s">
        <v>65</v>
      </c>
      <c r="P238" t="s">
        <v>59</v>
      </c>
      <c r="Q238" t="str">
        <f t="shared" si="21"/>
        <v>Completed</v>
      </c>
      <c r="R238" t="str">
        <f t="shared" si="22"/>
        <v>Marketplace</v>
      </c>
      <c r="S238" t="str">
        <v>Credit Card</v>
      </c>
      <c r="T238" t="str">
        <v>Electronics</v>
      </c>
      <c r="U238" t="str">
        <f t="shared" si="23"/>
        <v>VALID</v>
      </c>
      <c r="V238" t="str">
        <f t="shared" si="24"/>
        <v>NORMAL</v>
      </c>
      <c r="W238" t="str">
        <f t="shared" si="25"/>
        <v>Valid</v>
      </c>
      <c r="X238">
        <f t="shared" si="27"/>
        <v>3742.83</v>
      </c>
      <c r="Y238">
        <f t="shared" si="26"/>
        <v>3630.5450999999998</v>
      </c>
    </row>
    <row r="239" spans="1:25" x14ac:dyDescent="0.3">
      <c r="A239" t="s">
        <v>484</v>
      </c>
      <c r="B239" s="1">
        <v>46040</v>
      </c>
      <c r="C239" t="s">
        <v>485</v>
      </c>
      <c r="D239" t="s">
        <v>131</v>
      </c>
      <c r="E239" t="s">
        <v>132</v>
      </c>
      <c r="F239" t="s">
        <v>40</v>
      </c>
      <c r="G239" t="s">
        <v>81</v>
      </c>
      <c r="H239" t="s">
        <v>87</v>
      </c>
      <c r="I239">
        <v>100</v>
      </c>
      <c r="J239">
        <v>9008.06</v>
      </c>
      <c r="K239">
        <v>0.05</v>
      </c>
      <c r="L239">
        <v>17115.310000000001</v>
      </c>
      <c r="M239" t="s">
        <v>76</v>
      </c>
      <c r="N239" t="s">
        <v>58</v>
      </c>
      <c r="O239" t="s">
        <v>35</v>
      </c>
      <c r="P239" t="s">
        <v>50</v>
      </c>
      <c r="Q239" t="str">
        <f t="shared" si="21"/>
        <v>Cancelled</v>
      </c>
      <c r="R239" t="str">
        <f t="shared" si="22"/>
        <v>Store</v>
      </c>
      <c r="S239" t="str">
        <v>Credit Card</v>
      </c>
      <c r="T239" t="str">
        <v>Furniture</v>
      </c>
      <c r="U239" t="str">
        <f t="shared" si="23"/>
        <v>VALID</v>
      </c>
      <c r="V239" t="str">
        <f t="shared" si="24"/>
        <v>NORMAL</v>
      </c>
      <c r="W239" t="str">
        <f t="shared" si="25"/>
        <v>Valid</v>
      </c>
      <c r="X239">
        <f t="shared" si="27"/>
        <v>900806</v>
      </c>
      <c r="Y239">
        <f t="shared" si="26"/>
        <v>855765.7</v>
      </c>
    </row>
    <row r="240" spans="1:25" x14ac:dyDescent="0.3">
      <c r="A240" t="s">
        <v>486</v>
      </c>
      <c r="B240" s="1">
        <v>46121</v>
      </c>
      <c r="C240" t="s">
        <v>216</v>
      </c>
      <c r="D240" t="s">
        <v>18</v>
      </c>
      <c r="E240" t="s">
        <v>19</v>
      </c>
      <c r="F240" t="s">
        <v>20</v>
      </c>
      <c r="G240" t="s">
        <v>81</v>
      </c>
      <c r="H240" t="s">
        <v>98</v>
      </c>
      <c r="I240">
        <v>2</v>
      </c>
      <c r="J240">
        <v>799.8</v>
      </c>
      <c r="K240">
        <v>0.03</v>
      </c>
      <c r="L240">
        <v>1551.61</v>
      </c>
      <c r="M240" t="s">
        <v>76</v>
      </c>
      <c r="N240" t="s">
        <v>49</v>
      </c>
      <c r="O240" t="s">
        <v>65</v>
      </c>
      <c r="P240" t="s">
        <v>111</v>
      </c>
      <c r="Q240" t="str">
        <f t="shared" si="21"/>
        <v>Completed</v>
      </c>
      <c r="R240" t="str">
        <f t="shared" si="22"/>
        <v>Store</v>
      </c>
      <c r="S240" t="str">
        <v>Net Banking</v>
      </c>
      <c r="T240" t="str">
        <v>Accessories</v>
      </c>
      <c r="U240" t="str">
        <f t="shared" si="23"/>
        <v>VALID</v>
      </c>
      <c r="V240" t="str">
        <f t="shared" si="24"/>
        <v>NORMAL</v>
      </c>
      <c r="W240" t="str">
        <f t="shared" si="25"/>
        <v>Valid</v>
      </c>
      <c r="X240">
        <f t="shared" si="27"/>
        <v>1599.6</v>
      </c>
      <c r="Y240">
        <f t="shared" si="26"/>
        <v>1551.6119999999999</v>
      </c>
    </row>
    <row r="241" spans="1:25" x14ac:dyDescent="0.3">
      <c r="A241" t="s">
        <v>487</v>
      </c>
      <c r="B241" s="1">
        <v>45628</v>
      </c>
      <c r="C241" t="s">
        <v>488</v>
      </c>
      <c r="D241" t="s">
        <v>62</v>
      </c>
      <c r="E241" t="s">
        <v>63</v>
      </c>
      <c r="F241" t="s">
        <v>31</v>
      </c>
      <c r="G241" t="s">
        <v>81</v>
      </c>
      <c r="H241" t="s">
        <v>87</v>
      </c>
      <c r="I241">
        <v>3</v>
      </c>
      <c r="J241">
        <v>2992.64</v>
      </c>
      <c r="K241">
        <v>0.15</v>
      </c>
      <c r="L241">
        <v>7631.23</v>
      </c>
      <c r="M241" t="s">
        <v>76</v>
      </c>
      <c r="N241" t="s">
        <v>49</v>
      </c>
      <c r="O241" t="s">
        <v>65</v>
      </c>
      <c r="P241" t="s">
        <v>111</v>
      </c>
      <c r="Q241" t="str">
        <f t="shared" si="21"/>
        <v>Completed</v>
      </c>
      <c r="R241" t="str">
        <f t="shared" si="22"/>
        <v>Store</v>
      </c>
      <c r="S241" t="str">
        <v>Net Banking</v>
      </c>
      <c r="T241" t="str">
        <v>Electronics</v>
      </c>
      <c r="U241" t="str">
        <f t="shared" si="23"/>
        <v>VALID</v>
      </c>
      <c r="V241" t="str">
        <f t="shared" si="24"/>
        <v>NORMAL</v>
      </c>
      <c r="W241" t="str">
        <f t="shared" si="25"/>
        <v>Valid</v>
      </c>
      <c r="X241">
        <f t="shared" si="27"/>
        <v>8977.92</v>
      </c>
      <c r="Y241">
        <f t="shared" si="26"/>
        <v>7631.232</v>
      </c>
    </row>
    <row r="242" spans="1:25" x14ac:dyDescent="0.3">
      <c r="A242" t="s">
        <v>489</v>
      </c>
      <c r="B242" s="1">
        <v>45860</v>
      </c>
      <c r="C242" t="s">
        <v>490</v>
      </c>
      <c r="D242" t="s">
        <v>89</v>
      </c>
      <c r="E242" t="s">
        <v>90</v>
      </c>
      <c r="F242" t="s">
        <v>20</v>
      </c>
      <c r="G242" t="s">
        <v>56</v>
      </c>
      <c r="H242" t="s">
        <v>101</v>
      </c>
      <c r="I242">
        <v>4</v>
      </c>
      <c r="J242">
        <v>745.76</v>
      </c>
      <c r="K242">
        <v>0.08</v>
      </c>
      <c r="L242">
        <v>2744.4</v>
      </c>
      <c r="M242" t="s">
        <v>48</v>
      </c>
      <c r="N242" t="s">
        <v>58</v>
      </c>
      <c r="O242" t="s">
        <v>65</v>
      </c>
      <c r="P242" t="s">
        <v>111</v>
      </c>
      <c r="Q242" t="str">
        <f t="shared" si="21"/>
        <v>Completed</v>
      </c>
      <c r="R242" t="str">
        <f t="shared" si="22"/>
        <v>Marketplace</v>
      </c>
      <c r="S242" t="str">
        <v>Credit Card</v>
      </c>
      <c r="T242" t="str">
        <v>Accessories</v>
      </c>
      <c r="U242" t="str">
        <f t="shared" si="23"/>
        <v>VALID</v>
      </c>
      <c r="V242" t="str">
        <f t="shared" si="24"/>
        <v>NORMAL</v>
      </c>
      <c r="W242" t="str">
        <f t="shared" si="25"/>
        <v>Valid</v>
      </c>
      <c r="X242">
        <f t="shared" si="27"/>
        <v>2983.04</v>
      </c>
      <c r="Y242">
        <f t="shared" si="26"/>
        <v>2744.3968</v>
      </c>
    </row>
    <row r="243" spans="1:25" x14ac:dyDescent="0.3">
      <c r="A243" t="s">
        <v>491</v>
      </c>
      <c r="B243" s="1">
        <v>45366</v>
      </c>
      <c r="C243" t="s">
        <v>297</v>
      </c>
      <c r="D243" t="s">
        <v>29</v>
      </c>
      <c r="E243" t="s">
        <v>30</v>
      </c>
      <c r="F243" t="s">
        <v>31</v>
      </c>
      <c r="G243" t="s">
        <v>81</v>
      </c>
      <c r="H243" t="s">
        <v>87</v>
      </c>
      <c r="I243">
        <v>3</v>
      </c>
      <c r="J243">
        <v>3197.09</v>
      </c>
      <c r="L243">
        <v>8823.9699999999993</v>
      </c>
      <c r="M243" t="s">
        <v>76</v>
      </c>
      <c r="N243" t="s">
        <v>24</v>
      </c>
      <c r="O243" t="s">
        <v>35</v>
      </c>
      <c r="P243" t="s">
        <v>116</v>
      </c>
      <c r="Q243" t="str">
        <f t="shared" si="21"/>
        <v>Cancelled</v>
      </c>
      <c r="R243" t="str">
        <f t="shared" si="22"/>
        <v>Store</v>
      </c>
      <c r="S243" t="str">
        <v>Debit Card</v>
      </c>
      <c r="T243" t="str">
        <v>Electronics</v>
      </c>
      <c r="U243" t="str">
        <f t="shared" si="23"/>
        <v>VALID</v>
      </c>
      <c r="V243" t="str">
        <f t="shared" si="24"/>
        <v>NORMAL</v>
      </c>
      <c r="W243" t="str">
        <f t="shared" si="25"/>
        <v>Valid</v>
      </c>
      <c r="X243">
        <f t="shared" si="27"/>
        <v>9591.27</v>
      </c>
      <c r="Y243">
        <f t="shared" si="26"/>
        <v>9591.27</v>
      </c>
    </row>
    <row r="244" spans="1:25" x14ac:dyDescent="0.3">
      <c r="A244" t="s">
        <v>492</v>
      </c>
      <c r="B244" s="1">
        <v>45877</v>
      </c>
      <c r="C244" t="s">
        <v>493</v>
      </c>
      <c r="D244" t="s">
        <v>38</v>
      </c>
      <c r="E244" t="s">
        <v>39</v>
      </c>
      <c r="F244" t="s">
        <v>40</v>
      </c>
      <c r="G244" t="s">
        <v>32</v>
      </c>
      <c r="H244" t="s">
        <v>68</v>
      </c>
      <c r="I244">
        <v>1</v>
      </c>
      <c r="J244">
        <v>1675.01</v>
      </c>
      <c r="K244">
        <v>0.1</v>
      </c>
      <c r="L244">
        <v>1507.51</v>
      </c>
      <c r="M244" t="s">
        <v>48</v>
      </c>
      <c r="N244" t="s">
        <v>49</v>
      </c>
      <c r="O244" t="s">
        <v>25</v>
      </c>
      <c r="P244" t="s">
        <v>26</v>
      </c>
      <c r="Q244" t="str">
        <f t="shared" si="21"/>
        <v>Returned</v>
      </c>
      <c r="R244" t="str">
        <f t="shared" si="22"/>
        <v>Marketplace</v>
      </c>
      <c r="S244" t="str">
        <v>Net Banking</v>
      </c>
      <c r="T244" t="str">
        <v>Furniture</v>
      </c>
      <c r="U244" t="str">
        <f t="shared" si="23"/>
        <v>VALID</v>
      </c>
      <c r="V244" t="str">
        <f t="shared" si="24"/>
        <v>NORMAL</v>
      </c>
      <c r="W244" t="str">
        <f t="shared" si="25"/>
        <v>Valid</v>
      </c>
      <c r="X244">
        <f t="shared" si="27"/>
        <v>1675.01</v>
      </c>
      <c r="Y244">
        <f t="shared" si="26"/>
        <v>1507.509</v>
      </c>
    </row>
    <row r="245" spans="1:25" x14ac:dyDescent="0.3">
      <c r="A245" t="s">
        <v>494</v>
      </c>
      <c r="B245" s="1">
        <v>46088</v>
      </c>
      <c r="C245" t="s">
        <v>153</v>
      </c>
      <c r="D245" t="s">
        <v>96</v>
      </c>
      <c r="E245" t="s">
        <v>97</v>
      </c>
      <c r="F245" t="s">
        <v>31</v>
      </c>
      <c r="G245" t="s">
        <v>32</v>
      </c>
      <c r="H245" t="s">
        <v>33</v>
      </c>
      <c r="I245">
        <v>1</v>
      </c>
      <c r="J245">
        <v>1181.1199999999999</v>
      </c>
      <c r="K245">
        <v>0.05</v>
      </c>
      <c r="L245">
        <v>1122.06</v>
      </c>
      <c r="M245" t="s">
        <v>48</v>
      </c>
      <c r="N245" t="s">
        <v>49</v>
      </c>
      <c r="O245" t="s">
        <v>65</v>
      </c>
      <c r="P245" t="s">
        <v>102</v>
      </c>
      <c r="Q245" t="str">
        <f t="shared" si="21"/>
        <v>Completed</v>
      </c>
      <c r="R245" t="str">
        <f t="shared" si="22"/>
        <v>Marketplace</v>
      </c>
      <c r="S245" t="str">
        <v>Net Banking</v>
      </c>
      <c r="T245" t="str">
        <v>Electronics</v>
      </c>
      <c r="U245" t="str">
        <f t="shared" si="23"/>
        <v>VALID</v>
      </c>
      <c r="V245" t="str">
        <f t="shared" si="24"/>
        <v>NORMAL</v>
      </c>
      <c r="W245" t="str">
        <f t="shared" si="25"/>
        <v>Valid</v>
      </c>
      <c r="X245">
        <f t="shared" si="27"/>
        <v>1181.1199999999999</v>
      </c>
      <c r="Y245">
        <f t="shared" si="26"/>
        <v>1122.0639999999999</v>
      </c>
    </row>
    <row r="246" spans="1:25" x14ac:dyDescent="0.3">
      <c r="A246" t="s">
        <v>495</v>
      </c>
      <c r="B246" s="1">
        <v>45685</v>
      </c>
      <c r="C246" t="s">
        <v>311</v>
      </c>
      <c r="D246" t="s">
        <v>105</v>
      </c>
      <c r="E246" t="s">
        <v>106</v>
      </c>
      <c r="F246" t="s">
        <v>40</v>
      </c>
      <c r="G246" t="s">
        <v>32</v>
      </c>
      <c r="H246" t="s">
        <v>68</v>
      </c>
      <c r="I246">
        <v>3</v>
      </c>
      <c r="J246">
        <v>6819.61</v>
      </c>
      <c r="K246">
        <v>0.1</v>
      </c>
      <c r="L246">
        <v>18412.95</v>
      </c>
      <c r="M246" t="s">
        <v>23</v>
      </c>
      <c r="N246" t="s">
        <v>49</v>
      </c>
      <c r="O246" t="s">
        <v>65</v>
      </c>
      <c r="P246" t="s">
        <v>26</v>
      </c>
      <c r="Q246" t="str">
        <f t="shared" si="21"/>
        <v>Completed</v>
      </c>
      <c r="R246" t="str">
        <f t="shared" si="22"/>
        <v>Online</v>
      </c>
      <c r="S246" t="str">
        <v>Net Banking</v>
      </c>
      <c r="T246" t="str">
        <v>Furniture</v>
      </c>
      <c r="U246" t="str">
        <f t="shared" si="23"/>
        <v>VALID</v>
      </c>
      <c r="V246" t="str">
        <f t="shared" si="24"/>
        <v>NORMAL</v>
      </c>
      <c r="W246" t="str">
        <f t="shared" si="25"/>
        <v>Valid</v>
      </c>
      <c r="X246">
        <f t="shared" si="27"/>
        <v>20458.829999999998</v>
      </c>
      <c r="Y246">
        <f t="shared" si="26"/>
        <v>18412.947</v>
      </c>
    </row>
    <row r="247" spans="1:25" x14ac:dyDescent="0.3">
      <c r="A247" t="s">
        <v>496</v>
      </c>
      <c r="B247" s="1">
        <v>46157</v>
      </c>
      <c r="C247" t="s">
        <v>275</v>
      </c>
      <c r="D247" t="s">
        <v>18</v>
      </c>
      <c r="E247" t="s">
        <v>19</v>
      </c>
      <c r="F247" t="s">
        <v>20</v>
      </c>
      <c r="G247" t="s">
        <v>56</v>
      </c>
      <c r="H247" t="s">
        <v>64</v>
      </c>
      <c r="I247">
        <v>1</v>
      </c>
      <c r="J247">
        <v>874.66</v>
      </c>
      <c r="K247">
        <v>0.15</v>
      </c>
      <c r="L247">
        <v>743.46</v>
      </c>
      <c r="M247" t="s">
        <v>48</v>
      </c>
      <c r="N247" t="s">
        <v>71</v>
      </c>
      <c r="O247" t="s">
        <v>65</v>
      </c>
      <c r="P247" t="s">
        <v>111</v>
      </c>
      <c r="Q247" t="str">
        <f t="shared" si="21"/>
        <v>Completed</v>
      </c>
      <c r="R247" t="str">
        <f t="shared" si="22"/>
        <v>Marketplace</v>
      </c>
      <c r="S247" t="str">
        <v>Upi</v>
      </c>
      <c r="T247" t="str">
        <v>Accessories</v>
      </c>
      <c r="U247" t="str">
        <f t="shared" si="23"/>
        <v>VALID</v>
      </c>
      <c r="V247" t="str">
        <f t="shared" si="24"/>
        <v>NORMAL</v>
      </c>
      <c r="W247" t="str">
        <f t="shared" si="25"/>
        <v>Valid</v>
      </c>
      <c r="X247">
        <f t="shared" si="27"/>
        <v>874.66</v>
      </c>
      <c r="Y247">
        <f t="shared" si="26"/>
        <v>743.46100000000001</v>
      </c>
    </row>
    <row r="248" spans="1:25" x14ac:dyDescent="0.3">
      <c r="A248" t="s">
        <v>497</v>
      </c>
      <c r="B248" s="1">
        <v>46184</v>
      </c>
      <c r="C248" t="s">
        <v>447</v>
      </c>
      <c r="D248" t="s">
        <v>79</v>
      </c>
      <c r="E248" t="s">
        <v>80</v>
      </c>
      <c r="F248" t="s">
        <v>31</v>
      </c>
      <c r="G248" t="s">
        <v>32</v>
      </c>
      <c r="H248" t="s">
        <v>47</v>
      </c>
      <c r="I248">
        <v>5</v>
      </c>
      <c r="J248">
        <v>12855.42</v>
      </c>
      <c r="K248">
        <v>0.15</v>
      </c>
      <c r="L248">
        <v>54635.53</v>
      </c>
      <c r="M248" t="s">
        <v>48</v>
      </c>
      <c r="N248" t="s">
        <v>24</v>
      </c>
      <c r="O248" t="s">
        <v>65</v>
      </c>
      <c r="P248" t="s">
        <v>102</v>
      </c>
      <c r="Q248" t="str">
        <f t="shared" si="21"/>
        <v>Completed</v>
      </c>
      <c r="R248" t="str">
        <f t="shared" si="22"/>
        <v>Marketplace</v>
      </c>
      <c r="S248" t="str">
        <v>Debit Card</v>
      </c>
      <c r="T248" t="str">
        <v>Electronics</v>
      </c>
      <c r="U248" t="str">
        <f t="shared" si="23"/>
        <v>VALID</v>
      </c>
      <c r="V248" t="str">
        <f t="shared" si="24"/>
        <v>NORMAL</v>
      </c>
      <c r="W248" t="str">
        <f t="shared" si="25"/>
        <v>Valid</v>
      </c>
      <c r="X248">
        <f t="shared" si="27"/>
        <v>64277.1</v>
      </c>
      <c r="Y248">
        <f t="shared" si="26"/>
        <v>54635.535000000003</v>
      </c>
    </row>
    <row r="249" spans="1:25" x14ac:dyDescent="0.3">
      <c r="A249" t="s">
        <v>498</v>
      </c>
      <c r="B249" s="1">
        <v>45543</v>
      </c>
      <c r="C249" t="s">
        <v>499</v>
      </c>
      <c r="D249" t="s">
        <v>105</v>
      </c>
      <c r="E249" t="s">
        <v>106</v>
      </c>
      <c r="F249" t="s">
        <v>40</v>
      </c>
      <c r="G249" t="s">
        <v>32</v>
      </c>
      <c r="H249" t="s">
        <v>33</v>
      </c>
      <c r="I249">
        <v>3</v>
      </c>
      <c r="J249">
        <v>7119.31</v>
      </c>
      <c r="K249">
        <v>0.03</v>
      </c>
      <c r="L249">
        <v>20717.189999999999</v>
      </c>
      <c r="M249" t="s">
        <v>48</v>
      </c>
      <c r="N249" t="s">
        <v>58</v>
      </c>
      <c r="O249" t="s">
        <v>35</v>
      </c>
      <c r="P249" t="s">
        <v>111</v>
      </c>
      <c r="Q249" t="str">
        <f t="shared" si="21"/>
        <v>Cancelled</v>
      </c>
      <c r="R249" t="str">
        <f t="shared" si="22"/>
        <v>Marketplace</v>
      </c>
      <c r="S249" t="str">
        <v>Credit Card</v>
      </c>
      <c r="T249" t="str">
        <v>Furniture</v>
      </c>
      <c r="U249" t="str">
        <f t="shared" si="23"/>
        <v>VALID</v>
      </c>
      <c r="V249" t="str">
        <f t="shared" si="24"/>
        <v>NORMAL</v>
      </c>
      <c r="W249" t="str">
        <f t="shared" si="25"/>
        <v>Valid</v>
      </c>
      <c r="X249">
        <f t="shared" si="27"/>
        <v>21357.93</v>
      </c>
      <c r="Y249">
        <f t="shared" si="26"/>
        <v>20717.1921</v>
      </c>
    </row>
    <row r="250" spans="1:25" x14ac:dyDescent="0.3">
      <c r="A250" t="s">
        <v>500</v>
      </c>
      <c r="B250" s="1">
        <v>45846</v>
      </c>
      <c r="C250" t="s">
        <v>501</v>
      </c>
      <c r="D250" t="s">
        <v>18</v>
      </c>
      <c r="E250" t="s">
        <v>19</v>
      </c>
      <c r="F250" t="s">
        <v>20</v>
      </c>
      <c r="G250" t="s">
        <v>21</v>
      </c>
      <c r="H250" t="s">
        <v>126</v>
      </c>
      <c r="I250">
        <v>2</v>
      </c>
      <c r="J250">
        <v>810.98</v>
      </c>
      <c r="K250">
        <v>0.15</v>
      </c>
      <c r="L250">
        <v>1378.67</v>
      </c>
      <c r="M250" t="s">
        <v>23</v>
      </c>
      <c r="N250" t="s">
        <v>24</v>
      </c>
      <c r="O250" t="s">
        <v>65</v>
      </c>
      <c r="P250" t="s">
        <v>42</v>
      </c>
      <c r="Q250" t="str">
        <f t="shared" si="21"/>
        <v>Completed</v>
      </c>
      <c r="R250" t="str">
        <f t="shared" si="22"/>
        <v>Online</v>
      </c>
      <c r="S250" t="str">
        <v>Debit Card</v>
      </c>
      <c r="T250" t="str">
        <v>Accessories</v>
      </c>
      <c r="U250" t="str">
        <f t="shared" si="23"/>
        <v>VALID</v>
      </c>
      <c r="V250" t="str">
        <f t="shared" si="24"/>
        <v>NORMAL</v>
      </c>
      <c r="W250" t="str">
        <f t="shared" si="25"/>
        <v>Valid</v>
      </c>
      <c r="X250">
        <f t="shared" si="27"/>
        <v>1621.96</v>
      </c>
      <c r="Y250">
        <f t="shared" si="26"/>
        <v>1378.6660000000002</v>
      </c>
    </row>
    <row r="251" spans="1:25" x14ac:dyDescent="0.3">
      <c r="A251" t="s">
        <v>502</v>
      </c>
      <c r="B251" s="1">
        <v>46198</v>
      </c>
      <c r="C251" t="s">
        <v>130</v>
      </c>
      <c r="D251" t="s">
        <v>62</v>
      </c>
      <c r="E251" t="s">
        <v>63</v>
      </c>
      <c r="F251" t="s">
        <v>31</v>
      </c>
      <c r="G251" t="s">
        <v>81</v>
      </c>
      <c r="H251" t="s">
        <v>135</v>
      </c>
      <c r="I251">
        <v>2</v>
      </c>
      <c r="J251">
        <v>2808.47</v>
      </c>
      <c r="K251">
        <v>0.03</v>
      </c>
      <c r="L251">
        <v>5448.43</v>
      </c>
      <c r="M251" t="s">
        <v>48</v>
      </c>
      <c r="N251" t="s">
        <v>71</v>
      </c>
      <c r="O251" t="s">
        <v>65</v>
      </c>
      <c r="P251" t="s">
        <v>59</v>
      </c>
      <c r="Q251" t="str">
        <f t="shared" si="21"/>
        <v>Completed</v>
      </c>
      <c r="R251" t="str">
        <f t="shared" si="22"/>
        <v>Marketplace</v>
      </c>
      <c r="S251" t="str">
        <v>Upi</v>
      </c>
      <c r="T251" t="str">
        <v>Electronics</v>
      </c>
      <c r="U251" t="str">
        <f t="shared" si="23"/>
        <v>VALID</v>
      </c>
      <c r="V251" t="str">
        <f t="shared" si="24"/>
        <v>NORMAL</v>
      </c>
      <c r="W251" t="str">
        <f t="shared" si="25"/>
        <v>Valid</v>
      </c>
      <c r="X251">
        <f t="shared" si="27"/>
        <v>5616.94</v>
      </c>
      <c r="Y251">
        <f t="shared" si="26"/>
        <v>5448.4317999999994</v>
      </c>
    </row>
    <row r="252" spans="1:25" x14ac:dyDescent="0.3">
      <c r="A252" t="s">
        <v>503</v>
      </c>
      <c r="B252" s="1">
        <v>45600</v>
      </c>
      <c r="C252" t="s">
        <v>504</v>
      </c>
      <c r="D252" t="s">
        <v>18</v>
      </c>
      <c r="E252" t="s">
        <v>19</v>
      </c>
      <c r="F252" t="s">
        <v>20</v>
      </c>
      <c r="G252" t="s">
        <v>81</v>
      </c>
      <c r="H252" t="s">
        <v>82</v>
      </c>
      <c r="I252">
        <v>2</v>
      </c>
      <c r="J252">
        <v>808.59</v>
      </c>
      <c r="K252">
        <v>0.03</v>
      </c>
      <c r="L252">
        <v>1568.66</v>
      </c>
      <c r="M252" t="s">
        <v>76</v>
      </c>
      <c r="N252" t="s">
        <v>24</v>
      </c>
      <c r="O252" t="s">
        <v>65</v>
      </c>
      <c r="P252" t="s">
        <v>26</v>
      </c>
      <c r="Q252" t="str">
        <f t="shared" si="21"/>
        <v>Completed</v>
      </c>
      <c r="R252" t="str">
        <f t="shared" si="22"/>
        <v>Store</v>
      </c>
      <c r="S252" t="str">
        <v>Debit Card</v>
      </c>
      <c r="T252" t="str">
        <v>Accessories</v>
      </c>
      <c r="U252" t="str">
        <f t="shared" si="23"/>
        <v>VALID</v>
      </c>
      <c r="V252" t="str">
        <f t="shared" si="24"/>
        <v>NORMAL</v>
      </c>
      <c r="W252" t="str">
        <f t="shared" si="25"/>
        <v>Valid</v>
      </c>
      <c r="X252">
        <f t="shared" si="27"/>
        <v>1617.18</v>
      </c>
      <c r="Y252">
        <f t="shared" si="26"/>
        <v>1568.6646000000001</v>
      </c>
    </row>
    <row r="253" spans="1:25" x14ac:dyDescent="0.3">
      <c r="A253" t="s">
        <v>505</v>
      </c>
      <c r="B253" s="1">
        <v>46077</v>
      </c>
      <c r="C253" t="s">
        <v>468</v>
      </c>
      <c r="D253" t="s">
        <v>53</v>
      </c>
      <c r="E253" t="s">
        <v>54</v>
      </c>
      <c r="F253" t="s">
        <v>55</v>
      </c>
      <c r="G253" t="s">
        <v>21</v>
      </c>
      <c r="H253" t="s">
        <v>93</v>
      </c>
      <c r="I253">
        <v>4</v>
      </c>
      <c r="J253">
        <v>237</v>
      </c>
      <c r="K253">
        <v>0.1</v>
      </c>
      <c r="L253">
        <v>853.2</v>
      </c>
      <c r="M253" t="s">
        <v>76</v>
      </c>
      <c r="N253" t="s">
        <v>24</v>
      </c>
      <c r="O253" t="s">
        <v>65</v>
      </c>
      <c r="P253" t="s">
        <v>102</v>
      </c>
      <c r="Q253" t="str">
        <f t="shared" si="21"/>
        <v>Completed</v>
      </c>
      <c r="R253" t="str">
        <f t="shared" si="22"/>
        <v>Store</v>
      </c>
      <c r="S253" t="str">
        <v>Debit Card</v>
      </c>
      <c r="T253" t="str">
        <v>Stationery</v>
      </c>
      <c r="U253" t="str">
        <f t="shared" si="23"/>
        <v>VALID</v>
      </c>
      <c r="V253" t="str">
        <f t="shared" si="24"/>
        <v>NORMAL</v>
      </c>
      <c r="W253" t="str">
        <f t="shared" si="25"/>
        <v>Valid</v>
      </c>
      <c r="X253">
        <f t="shared" si="27"/>
        <v>948</v>
      </c>
      <c r="Y253">
        <f t="shared" si="26"/>
        <v>853.2</v>
      </c>
    </row>
    <row r="254" spans="1:25" x14ac:dyDescent="0.3">
      <c r="A254" t="s">
        <v>506</v>
      </c>
      <c r="B254" s="1">
        <v>45357</v>
      </c>
      <c r="C254" t="s">
        <v>245</v>
      </c>
      <c r="D254" t="s">
        <v>79</v>
      </c>
      <c r="E254" t="s">
        <v>80</v>
      </c>
      <c r="F254" t="s">
        <v>31</v>
      </c>
      <c r="G254" t="s">
        <v>32</v>
      </c>
      <c r="H254" t="s">
        <v>33</v>
      </c>
      <c r="I254">
        <v>4</v>
      </c>
      <c r="J254">
        <v>11695.58</v>
      </c>
      <c r="K254">
        <v>0</v>
      </c>
      <c r="L254">
        <v>46782.32</v>
      </c>
      <c r="M254" t="s">
        <v>76</v>
      </c>
      <c r="N254" t="s">
        <v>71</v>
      </c>
      <c r="O254" t="s">
        <v>65</v>
      </c>
      <c r="P254" t="s">
        <v>50</v>
      </c>
      <c r="Q254" t="str">
        <f t="shared" si="21"/>
        <v>Completed</v>
      </c>
      <c r="R254" t="str">
        <f t="shared" si="22"/>
        <v>Store</v>
      </c>
      <c r="S254" t="str">
        <v>Upi</v>
      </c>
      <c r="T254" t="str">
        <v>Electronics</v>
      </c>
      <c r="U254" t="str">
        <f t="shared" si="23"/>
        <v>VALID</v>
      </c>
      <c r="V254" t="str">
        <f t="shared" si="24"/>
        <v>NORMAL</v>
      </c>
      <c r="W254" t="str">
        <f t="shared" si="25"/>
        <v>Valid</v>
      </c>
      <c r="X254">
        <f t="shared" si="27"/>
        <v>46782.32</v>
      </c>
      <c r="Y254">
        <f t="shared" si="26"/>
        <v>46782.32</v>
      </c>
    </row>
    <row r="255" spans="1:25" x14ac:dyDescent="0.3">
      <c r="A255" t="s">
        <v>507</v>
      </c>
      <c r="B255" s="1">
        <v>45461</v>
      </c>
      <c r="C255" t="s">
        <v>508</v>
      </c>
      <c r="D255" t="s">
        <v>121</v>
      </c>
      <c r="E255" t="s">
        <v>122</v>
      </c>
      <c r="F255" t="s">
        <v>55</v>
      </c>
      <c r="G255" t="s">
        <v>260</v>
      </c>
      <c r="H255" t="s">
        <v>57</v>
      </c>
      <c r="I255">
        <v>2</v>
      </c>
      <c r="J255">
        <v>471.32</v>
      </c>
      <c r="K255">
        <v>0.05</v>
      </c>
      <c r="L255">
        <v>895.51</v>
      </c>
      <c r="M255" t="s">
        <v>76</v>
      </c>
      <c r="N255" t="s">
        <v>34</v>
      </c>
      <c r="O255" t="s">
        <v>65</v>
      </c>
      <c r="P255" t="s">
        <v>42</v>
      </c>
      <c r="Q255" t="str">
        <f t="shared" si="21"/>
        <v>Completed</v>
      </c>
      <c r="R255" t="str">
        <f t="shared" si="22"/>
        <v>Store</v>
      </c>
      <c r="S255" t="str">
        <v>Cash On Delivery</v>
      </c>
      <c r="T255" t="str">
        <v>Stationery</v>
      </c>
      <c r="U255" t="str">
        <f t="shared" si="23"/>
        <v>VALID</v>
      </c>
      <c r="V255" t="str">
        <f t="shared" si="24"/>
        <v>NORMAL</v>
      </c>
      <c r="W255" t="str">
        <f t="shared" si="25"/>
        <v>Valid</v>
      </c>
      <c r="X255">
        <f t="shared" si="27"/>
        <v>942.64</v>
      </c>
      <c r="Y255">
        <f t="shared" si="26"/>
        <v>895.50800000000004</v>
      </c>
    </row>
    <row r="256" spans="1:25" x14ac:dyDescent="0.3">
      <c r="A256" t="s">
        <v>509</v>
      </c>
      <c r="B256" s="1">
        <v>45840</v>
      </c>
      <c r="C256" t="s">
        <v>188</v>
      </c>
      <c r="D256" t="s">
        <v>131</v>
      </c>
      <c r="E256" t="s">
        <v>132</v>
      </c>
      <c r="F256" t="s">
        <v>40</v>
      </c>
      <c r="G256" t="s">
        <v>81</v>
      </c>
      <c r="H256" t="s">
        <v>82</v>
      </c>
      <c r="I256">
        <v>2</v>
      </c>
      <c r="J256">
        <v>10174.57</v>
      </c>
      <c r="K256">
        <v>0.03</v>
      </c>
      <c r="L256">
        <v>19738.669999999998</v>
      </c>
      <c r="M256" t="s">
        <v>76</v>
      </c>
      <c r="N256" t="s">
        <v>34</v>
      </c>
      <c r="O256" t="s">
        <v>65</v>
      </c>
      <c r="P256" t="s">
        <v>59</v>
      </c>
      <c r="Q256" t="str">
        <f t="shared" si="21"/>
        <v>Completed</v>
      </c>
      <c r="R256" t="str">
        <f t="shared" si="22"/>
        <v>Store</v>
      </c>
      <c r="S256" t="str">
        <v>Cash On Delivery</v>
      </c>
      <c r="T256" t="str">
        <v>Furniture</v>
      </c>
      <c r="U256" t="str">
        <f t="shared" si="23"/>
        <v>VALID</v>
      </c>
      <c r="V256" t="str">
        <f t="shared" si="24"/>
        <v>NORMAL</v>
      </c>
      <c r="W256" t="str">
        <f t="shared" si="25"/>
        <v>Valid</v>
      </c>
      <c r="X256">
        <f t="shared" si="27"/>
        <v>20349.14</v>
      </c>
      <c r="Y256">
        <f t="shared" si="26"/>
        <v>19738.665799999999</v>
      </c>
    </row>
    <row r="257" spans="1:25" x14ac:dyDescent="0.3">
      <c r="A257" t="s">
        <v>510</v>
      </c>
      <c r="B257" s="1">
        <v>46064</v>
      </c>
      <c r="C257" t="s">
        <v>511</v>
      </c>
      <c r="D257" t="s">
        <v>176</v>
      </c>
      <c r="E257" t="s">
        <v>177</v>
      </c>
      <c r="F257" t="s">
        <v>31</v>
      </c>
      <c r="G257" t="s">
        <v>56</v>
      </c>
      <c r="H257" t="s">
        <v>101</v>
      </c>
      <c r="I257">
        <v>2</v>
      </c>
      <c r="J257">
        <v>2081</v>
      </c>
      <c r="K257">
        <v>0</v>
      </c>
      <c r="L257">
        <v>4162</v>
      </c>
      <c r="M257" t="s">
        <v>76</v>
      </c>
      <c r="N257" t="s">
        <v>49</v>
      </c>
      <c r="O257" t="s">
        <v>65</v>
      </c>
      <c r="P257" t="s">
        <v>50</v>
      </c>
      <c r="Q257" t="str">
        <f t="shared" si="21"/>
        <v>Completed</v>
      </c>
      <c r="R257" t="str">
        <f t="shared" si="22"/>
        <v>Store</v>
      </c>
      <c r="S257" t="str">
        <v>Net Banking</v>
      </c>
      <c r="T257" t="str">
        <v>Electronics</v>
      </c>
      <c r="U257" t="str">
        <f t="shared" si="23"/>
        <v>VALID</v>
      </c>
      <c r="V257" t="str">
        <f t="shared" si="24"/>
        <v>NORMAL</v>
      </c>
      <c r="W257" t="str">
        <f t="shared" si="25"/>
        <v>Valid</v>
      </c>
      <c r="X257">
        <f t="shared" si="27"/>
        <v>4162</v>
      </c>
      <c r="Y257">
        <f t="shared" si="26"/>
        <v>4162</v>
      </c>
    </row>
    <row r="258" spans="1:25" x14ac:dyDescent="0.3">
      <c r="A258" t="s">
        <v>512</v>
      </c>
      <c r="B258" s="1">
        <v>45650</v>
      </c>
      <c r="C258" t="s">
        <v>200</v>
      </c>
      <c r="D258" t="s">
        <v>62</v>
      </c>
      <c r="E258" t="s">
        <v>63</v>
      </c>
      <c r="F258" t="s">
        <v>31</v>
      </c>
      <c r="G258" t="s">
        <v>21</v>
      </c>
      <c r="H258" t="s">
        <v>126</v>
      </c>
      <c r="I258">
        <v>5</v>
      </c>
      <c r="J258">
        <v>2677.99</v>
      </c>
      <c r="K258">
        <v>0.03</v>
      </c>
      <c r="L258">
        <v>12988.25</v>
      </c>
      <c r="M258" t="s">
        <v>23</v>
      </c>
      <c r="N258" t="s">
        <v>34</v>
      </c>
      <c r="O258" t="s">
        <v>25</v>
      </c>
      <c r="P258" t="s">
        <v>116</v>
      </c>
      <c r="Q258" t="str">
        <f t="shared" si="21"/>
        <v>Returned</v>
      </c>
      <c r="R258" t="str">
        <f t="shared" si="22"/>
        <v>Online</v>
      </c>
      <c r="S258" t="str">
        <v>Cash On Delivery</v>
      </c>
      <c r="T258" t="str">
        <v>Electronics</v>
      </c>
      <c r="U258" t="str">
        <f t="shared" si="23"/>
        <v>VALID</v>
      </c>
      <c r="V258" t="str">
        <f t="shared" si="24"/>
        <v>NORMAL</v>
      </c>
      <c r="W258" t="str">
        <f t="shared" si="25"/>
        <v>Valid</v>
      </c>
      <c r="X258">
        <f t="shared" si="27"/>
        <v>13389.949999999999</v>
      </c>
      <c r="Y258">
        <f t="shared" si="26"/>
        <v>12988.251499999998</v>
      </c>
    </row>
    <row r="259" spans="1:25" x14ac:dyDescent="0.3">
      <c r="A259" t="s">
        <v>513</v>
      </c>
      <c r="B259" s="1">
        <v>45570</v>
      </c>
      <c r="C259" t="s">
        <v>514</v>
      </c>
      <c r="D259" t="s">
        <v>96</v>
      </c>
      <c r="E259" t="s">
        <v>97</v>
      </c>
      <c r="F259" t="s">
        <v>31</v>
      </c>
      <c r="G259" t="s">
        <v>21</v>
      </c>
      <c r="H259" t="s">
        <v>41</v>
      </c>
      <c r="I259">
        <v>3</v>
      </c>
      <c r="J259">
        <v>1128.6300000000001</v>
      </c>
      <c r="K259">
        <v>0.15</v>
      </c>
      <c r="L259">
        <v>2878.01</v>
      </c>
      <c r="M259" t="s">
        <v>23</v>
      </c>
      <c r="N259" t="s">
        <v>34</v>
      </c>
      <c r="O259" t="s">
        <v>65</v>
      </c>
      <c r="P259" t="s">
        <v>26</v>
      </c>
      <c r="Q259" t="str">
        <f t="shared" ref="Q259:Q322" si="28">PROPER(O259)</f>
        <v>Completed</v>
      </c>
      <c r="R259" t="str">
        <f t="shared" ref="R259:R322" si="29">PROPER(M259)</f>
        <v>Online</v>
      </c>
      <c r="S259" t="str">
        <v>Cash On Delivery</v>
      </c>
      <c r="T259" t="str">
        <v>Electronics</v>
      </c>
      <c r="U259" t="str">
        <f t="shared" ref="U259:U322" si="30">IF(I259&lt;=0,"INVALID","VALID")</f>
        <v>VALID</v>
      </c>
      <c r="V259" t="str">
        <f t="shared" ref="V259:V322" si="31">IF(I259&gt;100,"REVIEW","NORMAL")</f>
        <v>NORMAL</v>
      </c>
      <c r="W259" t="str">
        <f t="shared" ref="W259:W322" si="32">IF(OR(K259&lt;0,K259&gt;1),"Invalid","Valid")</f>
        <v>Valid</v>
      </c>
      <c r="X259">
        <f t="shared" si="27"/>
        <v>3385.8900000000003</v>
      </c>
      <c r="Y259">
        <f t="shared" ref="Y259:Y322" si="33">I259*J259-(I259*J259*K259)</f>
        <v>2878.0065000000004</v>
      </c>
    </row>
    <row r="260" spans="1:25" x14ac:dyDescent="0.3">
      <c r="A260" t="s">
        <v>515</v>
      </c>
      <c r="B260" s="1">
        <v>46181</v>
      </c>
      <c r="C260" t="s">
        <v>516</v>
      </c>
      <c r="D260" t="s">
        <v>121</v>
      </c>
      <c r="E260" t="s">
        <v>122</v>
      </c>
      <c r="F260" t="s">
        <v>55</v>
      </c>
      <c r="G260" t="s">
        <v>81</v>
      </c>
      <c r="H260" t="s">
        <v>98</v>
      </c>
      <c r="I260">
        <v>5</v>
      </c>
      <c r="J260">
        <v>467.62</v>
      </c>
      <c r="K260">
        <v>0.03</v>
      </c>
      <c r="L260">
        <v>2267.96</v>
      </c>
      <c r="M260" t="s">
        <v>48</v>
      </c>
      <c r="N260" t="s">
        <v>71</v>
      </c>
      <c r="O260" t="s">
        <v>35</v>
      </c>
      <c r="P260" t="s">
        <v>116</v>
      </c>
      <c r="Q260" t="str">
        <f t="shared" si="28"/>
        <v>Cancelled</v>
      </c>
      <c r="R260" t="str">
        <f t="shared" si="29"/>
        <v>Marketplace</v>
      </c>
      <c r="S260" t="str">
        <v>Upi</v>
      </c>
      <c r="T260" t="str">
        <v>Stationery</v>
      </c>
      <c r="U260" t="str">
        <f t="shared" si="30"/>
        <v>VALID</v>
      </c>
      <c r="V260" t="str">
        <f t="shared" si="31"/>
        <v>NORMAL</v>
      </c>
      <c r="W260" t="str">
        <f t="shared" si="32"/>
        <v>Valid</v>
      </c>
      <c r="X260">
        <f t="shared" ref="X260:X323" si="34">I260*J260</f>
        <v>2338.1</v>
      </c>
      <c r="Y260">
        <f t="shared" si="33"/>
        <v>2267.9569999999999</v>
      </c>
    </row>
    <row r="261" spans="1:25" x14ac:dyDescent="0.3">
      <c r="A261" t="s">
        <v>517</v>
      </c>
      <c r="B261" s="1">
        <v>45554</v>
      </c>
      <c r="C261" t="s">
        <v>275</v>
      </c>
      <c r="D261" t="s">
        <v>121</v>
      </c>
      <c r="E261" t="s">
        <v>122</v>
      </c>
      <c r="F261" t="s">
        <v>55</v>
      </c>
      <c r="G261" t="s">
        <v>81</v>
      </c>
      <c r="H261" t="s">
        <v>82</v>
      </c>
      <c r="I261">
        <v>5</v>
      </c>
      <c r="J261">
        <v>450.21</v>
      </c>
      <c r="K261">
        <v>0.03</v>
      </c>
      <c r="L261">
        <v>2183.52</v>
      </c>
      <c r="M261" t="s">
        <v>76</v>
      </c>
      <c r="N261" t="s">
        <v>24</v>
      </c>
      <c r="O261" t="s">
        <v>25</v>
      </c>
      <c r="P261" t="s">
        <v>59</v>
      </c>
      <c r="Q261" t="str">
        <f t="shared" si="28"/>
        <v>Returned</v>
      </c>
      <c r="R261" t="str">
        <f t="shared" si="29"/>
        <v>Store</v>
      </c>
      <c r="S261" t="str">
        <v>Debit Card</v>
      </c>
      <c r="T261" t="str">
        <v>Stationery</v>
      </c>
      <c r="U261" t="str">
        <f t="shared" si="30"/>
        <v>VALID</v>
      </c>
      <c r="V261" t="str">
        <f t="shared" si="31"/>
        <v>NORMAL</v>
      </c>
      <c r="W261" t="str">
        <f t="shared" si="32"/>
        <v>Valid</v>
      </c>
      <c r="X261">
        <f t="shared" si="34"/>
        <v>2251.0499999999997</v>
      </c>
      <c r="Y261">
        <f t="shared" si="33"/>
        <v>2183.5184999999997</v>
      </c>
    </row>
    <row r="262" spans="1:25" x14ac:dyDescent="0.3">
      <c r="A262" t="s">
        <v>518</v>
      </c>
      <c r="B262" s="1">
        <v>46050</v>
      </c>
      <c r="C262" t="s">
        <v>355</v>
      </c>
      <c r="D262" t="s">
        <v>18</v>
      </c>
      <c r="E262" t="s">
        <v>19</v>
      </c>
      <c r="F262" t="s">
        <v>20</v>
      </c>
      <c r="G262" t="s">
        <v>32</v>
      </c>
      <c r="H262" t="s">
        <v>33</v>
      </c>
      <c r="I262">
        <v>5</v>
      </c>
      <c r="J262">
        <v>882.17</v>
      </c>
      <c r="K262">
        <v>0.15</v>
      </c>
      <c r="L262">
        <v>3749.22</v>
      </c>
      <c r="M262" t="s">
        <v>48</v>
      </c>
      <c r="N262" t="s">
        <v>58</v>
      </c>
      <c r="O262" t="s">
        <v>65</v>
      </c>
      <c r="P262" t="s">
        <v>111</v>
      </c>
      <c r="Q262" t="str">
        <f t="shared" si="28"/>
        <v>Completed</v>
      </c>
      <c r="R262" t="str">
        <f t="shared" si="29"/>
        <v>Marketplace</v>
      </c>
      <c r="S262" t="str">
        <v>Credit Card</v>
      </c>
      <c r="T262" t="str">
        <v>Accessories</v>
      </c>
      <c r="U262" t="str">
        <f t="shared" si="30"/>
        <v>VALID</v>
      </c>
      <c r="V262" t="str">
        <f t="shared" si="31"/>
        <v>NORMAL</v>
      </c>
      <c r="W262" t="str">
        <f t="shared" si="32"/>
        <v>Valid</v>
      </c>
      <c r="X262">
        <f t="shared" si="34"/>
        <v>4410.8499999999995</v>
      </c>
      <c r="Y262">
        <f t="shared" si="33"/>
        <v>3749.2224999999994</v>
      </c>
    </row>
    <row r="263" spans="1:25" x14ac:dyDescent="0.3">
      <c r="A263" t="s">
        <v>519</v>
      </c>
      <c r="B263" s="1">
        <v>45463</v>
      </c>
      <c r="C263" t="s">
        <v>520</v>
      </c>
      <c r="D263" t="s">
        <v>105</v>
      </c>
      <c r="E263" t="s">
        <v>106</v>
      </c>
      <c r="F263" t="s">
        <v>40</v>
      </c>
      <c r="G263" t="s">
        <v>32</v>
      </c>
      <c r="H263" t="s">
        <v>47</v>
      </c>
      <c r="I263">
        <v>3</v>
      </c>
      <c r="J263">
        <v>7455.56</v>
      </c>
      <c r="K263">
        <v>0.2</v>
      </c>
      <c r="L263">
        <v>17893.34</v>
      </c>
      <c r="M263" t="s">
        <v>23</v>
      </c>
      <c r="N263" t="s">
        <v>34</v>
      </c>
      <c r="O263" t="s">
        <v>65</v>
      </c>
      <c r="P263" t="s">
        <v>42</v>
      </c>
      <c r="Q263" t="str">
        <f t="shared" si="28"/>
        <v>Completed</v>
      </c>
      <c r="R263" t="str">
        <f t="shared" si="29"/>
        <v>Online</v>
      </c>
      <c r="S263" t="str">
        <v>Cash On Delivery</v>
      </c>
      <c r="T263" t="str">
        <v>Furniture</v>
      </c>
      <c r="U263" t="str">
        <f t="shared" si="30"/>
        <v>VALID</v>
      </c>
      <c r="V263" t="str">
        <f t="shared" si="31"/>
        <v>NORMAL</v>
      </c>
      <c r="W263" t="str">
        <f t="shared" si="32"/>
        <v>Valid</v>
      </c>
      <c r="X263">
        <f t="shared" si="34"/>
        <v>22366.68</v>
      </c>
      <c r="Y263">
        <f t="shared" si="33"/>
        <v>17893.344000000001</v>
      </c>
    </row>
    <row r="264" spans="1:25" x14ac:dyDescent="0.3">
      <c r="A264" t="s">
        <v>521</v>
      </c>
      <c r="B264" s="1">
        <v>45616</v>
      </c>
      <c r="C264" t="s">
        <v>499</v>
      </c>
      <c r="D264" t="s">
        <v>176</v>
      </c>
      <c r="E264" t="s">
        <v>177</v>
      </c>
      <c r="F264" t="s">
        <v>31</v>
      </c>
      <c r="G264" t="s">
        <v>21</v>
      </c>
      <c r="H264" t="s">
        <v>126</v>
      </c>
      <c r="I264">
        <v>3</v>
      </c>
      <c r="J264">
        <v>2057.02</v>
      </c>
      <c r="K264">
        <v>0</v>
      </c>
      <c r="L264">
        <v>6171.06</v>
      </c>
      <c r="M264" t="s">
        <v>76</v>
      </c>
      <c r="N264" t="s">
        <v>49</v>
      </c>
      <c r="O264" t="s">
        <v>25</v>
      </c>
      <c r="P264" t="s">
        <v>72</v>
      </c>
      <c r="Q264" t="str">
        <f t="shared" si="28"/>
        <v>Returned</v>
      </c>
      <c r="R264" t="str">
        <f t="shared" si="29"/>
        <v>Store</v>
      </c>
      <c r="S264" t="str">
        <v>Net Banking</v>
      </c>
      <c r="T264" t="str">
        <v>Electronics</v>
      </c>
      <c r="U264" t="str">
        <f t="shared" si="30"/>
        <v>VALID</v>
      </c>
      <c r="V264" t="str">
        <f t="shared" si="31"/>
        <v>NORMAL</v>
      </c>
      <c r="W264" t="str">
        <f t="shared" si="32"/>
        <v>Valid</v>
      </c>
      <c r="X264">
        <f t="shared" si="34"/>
        <v>6171.0599999999995</v>
      </c>
      <c r="Y264">
        <f t="shared" si="33"/>
        <v>6171.0599999999995</v>
      </c>
    </row>
    <row r="265" spans="1:25" x14ac:dyDescent="0.3">
      <c r="A265" t="s">
        <v>522</v>
      </c>
      <c r="B265" s="1">
        <v>45551</v>
      </c>
      <c r="C265" t="s">
        <v>262</v>
      </c>
      <c r="D265" t="s">
        <v>53</v>
      </c>
      <c r="E265" t="s">
        <v>54</v>
      </c>
      <c r="F265" t="s">
        <v>55</v>
      </c>
      <c r="G265" t="s">
        <v>32</v>
      </c>
      <c r="H265" t="s">
        <v>47</v>
      </c>
      <c r="I265">
        <v>4</v>
      </c>
      <c r="J265">
        <v>236.9</v>
      </c>
      <c r="K265">
        <v>0.05</v>
      </c>
      <c r="L265">
        <v>900.22</v>
      </c>
      <c r="M265" t="s">
        <v>48</v>
      </c>
      <c r="N265" t="s">
        <v>58</v>
      </c>
      <c r="O265" t="s">
        <v>65</v>
      </c>
      <c r="P265" t="s">
        <v>111</v>
      </c>
      <c r="Q265" t="str">
        <f t="shared" si="28"/>
        <v>Completed</v>
      </c>
      <c r="R265" t="str">
        <f t="shared" si="29"/>
        <v>Marketplace</v>
      </c>
      <c r="S265" t="str">
        <v>Credit Card</v>
      </c>
      <c r="T265" t="str">
        <v>Stationery</v>
      </c>
      <c r="U265" t="str">
        <f t="shared" si="30"/>
        <v>VALID</v>
      </c>
      <c r="V265" t="str">
        <f t="shared" si="31"/>
        <v>NORMAL</v>
      </c>
      <c r="W265" t="str">
        <f t="shared" si="32"/>
        <v>Valid</v>
      </c>
      <c r="X265">
        <f t="shared" si="34"/>
        <v>947.6</v>
      </c>
      <c r="Y265">
        <f t="shared" si="33"/>
        <v>900.22</v>
      </c>
    </row>
    <row r="266" spans="1:25" x14ac:dyDescent="0.3">
      <c r="A266" t="s">
        <v>523</v>
      </c>
      <c r="B266" s="1">
        <v>45481</v>
      </c>
      <c r="C266" t="s">
        <v>115</v>
      </c>
      <c r="D266" t="s">
        <v>105</v>
      </c>
      <c r="E266" t="s">
        <v>106</v>
      </c>
      <c r="F266" t="s">
        <v>40</v>
      </c>
      <c r="G266" t="s">
        <v>81</v>
      </c>
      <c r="H266" t="s">
        <v>135</v>
      </c>
      <c r="I266">
        <v>4</v>
      </c>
      <c r="J266">
        <v>7579.69</v>
      </c>
      <c r="K266">
        <v>0.05</v>
      </c>
      <c r="L266">
        <v>28802.82</v>
      </c>
      <c r="M266" t="s">
        <v>23</v>
      </c>
      <c r="N266" t="s">
        <v>24</v>
      </c>
      <c r="O266" t="s">
        <v>65</v>
      </c>
      <c r="P266" t="s">
        <v>102</v>
      </c>
      <c r="Q266" t="str">
        <f t="shared" si="28"/>
        <v>Completed</v>
      </c>
      <c r="R266" t="str">
        <f t="shared" si="29"/>
        <v>Online</v>
      </c>
      <c r="S266" t="str">
        <v>Debit Card</v>
      </c>
      <c r="T266" t="str">
        <v>Furniture</v>
      </c>
      <c r="U266" t="str">
        <f t="shared" si="30"/>
        <v>VALID</v>
      </c>
      <c r="V266" t="str">
        <f t="shared" si="31"/>
        <v>NORMAL</v>
      </c>
      <c r="W266" t="str">
        <f t="shared" si="32"/>
        <v>Valid</v>
      </c>
      <c r="X266">
        <f t="shared" si="34"/>
        <v>30318.76</v>
      </c>
      <c r="Y266">
        <f t="shared" si="33"/>
        <v>28802.822</v>
      </c>
    </row>
    <row r="267" spans="1:25" x14ac:dyDescent="0.3">
      <c r="A267" t="s">
        <v>524</v>
      </c>
      <c r="B267" s="1">
        <v>45941</v>
      </c>
      <c r="C267" t="s">
        <v>357</v>
      </c>
      <c r="D267" t="s">
        <v>131</v>
      </c>
      <c r="E267" t="s">
        <v>132</v>
      </c>
      <c r="F267" t="s">
        <v>40</v>
      </c>
      <c r="G267" t="s">
        <v>21</v>
      </c>
      <c r="H267" t="s">
        <v>93</v>
      </c>
      <c r="I267">
        <v>4</v>
      </c>
      <c r="J267">
        <v>8823.92</v>
      </c>
      <c r="K267">
        <v>0.08</v>
      </c>
      <c r="L267">
        <v>32472.03</v>
      </c>
      <c r="M267" t="s">
        <v>48</v>
      </c>
      <c r="N267" t="s">
        <v>34</v>
      </c>
      <c r="O267" t="s">
        <v>35</v>
      </c>
      <c r="P267" t="s">
        <v>72</v>
      </c>
      <c r="Q267" t="str">
        <f t="shared" si="28"/>
        <v>Cancelled</v>
      </c>
      <c r="R267" t="str">
        <f t="shared" si="29"/>
        <v>Marketplace</v>
      </c>
      <c r="S267" t="str">
        <v>Cash On Delivery</v>
      </c>
      <c r="T267" t="str">
        <v>Furniture</v>
      </c>
      <c r="U267" t="str">
        <f t="shared" si="30"/>
        <v>VALID</v>
      </c>
      <c r="V267" t="str">
        <f t="shared" si="31"/>
        <v>NORMAL</v>
      </c>
      <c r="W267" t="str">
        <f t="shared" si="32"/>
        <v>Valid</v>
      </c>
      <c r="X267">
        <f t="shared" si="34"/>
        <v>35295.68</v>
      </c>
      <c r="Y267">
        <f t="shared" si="33"/>
        <v>32472.025600000001</v>
      </c>
    </row>
    <row r="268" spans="1:25" x14ac:dyDescent="0.3">
      <c r="A268" t="s">
        <v>525</v>
      </c>
      <c r="B268" s="1">
        <v>46059</v>
      </c>
      <c r="C268" t="s">
        <v>526</v>
      </c>
      <c r="D268" t="s">
        <v>105</v>
      </c>
      <c r="E268" t="s">
        <v>106</v>
      </c>
      <c r="F268" t="s">
        <v>40</v>
      </c>
      <c r="G268" t="s">
        <v>56</v>
      </c>
      <c r="H268" t="s">
        <v>101</v>
      </c>
      <c r="I268">
        <v>5</v>
      </c>
      <c r="J268">
        <v>7487.66</v>
      </c>
      <c r="K268">
        <v>0.2</v>
      </c>
      <c r="L268">
        <v>29950.639999999999</v>
      </c>
      <c r="M268" t="s">
        <v>23</v>
      </c>
      <c r="N268" t="s">
        <v>24</v>
      </c>
      <c r="O268" t="s">
        <v>25</v>
      </c>
      <c r="P268" t="s">
        <v>50</v>
      </c>
      <c r="Q268" t="str">
        <f t="shared" si="28"/>
        <v>Returned</v>
      </c>
      <c r="R268" t="str">
        <f t="shared" si="29"/>
        <v>Online</v>
      </c>
      <c r="S268" t="str">
        <v>Debit Card</v>
      </c>
      <c r="T268" t="str">
        <v>Furniture</v>
      </c>
      <c r="U268" t="str">
        <f t="shared" si="30"/>
        <v>VALID</v>
      </c>
      <c r="V268" t="str">
        <f t="shared" si="31"/>
        <v>NORMAL</v>
      </c>
      <c r="W268" t="str">
        <f t="shared" si="32"/>
        <v>Valid</v>
      </c>
      <c r="X268">
        <f t="shared" si="34"/>
        <v>37438.300000000003</v>
      </c>
      <c r="Y268">
        <f t="shared" si="33"/>
        <v>29950.640000000003</v>
      </c>
    </row>
    <row r="269" spans="1:25" x14ac:dyDescent="0.3">
      <c r="A269" t="s">
        <v>527</v>
      </c>
      <c r="B269" s="1">
        <v>45972</v>
      </c>
      <c r="C269" t="s">
        <v>528</v>
      </c>
      <c r="D269" t="s">
        <v>18</v>
      </c>
      <c r="E269" t="s">
        <v>19</v>
      </c>
      <c r="F269" t="s">
        <v>20</v>
      </c>
      <c r="G269" t="s">
        <v>32</v>
      </c>
      <c r="H269" t="s">
        <v>47</v>
      </c>
      <c r="I269">
        <v>2</v>
      </c>
      <c r="J269">
        <v>854.26</v>
      </c>
      <c r="K269">
        <v>0.03</v>
      </c>
      <c r="L269">
        <v>1657.26</v>
      </c>
      <c r="M269" t="s">
        <v>48</v>
      </c>
      <c r="N269" t="s">
        <v>58</v>
      </c>
      <c r="O269" t="s">
        <v>35</v>
      </c>
      <c r="P269" t="s">
        <v>50</v>
      </c>
      <c r="Q269" t="str">
        <f t="shared" si="28"/>
        <v>Cancelled</v>
      </c>
      <c r="R269" t="str">
        <f t="shared" si="29"/>
        <v>Marketplace</v>
      </c>
      <c r="S269" t="str">
        <v>Credit Card</v>
      </c>
      <c r="T269" t="str">
        <v>Accessories</v>
      </c>
      <c r="U269" t="str">
        <f t="shared" si="30"/>
        <v>VALID</v>
      </c>
      <c r="V269" t="str">
        <f t="shared" si="31"/>
        <v>NORMAL</v>
      </c>
      <c r="W269" t="str">
        <f t="shared" si="32"/>
        <v>Valid</v>
      </c>
      <c r="X269">
        <f t="shared" si="34"/>
        <v>1708.52</v>
      </c>
      <c r="Y269">
        <f t="shared" si="33"/>
        <v>1657.2644</v>
      </c>
    </row>
    <row r="270" spans="1:25" x14ac:dyDescent="0.3">
      <c r="A270" t="s">
        <v>529</v>
      </c>
      <c r="B270" s="1">
        <v>45663</v>
      </c>
      <c r="C270" t="s">
        <v>164</v>
      </c>
      <c r="D270" t="s">
        <v>170</v>
      </c>
      <c r="E270" t="s">
        <v>171</v>
      </c>
      <c r="F270" t="s">
        <v>31</v>
      </c>
      <c r="G270" t="s">
        <v>56</v>
      </c>
      <c r="H270" t="s">
        <v>123</v>
      </c>
      <c r="I270">
        <v>5</v>
      </c>
      <c r="J270">
        <v>66409.83</v>
      </c>
      <c r="K270">
        <v>0.08</v>
      </c>
      <c r="L270">
        <v>305485.21999999997</v>
      </c>
      <c r="M270" t="s">
        <v>48</v>
      </c>
      <c r="N270" t="s">
        <v>34</v>
      </c>
      <c r="O270" t="s">
        <v>65</v>
      </c>
      <c r="P270" t="s">
        <v>72</v>
      </c>
      <c r="Q270" t="str">
        <f t="shared" si="28"/>
        <v>Completed</v>
      </c>
      <c r="R270" t="str">
        <f t="shared" si="29"/>
        <v>Marketplace</v>
      </c>
      <c r="S270" t="str">
        <v>Cash On Delivery</v>
      </c>
      <c r="T270" t="str">
        <v>Electronics</v>
      </c>
      <c r="U270" t="str">
        <f t="shared" si="30"/>
        <v>VALID</v>
      </c>
      <c r="V270" t="str">
        <f t="shared" si="31"/>
        <v>NORMAL</v>
      </c>
      <c r="W270" t="str">
        <f t="shared" si="32"/>
        <v>Valid</v>
      </c>
      <c r="X270">
        <f t="shared" si="34"/>
        <v>332049.15000000002</v>
      </c>
      <c r="Y270">
        <f t="shared" si="33"/>
        <v>305485.21799999999</v>
      </c>
    </row>
    <row r="271" spans="1:25" x14ac:dyDescent="0.3">
      <c r="A271" t="s">
        <v>530</v>
      </c>
      <c r="B271" s="1">
        <v>45726</v>
      </c>
      <c r="C271" t="s">
        <v>531</v>
      </c>
      <c r="D271" t="s">
        <v>96</v>
      </c>
      <c r="E271" t="s">
        <v>97</v>
      </c>
      <c r="F271" t="s">
        <v>31</v>
      </c>
      <c r="G271" t="s">
        <v>56</v>
      </c>
      <c r="H271" t="s">
        <v>57</v>
      </c>
      <c r="I271">
        <v>1</v>
      </c>
      <c r="J271">
        <v>1142.69</v>
      </c>
      <c r="K271">
        <v>0.1</v>
      </c>
      <c r="L271">
        <v>1028.42</v>
      </c>
      <c r="M271" t="s">
        <v>48</v>
      </c>
      <c r="N271" t="s">
        <v>34</v>
      </c>
      <c r="O271" t="s">
        <v>65</v>
      </c>
      <c r="P271" t="s">
        <v>42</v>
      </c>
      <c r="Q271" t="str">
        <f t="shared" si="28"/>
        <v>Completed</v>
      </c>
      <c r="R271" t="str">
        <f t="shared" si="29"/>
        <v>Marketplace</v>
      </c>
      <c r="S271" t="str">
        <v>Cash On Delivery</v>
      </c>
      <c r="T271" t="str">
        <v>Electronics</v>
      </c>
      <c r="U271" t="str">
        <f t="shared" si="30"/>
        <v>VALID</v>
      </c>
      <c r="V271" t="str">
        <f t="shared" si="31"/>
        <v>NORMAL</v>
      </c>
      <c r="W271" t="str">
        <f t="shared" si="32"/>
        <v>Valid</v>
      </c>
      <c r="X271">
        <f t="shared" si="34"/>
        <v>1142.69</v>
      </c>
      <c r="Y271">
        <f t="shared" si="33"/>
        <v>1028.421</v>
      </c>
    </row>
    <row r="272" spans="1:25" x14ac:dyDescent="0.3">
      <c r="A272" t="s">
        <v>532</v>
      </c>
      <c r="B272" s="1">
        <v>46177</v>
      </c>
      <c r="C272" t="s">
        <v>457</v>
      </c>
      <c r="D272" t="s">
        <v>85</v>
      </c>
      <c r="E272" t="s">
        <v>86</v>
      </c>
      <c r="F272" t="s">
        <v>20</v>
      </c>
      <c r="G272" t="s">
        <v>81</v>
      </c>
      <c r="H272" t="s">
        <v>82</v>
      </c>
      <c r="I272">
        <v>1</v>
      </c>
      <c r="J272">
        <v>1916.03</v>
      </c>
      <c r="K272">
        <v>0.03</v>
      </c>
      <c r="L272">
        <v>1858.55</v>
      </c>
      <c r="M272" t="s">
        <v>48</v>
      </c>
      <c r="N272" t="s">
        <v>34</v>
      </c>
      <c r="O272" t="s">
        <v>65</v>
      </c>
      <c r="P272" t="s">
        <v>111</v>
      </c>
      <c r="Q272" t="str">
        <f t="shared" si="28"/>
        <v>Completed</v>
      </c>
      <c r="R272" t="str">
        <f t="shared" si="29"/>
        <v>Marketplace</v>
      </c>
      <c r="S272" t="str">
        <v>Cash On Delivery</v>
      </c>
      <c r="T272" t="str">
        <v>Accessories</v>
      </c>
      <c r="U272" t="str">
        <f t="shared" si="30"/>
        <v>VALID</v>
      </c>
      <c r="V272" t="str">
        <f t="shared" si="31"/>
        <v>NORMAL</v>
      </c>
      <c r="W272" t="str">
        <f t="shared" si="32"/>
        <v>Valid</v>
      </c>
      <c r="X272">
        <f t="shared" si="34"/>
        <v>1916.03</v>
      </c>
      <c r="Y272">
        <f t="shared" si="33"/>
        <v>1858.5491</v>
      </c>
    </row>
    <row r="273" spans="1:25" x14ac:dyDescent="0.3">
      <c r="A273" t="s">
        <v>533</v>
      </c>
      <c r="B273" s="1">
        <v>45446</v>
      </c>
      <c r="C273" t="s">
        <v>334</v>
      </c>
      <c r="D273" t="s">
        <v>131</v>
      </c>
      <c r="E273" t="s">
        <v>132</v>
      </c>
      <c r="F273" t="s">
        <v>40</v>
      </c>
      <c r="G273" t="s">
        <v>81</v>
      </c>
      <c r="H273" t="s">
        <v>98</v>
      </c>
      <c r="I273">
        <v>1</v>
      </c>
      <c r="J273">
        <v>8922.57</v>
      </c>
      <c r="K273">
        <v>0</v>
      </c>
      <c r="L273">
        <v>8922.57</v>
      </c>
      <c r="M273" t="s">
        <v>23</v>
      </c>
      <c r="N273" t="s">
        <v>34</v>
      </c>
      <c r="O273" t="s">
        <v>65</v>
      </c>
      <c r="P273" t="s">
        <v>72</v>
      </c>
      <c r="Q273" t="str">
        <f t="shared" si="28"/>
        <v>Completed</v>
      </c>
      <c r="R273" t="str">
        <f t="shared" si="29"/>
        <v>Online</v>
      </c>
      <c r="S273" t="str">
        <v>Cash On Delivery</v>
      </c>
      <c r="T273" t="str">
        <v>Furniture</v>
      </c>
      <c r="U273" t="str">
        <f t="shared" si="30"/>
        <v>VALID</v>
      </c>
      <c r="V273" t="str">
        <f t="shared" si="31"/>
        <v>NORMAL</v>
      </c>
      <c r="W273" t="str">
        <f t="shared" si="32"/>
        <v>Valid</v>
      </c>
      <c r="X273">
        <f t="shared" si="34"/>
        <v>8922.57</v>
      </c>
      <c r="Y273">
        <f t="shared" si="33"/>
        <v>8922.57</v>
      </c>
    </row>
    <row r="274" spans="1:25" x14ac:dyDescent="0.3">
      <c r="A274" t="s">
        <v>534</v>
      </c>
      <c r="B274" s="1">
        <v>45319</v>
      </c>
      <c r="C274" t="s">
        <v>535</v>
      </c>
      <c r="D274" t="s">
        <v>96</v>
      </c>
      <c r="E274" t="s">
        <v>97</v>
      </c>
      <c r="F274" t="s">
        <v>31</v>
      </c>
      <c r="G274" t="s">
        <v>21</v>
      </c>
      <c r="H274" t="s">
        <v>22</v>
      </c>
      <c r="I274">
        <v>5</v>
      </c>
      <c r="J274">
        <v>1252.69</v>
      </c>
      <c r="K274">
        <v>0.15</v>
      </c>
      <c r="L274">
        <v>5323.93</v>
      </c>
      <c r="M274" t="s">
        <v>76</v>
      </c>
      <c r="N274" t="s">
        <v>24</v>
      </c>
      <c r="O274" t="s">
        <v>25</v>
      </c>
      <c r="P274" t="s">
        <v>42</v>
      </c>
      <c r="Q274" t="str">
        <f t="shared" si="28"/>
        <v>Returned</v>
      </c>
      <c r="R274" t="str">
        <f t="shared" si="29"/>
        <v>Store</v>
      </c>
      <c r="S274" t="str">
        <v>Debit Card</v>
      </c>
      <c r="T274" t="str">
        <v>Electronics</v>
      </c>
      <c r="U274" t="str">
        <f t="shared" si="30"/>
        <v>VALID</v>
      </c>
      <c r="V274" t="str">
        <f t="shared" si="31"/>
        <v>NORMAL</v>
      </c>
      <c r="W274" t="str">
        <f t="shared" si="32"/>
        <v>Valid</v>
      </c>
      <c r="X274">
        <f t="shared" si="34"/>
        <v>6263.4500000000007</v>
      </c>
      <c r="Y274">
        <f t="shared" si="33"/>
        <v>5323.9325000000008</v>
      </c>
    </row>
    <row r="275" spans="1:25" x14ac:dyDescent="0.3">
      <c r="A275" t="s">
        <v>536</v>
      </c>
      <c r="B275" s="1">
        <v>45874</v>
      </c>
      <c r="C275" t="s">
        <v>74</v>
      </c>
      <c r="D275" t="s">
        <v>121</v>
      </c>
      <c r="E275" t="s">
        <v>122</v>
      </c>
      <c r="F275" t="s">
        <v>55</v>
      </c>
      <c r="G275" t="s">
        <v>21</v>
      </c>
      <c r="H275" t="s">
        <v>93</v>
      </c>
      <c r="I275">
        <v>5</v>
      </c>
      <c r="J275">
        <v>446.21</v>
      </c>
      <c r="K275">
        <v>0.1</v>
      </c>
      <c r="L275">
        <v>2007.94</v>
      </c>
      <c r="M275" t="s">
        <v>23</v>
      </c>
      <c r="N275" t="s">
        <v>24</v>
      </c>
      <c r="O275" t="s">
        <v>65</v>
      </c>
      <c r="P275" t="s">
        <v>50</v>
      </c>
      <c r="Q275" t="str">
        <f t="shared" si="28"/>
        <v>Completed</v>
      </c>
      <c r="R275" t="str">
        <f t="shared" si="29"/>
        <v>Online</v>
      </c>
      <c r="S275" t="str">
        <v>Debit Card</v>
      </c>
      <c r="T275" t="str">
        <v>Stationery</v>
      </c>
      <c r="U275" t="str">
        <f t="shared" si="30"/>
        <v>VALID</v>
      </c>
      <c r="V275" t="str">
        <f t="shared" si="31"/>
        <v>NORMAL</v>
      </c>
      <c r="W275" t="str">
        <f t="shared" si="32"/>
        <v>Valid</v>
      </c>
      <c r="X275">
        <f t="shared" si="34"/>
        <v>2231.0499999999997</v>
      </c>
      <c r="Y275">
        <f t="shared" si="33"/>
        <v>2007.9449999999997</v>
      </c>
    </row>
    <row r="276" spans="1:25" x14ac:dyDescent="0.3">
      <c r="A276" t="s">
        <v>537</v>
      </c>
      <c r="B276" s="1">
        <v>45675</v>
      </c>
      <c r="C276" t="s">
        <v>238</v>
      </c>
      <c r="D276" t="s">
        <v>18</v>
      </c>
      <c r="E276" t="s">
        <v>19</v>
      </c>
      <c r="F276" t="s">
        <v>20</v>
      </c>
      <c r="G276" t="s">
        <v>32</v>
      </c>
      <c r="H276" t="s">
        <v>47</v>
      </c>
      <c r="I276">
        <v>2</v>
      </c>
      <c r="J276">
        <v>815.5</v>
      </c>
      <c r="K276">
        <v>0.05</v>
      </c>
      <c r="L276">
        <v>1549.45</v>
      </c>
      <c r="M276" t="s">
        <v>48</v>
      </c>
      <c r="N276" t="s">
        <v>49</v>
      </c>
      <c r="O276" t="s">
        <v>65</v>
      </c>
      <c r="Q276" t="str">
        <f t="shared" si="28"/>
        <v>Completed</v>
      </c>
      <c r="R276" t="str">
        <f t="shared" si="29"/>
        <v>Marketplace</v>
      </c>
      <c r="S276" t="str">
        <v>Net Banking</v>
      </c>
      <c r="T276" t="str">
        <v>Accessories</v>
      </c>
      <c r="U276" t="str">
        <f t="shared" si="30"/>
        <v>VALID</v>
      </c>
      <c r="V276" t="str">
        <f t="shared" si="31"/>
        <v>NORMAL</v>
      </c>
      <c r="W276" t="str">
        <f t="shared" si="32"/>
        <v>Valid</v>
      </c>
      <c r="X276">
        <f t="shared" si="34"/>
        <v>1631</v>
      </c>
      <c r="Y276">
        <f t="shared" si="33"/>
        <v>1549.45</v>
      </c>
    </row>
    <row r="277" spans="1:25" x14ac:dyDescent="0.3">
      <c r="A277" t="s">
        <v>538</v>
      </c>
      <c r="B277" s="1">
        <v>45917</v>
      </c>
      <c r="C277" t="s">
        <v>539</v>
      </c>
      <c r="D277" t="s">
        <v>176</v>
      </c>
      <c r="E277" t="s">
        <v>177</v>
      </c>
      <c r="F277" t="s">
        <v>31</v>
      </c>
      <c r="G277" t="s">
        <v>32</v>
      </c>
      <c r="H277" t="s">
        <v>33</v>
      </c>
      <c r="I277">
        <v>5</v>
      </c>
      <c r="J277">
        <v>2293.29</v>
      </c>
      <c r="K277">
        <v>0</v>
      </c>
      <c r="L277">
        <v>11466.45</v>
      </c>
      <c r="M277" t="s">
        <v>48</v>
      </c>
      <c r="N277" t="s">
        <v>58</v>
      </c>
      <c r="O277" t="s">
        <v>65</v>
      </c>
      <c r="P277" t="s">
        <v>26</v>
      </c>
      <c r="Q277" t="str">
        <f t="shared" si="28"/>
        <v>Completed</v>
      </c>
      <c r="R277" t="str">
        <f t="shared" si="29"/>
        <v>Marketplace</v>
      </c>
      <c r="S277" t="str">
        <v>Credit Card</v>
      </c>
      <c r="T277" t="str">
        <v>Electronics</v>
      </c>
      <c r="U277" t="str">
        <f t="shared" si="30"/>
        <v>VALID</v>
      </c>
      <c r="V277" t="str">
        <f t="shared" si="31"/>
        <v>NORMAL</v>
      </c>
      <c r="W277" t="str">
        <f t="shared" si="32"/>
        <v>Valid</v>
      </c>
      <c r="X277">
        <f t="shared" si="34"/>
        <v>11466.45</v>
      </c>
      <c r="Y277">
        <f t="shared" si="33"/>
        <v>11466.45</v>
      </c>
    </row>
    <row r="278" spans="1:25" x14ac:dyDescent="0.3">
      <c r="A278" t="s">
        <v>540</v>
      </c>
      <c r="B278" s="1">
        <v>45885</v>
      </c>
      <c r="C278" t="s">
        <v>149</v>
      </c>
      <c r="D278" t="s">
        <v>62</v>
      </c>
      <c r="E278" t="s">
        <v>63</v>
      </c>
      <c r="F278" t="s">
        <v>31</v>
      </c>
      <c r="G278" t="s">
        <v>81</v>
      </c>
      <c r="H278" t="s">
        <v>87</v>
      </c>
      <c r="I278">
        <v>2</v>
      </c>
      <c r="J278">
        <v>2705.85</v>
      </c>
      <c r="K278">
        <v>0.2</v>
      </c>
      <c r="L278">
        <v>4329.3599999999997</v>
      </c>
      <c r="M278" t="s">
        <v>76</v>
      </c>
      <c r="N278" t="s">
        <v>58</v>
      </c>
      <c r="O278" t="s">
        <v>65</v>
      </c>
      <c r="P278" t="s">
        <v>59</v>
      </c>
      <c r="Q278" t="str">
        <f t="shared" si="28"/>
        <v>Completed</v>
      </c>
      <c r="R278" t="str">
        <f t="shared" si="29"/>
        <v>Store</v>
      </c>
      <c r="S278" t="str">
        <v>Credit Card</v>
      </c>
      <c r="T278" t="str">
        <v>Electronics</v>
      </c>
      <c r="U278" t="str">
        <f t="shared" si="30"/>
        <v>VALID</v>
      </c>
      <c r="V278" t="str">
        <f t="shared" si="31"/>
        <v>NORMAL</v>
      </c>
      <c r="W278" t="str">
        <f t="shared" si="32"/>
        <v>Valid</v>
      </c>
      <c r="X278">
        <f t="shared" si="34"/>
        <v>5411.7</v>
      </c>
      <c r="Y278">
        <f t="shared" si="33"/>
        <v>4329.3599999999997</v>
      </c>
    </row>
    <row r="279" spans="1:25" x14ac:dyDescent="0.3">
      <c r="A279" t="s">
        <v>541</v>
      </c>
      <c r="B279" s="1">
        <v>45848</v>
      </c>
      <c r="C279" t="s">
        <v>542</v>
      </c>
      <c r="D279" t="s">
        <v>45</v>
      </c>
      <c r="E279" t="s">
        <v>46</v>
      </c>
      <c r="F279" t="s">
        <v>31</v>
      </c>
      <c r="G279" t="s">
        <v>21</v>
      </c>
      <c r="H279" t="s">
        <v>126</v>
      </c>
      <c r="I279">
        <v>5</v>
      </c>
      <c r="J279">
        <v>1855.74</v>
      </c>
      <c r="K279">
        <v>0</v>
      </c>
      <c r="L279">
        <v>9278.7000000000007</v>
      </c>
      <c r="M279" t="s">
        <v>76</v>
      </c>
      <c r="N279" t="s">
        <v>49</v>
      </c>
      <c r="O279" t="s">
        <v>65</v>
      </c>
      <c r="P279" t="s">
        <v>72</v>
      </c>
      <c r="Q279" t="str">
        <f t="shared" si="28"/>
        <v>Completed</v>
      </c>
      <c r="R279" t="str">
        <f t="shared" si="29"/>
        <v>Store</v>
      </c>
      <c r="S279" t="str">
        <v>Net Banking</v>
      </c>
      <c r="T279" t="str">
        <v>Electronics</v>
      </c>
      <c r="U279" t="str">
        <f t="shared" si="30"/>
        <v>VALID</v>
      </c>
      <c r="V279" t="str">
        <f t="shared" si="31"/>
        <v>NORMAL</v>
      </c>
      <c r="W279" t="str">
        <f t="shared" si="32"/>
        <v>Valid</v>
      </c>
      <c r="X279">
        <f t="shared" si="34"/>
        <v>9278.7000000000007</v>
      </c>
      <c r="Y279">
        <f t="shared" si="33"/>
        <v>9278.7000000000007</v>
      </c>
    </row>
    <row r="280" spans="1:25" x14ac:dyDescent="0.3">
      <c r="A280" t="s">
        <v>543</v>
      </c>
      <c r="B280" s="1">
        <v>45977</v>
      </c>
      <c r="C280" t="s">
        <v>544</v>
      </c>
      <c r="D280" t="s">
        <v>121</v>
      </c>
      <c r="E280" t="s">
        <v>122</v>
      </c>
      <c r="F280" t="s">
        <v>55</v>
      </c>
      <c r="G280" t="s">
        <v>81</v>
      </c>
      <c r="H280" t="s">
        <v>87</v>
      </c>
      <c r="I280">
        <v>3</v>
      </c>
      <c r="J280">
        <v>430.01</v>
      </c>
      <c r="K280">
        <v>0.08</v>
      </c>
      <c r="L280">
        <v>1186.83</v>
      </c>
      <c r="M280" t="s">
        <v>76</v>
      </c>
      <c r="N280" t="s">
        <v>34</v>
      </c>
      <c r="O280" t="s">
        <v>35</v>
      </c>
      <c r="P280" t="s">
        <v>111</v>
      </c>
      <c r="Q280" t="str">
        <f t="shared" si="28"/>
        <v>Cancelled</v>
      </c>
      <c r="R280" t="str">
        <f t="shared" si="29"/>
        <v>Store</v>
      </c>
      <c r="S280" t="str">
        <v>Cash On Delivery</v>
      </c>
      <c r="T280" t="str">
        <v>Stationery</v>
      </c>
      <c r="U280" t="str">
        <f t="shared" si="30"/>
        <v>VALID</v>
      </c>
      <c r="V280" t="str">
        <f t="shared" si="31"/>
        <v>NORMAL</v>
      </c>
      <c r="W280" t="str">
        <f t="shared" si="32"/>
        <v>Valid</v>
      </c>
      <c r="X280">
        <f t="shared" si="34"/>
        <v>1290.03</v>
      </c>
      <c r="Y280">
        <f t="shared" si="33"/>
        <v>1186.8276000000001</v>
      </c>
    </row>
    <row r="281" spans="1:25" x14ac:dyDescent="0.3">
      <c r="A281" t="s">
        <v>545</v>
      </c>
      <c r="B281" s="1">
        <v>45508</v>
      </c>
      <c r="C281" t="s">
        <v>161</v>
      </c>
      <c r="D281" t="s">
        <v>38</v>
      </c>
      <c r="E281" t="s">
        <v>39</v>
      </c>
      <c r="F281" t="s">
        <v>40</v>
      </c>
      <c r="G281" t="s">
        <v>32</v>
      </c>
      <c r="H281" t="s">
        <v>33</v>
      </c>
      <c r="I281">
        <v>3</v>
      </c>
      <c r="J281">
        <v>1666.67</v>
      </c>
      <c r="K281">
        <v>0.08</v>
      </c>
      <c r="L281">
        <v>4600.01</v>
      </c>
      <c r="M281" t="s">
        <v>76</v>
      </c>
      <c r="N281" t="s">
        <v>24</v>
      </c>
      <c r="O281" t="s">
        <v>65</v>
      </c>
      <c r="P281" t="s">
        <v>116</v>
      </c>
      <c r="Q281" t="str">
        <f t="shared" si="28"/>
        <v>Completed</v>
      </c>
      <c r="R281" t="str">
        <f t="shared" si="29"/>
        <v>Store</v>
      </c>
      <c r="S281" t="str">
        <v>Debit Card</v>
      </c>
      <c r="T281" t="str">
        <v>Furniture</v>
      </c>
      <c r="U281" t="str">
        <f t="shared" si="30"/>
        <v>VALID</v>
      </c>
      <c r="V281" t="str">
        <f t="shared" si="31"/>
        <v>NORMAL</v>
      </c>
      <c r="W281" t="str">
        <f t="shared" si="32"/>
        <v>Valid</v>
      </c>
      <c r="X281">
        <f t="shared" si="34"/>
        <v>5000.01</v>
      </c>
      <c r="Y281">
        <f t="shared" si="33"/>
        <v>4600.0092000000004</v>
      </c>
    </row>
    <row r="282" spans="1:25" x14ac:dyDescent="0.3">
      <c r="A282" t="s">
        <v>546</v>
      </c>
      <c r="B282" s="1">
        <v>45949</v>
      </c>
      <c r="C282" t="s">
        <v>516</v>
      </c>
      <c r="D282" t="s">
        <v>62</v>
      </c>
      <c r="E282" t="s">
        <v>63</v>
      </c>
      <c r="F282" t="s">
        <v>31</v>
      </c>
      <c r="G282" t="s">
        <v>32</v>
      </c>
      <c r="H282" t="s">
        <v>47</v>
      </c>
      <c r="I282">
        <v>3</v>
      </c>
      <c r="J282">
        <v>2845.69</v>
      </c>
      <c r="K282">
        <v>0.2</v>
      </c>
      <c r="L282">
        <v>6829.66</v>
      </c>
      <c r="M282" t="s">
        <v>48</v>
      </c>
      <c r="N282" t="s">
        <v>71</v>
      </c>
      <c r="O282" t="s">
        <v>65</v>
      </c>
      <c r="P282" t="s">
        <v>59</v>
      </c>
      <c r="Q282" t="str">
        <f t="shared" si="28"/>
        <v>Completed</v>
      </c>
      <c r="R282" t="str">
        <f t="shared" si="29"/>
        <v>Marketplace</v>
      </c>
      <c r="S282" t="str">
        <v>Upi</v>
      </c>
      <c r="T282" t="str">
        <v>Electronics</v>
      </c>
      <c r="U282" t="str">
        <f t="shared" si="30"/>
        <v>VALID</v>
      </c>
      <c r="V282" t="str">
        <f t="shared" si="31"/>
        <v>NORMAL</v>
      </c>
      <c r="W282" t="str">
        <f t="shared" si="32"/>
        <v>Valid</v>
      </c>
      <c r="X282">
        <f t="shared" si="34"/>
        <v>8537.07</v>
      </c>
      <c r="Y282">
        <f t="shared" si="33"/>
        <v>6829.6559999999999</v>
      </c>
    </row>
    <row r="283" spans="1:25" x14ac:dyDescent="0.3">
      <c r="A283" t="s">
        <v>547</v>
      </c>
      <c r="B283" s="1">
        <v>45762</v>
      </c>
      <c r="C283" t="s">
        <v>548</v>
      </c>
      <c r="D283" t="s">
        <v>29</v>
      </c>
      <c r="E283" t="s">
        <v>30</v>
      </c>
      <c r="F283" t="s">
        <v>31</v>
      </c>
      <c r="G283" t="s">
        <v>56</v>
      </c>
      <c r="H283" t="s">
        <v>123</v>
      </c>
      <c r="J283">
        <v>3196.68</v>
      </c>
      <c r="K283">
        <v>0.2</v>
      </c>
      <c r="L283">
        <v>7672.03</v>
      </c>
      <c r="M283" t="s">
        <v>48</v>
      </c>
      <c r="N283" t="s">
        <v>34</v>
      </c>
      <c r="O283" t="s">
        <v>65</v>
      </c>
      <c r="P283" t="s">
        <v>59</v>
      </c>
      <c r="Q283" t="str">
        <f t="shared" si="28"/>
        <v>Completed</v>
      </c>
      <c r="R283" t="str">
        <f t="shared" si="29"/>
        <v>Marketplace</v>
      </c>
      <c r="S283" t="str">
        <v>Cash On Delivery</v>
      </c>
      <c r="T283" t="str">
        <v>Electronics</v>
      </c>
      <c r="U283" t="str">
        <f t="shared" si="30"/>
        <v>INVALID</v>
      </c>
      <c r="V283" t="str">
        <f t="shared" si="31"/>
        <v>NORMAL</v>
      </c>
      <c r="W283" t="str">
        <f t="shared" si="32"/>
        <v>Valid</v>
      </c>
      <c r="X283">
        <f t="shared" si="34"/>
        <v>0</v>
      </c>
      <c r="Y283">
        <f t="shared" si="33"/>
        <v>0</v>
      </c>
    </row>
    <row r="284" spans="1:25" x14ac:dyDescent="0.3">
      <c r="A284" t="s">
        <v>549</v>
      </c>
      <c r="B284" s="1">
        <v>45829</v>
      </c>
      <c r="C284" t="s">
        <v>550</v>
      </c>
      <c r="D284" t="s">
        <v>45</v>
      </c>
      <c r="E284" t="s">
        <v>46</v>
      </c>
      <c r="F284" t="s">
        <v>31</v>
      </c>
      <c r="G284" t="s">
        <v>56</v>
      </c>
      <c r="H284" t="s">
        <v>101</v>
      </c>
      <c r="I284">
        <v>2</v>
      </c>
      <c r="J284">
        <v>1656.16</v>
      </c>
      <c r="K284">
        <v>0.03</v>
      </c>
      <c r="L284">
        <v>3212.95</v>
      </c>
      <c r="M284" t="s">
        <v>76</v>
      </c>
      <c r="N284" t="s">
        <v>58</v>
      </c>
      <c r="O284" t="s">
        <v>35</v>
      </c>
      <c r="P284" t="s">
        <v>116</v>
      </c>
      <c r="Q284" t="str">
        <f t="shared" si="28"/>
        <v>Cancelled</v>
      </c>
      <c r="R284" t="str">
        <f t="shared" si="29"/>
        <v>Store</v>
      </c>
      <c r="S284" t="str">
        <v>Credit Card</v>
      </c>
      <c r="T284" t="str">
        <v>Electronics</v>
      </c>
      <c r="U284" t="str">
        <f t="shared" si="30"/>
        <v>VALID</v>
      </c>
      <c r="V284" t="str">
        <f t="shared" si="31"/>
        <v>NORMAL</v>
      </c>
      <c r="W284" t="str">
        <f t="shared" si="32"/>
        <v>Valid</v>
      </c>
      <c r="X284">
        <f t="shared" si="34"/>
        <v>3312.32</v>
      </c>
      <c r="Y284">
        <f t="shared" si="33"/>
        <v>3212.9504000000002</v>
      </c>
    </row>
    <row r="285" spans="1:25" x14ac:dyDescent="0.3">
      <c r="A285" t="s">
        <v>551</v>
      </c>
      <c r="B285" s="1">
        <v>45960</v>
      </c>
      <c r="C285" t="s">
        <v>552</v>
      </c>
      <c r="D285" t="s">
        <v>29</v>
      </c>
      <c r="E285" t="s">
        <v>30</v>
      </c>
      <c r="F285" t="s">
        <v>31</v>
      </c>
      <c r="G285" t="s">
        <v>81</v>
      </c>
      <c r="H285" t="s">
        <v>135</v>
      </c>
      <c r="I285">
        <v>2</v>
      </c>
      <c r="J285">
        <v>3022.99</v>
      </c>
      <c r="K285">
        <v>0.08</v>
      </c>
      <c r="L285">
        <v>5562.3</v>
      </c>
      <c r="M285" t="s">
        <v>48</v>
      </c>
      <c r="N285" t="s">
        <v>71</v>
      </c>
      <c r="O285" t="s">
        <v>65</v>
      </c>
      <c r="P285" t="s">
        <v>26</v>
      </c>
      <c r="Q285" t="str">
        <f t="shared" si="28"/>
        <v>Completed</v>
      </c>
      <c r="R285" t="str">
        <f t="shared" si="29"/>
        <v>Marketplace</v>
      </c>
      <c r="S285" t="str">
        <v>Upi</v>
      </c>
      <c r="T285" t="str">
        <v>Electronics</v>
      </c>
      <c r="U285" t="str">
        <f t="shared" si="30"/>
        <v>VALID</v>
      </c>
      <c r="V285" t="str">
        <f t="shared" si="31"/>
        <v>NORMAL</v>
      </c>
      <c r="W285" t="str">
        <f t="shared" si="32"/>
        <v>Valid</v>
      </c>
      <c r="X285">
        <f t="shared" si="34"/>
        <v>6045.98</v>
      </c>
      <c r="Y285">
        <f t="shared" si="33"/>
        <v>5562.3015999999998</v>
      </c>
    </row>
    <row r="286" spans="1:25" x14ac:dyDescent="0.3">
      <c r="A286" t="s">
        <v>553</v>
      </c>
      <c r="B286" s="1">
        <v>45470</v>
      </c>
      <c r="C286" t="s">
        <v>554</v>
      </c>
      <c r="D286" t="s">
        <v>131</v>
      </c>
      <c r="E286" t="s">
        <v>132</v>
      </c>
      <c r="F286" t="s">
        <v>40</v>
      </c>
      <c r="G286" t="s">
        <v>56</v>
      </c>
      <c r="H286" t="s">
        <v>64</v>
      </c>
      <c r="I286">
        <v>4</v>
      </c>
      <c r="J286">
        <v>9894.66</v>
      </c>
      <c r="K286">
        <v>0.05</v>
      </c>
      <c r="L286">
        <v>37599.71</v>
      </c>
      <c r="M286" t="s">
        <v>23</v>
      </c>
      <c r="N286" t="s">
        <v>58</v>
      </c>
      <c r="O286" t="s">
        <v>25</v>
      </c>
      <c r="P286" t="s">
        <v>102</v>
      </c>
      <c r="Q286" t="str">
        <f t="shared" si="28"/>
        <v>Returned</v>
      </c>
      <c r="R286" t="str">
        <f t="shared" si="29"/>
        <v>Online</v>
      </c>
      <c r="S286" t="str">
        <v>Credit Card</v>
      </c>
      <c r="T286" t="str">
        <v>Furniture</v>
      </c>
      <c r="U286" t="str">
        <f t="shared" si="30"/>
        <v>VALID</v>
      </c>
      <c r="V286" t="str">
        <f t="shared" si="31"/>
        <v>NORMAL</v>
      </c>
      <c r="W286" t="str">
        <f t="shared" si="32"/>
        <v>Valid</v>
      </c>
      <c r="X286">
        <f t="shared" si="34"/>
        <v>39578.639999999999</v>
      </c>
      <c r="Y286">
        <f t="shared" si="33"/>
        <v>37599.707999999999</v>
      </c>
    </row>
    <row r="287" spans="1:25" x14ac:dyDescent="0.3">
      <c r="A287" t="s">
        <v>555</v>
      </c>
      <c r="B287" s="1">
        <v>45748</v>
      </c>
      <c r="C287" t="s">
        <v>556</v>
      </c>
      <c r="D287" t="s">
        <v>45</v>
      </c>
      <c r="E287" t="s">
        <v>46</v>
      </c>
      <c r="F287" t="s">
        <v>31</v>
      </c>
      <c r="G287" t="s">
        <v>32</v>
      </c>
      <c r="H287" t="s">
        <v>68</v>
      </c>
      <c r="I287">
        <v>3</v>
      </c>
      <c r="J287">
        <v>1943.66</v>
      </c>
      <c r="K287">
        <v>0.15</v>
      </c>
      <c r="L287">
        <v>4956.33</v>
      </c>
      <c r="M287" t="s">
        <v>48</v>
      </c>
      <c r="N287" t="s">
        <v>58</v>
      </c>
      <c r="O287" t="s">
        <v>65</v>
      </c>
      <c r="P287" t="s">
        <v>42</v>
      </c>
      <c r="Q287" t="str">
        <f t="shared" si="28"/>
        <v>Completed</v>
      </c>
      <c r="R287" t="str">
        <f t="shared" si="29"/>
        <v>Marketplace</v>
      </c>
      <c r="S287" t="str">
        <v>Credit Card</v>
      </c>
      <c r="T287" t="str">
        <v>Electronics</v>
      </c>
      <c r="U287" t="str">
        <f t="shared" si="30"/>
        <v>VALID</v>
      </c>
      <c r="V287" t="str">
        <f t="shared" si="31"/>
        <v>NORMAL</v>
      </c>
      <c r="W287" t="str">
        <f t="shared" si="32"/>
        <v>Valid</v>
      </c>
      <c r="X287">
        <f t="shared" si="34"/>
        <v>5830.9800000000005</v>
      </c>
      <c r="Y287">
        <f t="shared" si="33"/>
        <v>4956.3330000000005</v>
      </c>
    </row>
    <row r="288" spans="1:25" x14ac:dyDescent="0.3">
      <c r="A288" t="s">
        <v>557</v>
      </c>
      <c r="B288" s="1">
        <v>45914</v>
      </c>
      <c r="C288" t="s">
        <v>558</v>
      </c>
      <c r="D288" t="s">
        <v>79</v>
      </c>
      <c r="E288" t="s">
        <v>80</v>
      </c>
      <c r="F288" t="s">
        <v>31</v>
      </c>
      <c r="G288" t="s">
        <v>21</v>
      </c>
      <c r="H288" t="s">
        <v>22</v>
      </c>
      <c r="I288">
        <v>3</v>
      </c>
      <c r="J288">
        <v>13480.56</v>
      </c>
      <c r="K288">
        <v>0.15</v>
      </c>
      <c r="L288">
        <v>34375.43</v>
      </c>
      <c r="M288" t="s">
        <v>76</v>
      </c>
      <c r="N288" t="s">
        <v>58</v>
      </c>
      <c r="O288" t="s">
        <v>65</v>
      </c>
      <c r="P288" t="s">
        <v>26</v>
      </c>
      <c r="Q288" t="str">
        <f t="shared" si="28"/>
        <v>Completed</v>
      </c>
      <c r="R288" t="str">
        <f t="shared" si="29"/>
        <v>Store</v>
      </c>
      <c r="S288" t="str">
        <v>Credit Card</v>
      </c>
      <c r="T288" t="str">
        <v>Electronics</v>
      </c>
      <c r="U288" t="str">
        <f t="shared" si="30"/>
        <v>VALID</v>
      </c>
      <c r="V288" t="str">
        <f t="shared" si="31"/>
        <v>NORMAL</v>
      </c>
      <c r="W288" t="str">
        <f t="shared" si="32"/>
        <v>Valid</v>
      </c>
      <c r="X288">
        <f t="shared" si="34"/>
        <v>40441.68</v>
      </c>
      <c r="Y288">
        <f t="shared" si="33"/>
        <v>34375.428</v>
      </c>
    </row>
    <row r="289" spans="1:25" x14ac:dyDescent="0.3">
      <c r="A289" t="s">
        <v>559</v>
      </c>
      <c r="B289" s="1">
        <v>46076</v>
      </c>
      <c r="C289" t="s">
        <v>560</v>
      </c>
      <c r="D289" t="s">
        <v>121</v>
      </c>
      <c r="E289" t="s">
        <v>122</v>
      </c>
      <c r="F289" t="s">
        <v>55</v>
      </c>
      <c r="G289" t="s">
        <v>32</v>
      </c>
      <c r="H289" t="s">
        <v>47</v>
      </c>
      <c r="I289">
        <v>2</v>
      </c>
      <c r="J289">
        <v>452.06</v>
      </c>
      <c r="K289">
        <v>0.03</v>
      </c>
      <c r="L289">
        <v>877</v>
      </c>
      <c r="M289" t="s">
        <v>23</v>
      </c>
      <c r="N289" t="s">
        <v>58</v>
      </c>
      <c r="O289" t="s">
        <v>25</v>
      </c>
      <c r="P289" t="s">
        <v>59</v>
      </c>
      <c r="Q289" t="str">
        <f t="shared" si="28"/>
        <v>Returned</v>
      </c>
      <c r="R289" t="str">
        <f t="shared" si="29"/>
        <v>Online</v>
      </c>
      <c r="S289" t="str">
        <v>Credit Card</v>
      </c>
      <c r="T289" t="str">
        <v>Stationery</v>
      </c>
      <c r="U289" t="str">
        <f t="shared" si="30"/>
        <v>VALID</v>
      </c>
      <c r="V289" t="str">
        <f t="shared" si="31"/>
        <v>NORMAL</v>
      </c>
      <c r="W289" t="str">
        <f t="shared" si="32"/>
        <v>Valid</v>
      </c>
      <c r="X289">
        <f t="shared" si="34"/>
        <v>904.12</v>
      </c>
      <c r="Y289">
        <f t="shared" si="33"/>
        <v>876.99639999999999</v>
      </c>
    </row>
    <row r="290" spans="1:25" x14ac:dyDescent="0.3">
      <c r="A290" t="s">
        <v>561</v>
      </c>
      <c r="B290" s="1">
        <v>45512</v>
      </c>
      <c r="C290" t="s">
        <v>562</v>
      </c>
      <c r="D290" t="s">
        <v>89</v>
      </c>
      <c r="E290" t="s">
        <v>90</v>
      </c>
      <c r="F290" t="s">
        <v>20</v>
      </c>
      <c r="G290" t="s">
        <v>56</v>
      </c>
      <c r="H290" t="s">
        <v>57</v>
      </c>
      <c r="I290">
        <v>5</v>
      </c>
      <c r="J290">
        <v>733.43</v>
      </c>
      <c r="K290">
        <v>0.2</v>
      </c>
      <c r="L290">
        <v>2933.72</v>
      </c>
      <c r="M290" t="s">
        <v>23</v>
      </c>
      <c r="N290" t="s">
        <v>71</v>
      </c>
      <c r="O290" t="s">
        <v>65</v>
      </c>
      <c r="P290" t="s">
        <v>26</v>
      </c>
      <c r="Q290" t="str">
        <f t="shared" si="28"/>
        <v>Completed</v>
      </c>
      <c r="R290" t="str">
        <f t="shared" si="29"/>
        <v>Online</v>
      </c>
      <c r="S290" t="str">
        <v>Upi</v>
      </c>
      <c r="T290" t="str">
        <v>Accessories</v>
      </c>
      <c r="U290" t="str">
        <f t="shared" si="30"/>
        <v>VALID</v>
      </c>
      <c r="V290" t="str">
        <f t="shared" si="31"/>
        <v>NORMAL</v>
      </c>
      <c r="W290" t="str">
        <f t="shared" si="32"/>
        <v>Valid</v>
      </c>
      <c r="X290">
        <f t="shared" si="34"/>
        <v>3667.1499999999996</v>
      </c>
      <c r="Y290">
        <f t="shared" si="33"/>
        <v>2933.72</v>
      </c>
    </row>
    <row r="291" spans="1:25" x14ac:dyDescent="0.3">
      <c r="A291" t="s">
        <v>563</v>
      </c>
      <c r="B291" s="1">
        <v>45791</v>
      </c>
      <c r="C291" t="s">
        <v>554</v>
      </c>
      <c r="D291" t="s">
        <v>96</v>
      </c>
      <c r="E291" t="s">
        <v>97</v>
      </c>
      <c r="F291" t="s">
        <v>31</v>
      </c>
      <c r="G291" t="s">
        <v>21</v>
      </c>
      <c r="H291" t="s">
        <v>93</v>
      </c>
      <c r="I291">
        <v>1</v>
      </c>
      <c r="J291">
        <v>1226.24</v>
      </c>
      <c r="K291">
        <v>0.08</v>
      </c>
      <c r="L291">
        <v>1128.1400000000001</v>
      </c>
      <c r="M291" t="s">
        <v>48</v>
      </c>
      <c r="N291" t="s">
        <v>49</v>
      </c>
      <c r="O291" t="s">
        <v>35</v>
      </c>
      <c r="P291" t="s">
        <v>42</v>
      </c>
      <c r="Q291" t="str">
        <f t="shared" si="28"/>
        <v>Cancelled</v>
      </c>
      <c r="R291" t="str">
        <f t="shared" si="29"/>
        <v>Marketplace</v>
      </c>
      <c r="S291" t="str">
        <v>Net Banking</v>
      </c>
      <c r="T291" t="str">
        <v>Electronics</v>
      </c>
      <c r="U291" t="str">
        <f t="shared" si="30"/>
        <v>VALID</v>
      </c>
      <c r="V291" t="str">
        <f t="shared" si="31"/>
        <v>NORMAL</v>
      </c>
      <c r="W291" t="str">
        <f t="shared" si="32"/>
        <v>Valid</v>
      </c>
      <c r="X291">
        <f t="shared" si="34"/>
        <v>1226.24</v>
      </c>
      <c r="Y291">
        <f t="shared" si="33"/>
        <v>1128.1408000000001</v>
      </c>
    </row>
    <row r="292" spans="1:25" x14ac:dyDescent="0.3">
      <c r="A292" t="s">
        <v>564</v>
      </c>
      <c r="B292" s="1">
        <v>45678</v>
      </c>
      <c r="C292" t="s">
        <v>504</v>
      </c>
      <c r="D292" t="s">
        <v>131</v>
      </c>
      <c r="E292" t="s">
        <v>132</v>
      </c>
      <c r="F292" t="s">
        <v>40</v>
      </c>
      <c r="G292" t="s">
        <v>21</v>
      </c>
      <c r="H292" t="s">
        <v>41</v>
      </c>
      <c r="I292">
        <v>1</v>
      </c>
      <c r="J292">
        <v>10032.790000000001</v>
      </c>
      <c r="K292">
        <v>0.08</v>
      </c>
      <c r="L292">
        <v>9230.17</v>
      </c>
      <c r="M292" t="s">
        <v>76</v>
      </c>
      <c r="N292" t="s">
        <v>71</v>
      </c>
      <c r="O292" t="s">
        <v>65</v>
      </c>
      <c r="P292" t="s">
        <v>72</v>
      </c>
      <c r="Q292" t="str">
        <f t="shared" si="28"/>
        <v>Completed</v>
      </c>
      <c r="R292" t="str">
        <f t="shared" si="29"/>
        <v>Store</v>
      </c>
      <c r="S292" t="str">
        <v>Upi</v>
      </c>
      <c r="T292" t="str">
        <v>Furniture</v>
      </c>
      <c r="U292" t="str">
        <f t="shared" si="30"/>
        <v>VALID</v>
      </c>
      <c r="V292" t="str">
        <f t="shared" si="31"/>
        <v>NORMAL</v>
      </c>
      <c r="W292" t="str">
        <f t="shared" si="32"/>
        <v>Valid</v>
      </c>
      <c r="X292">
        <f t="shared" si="34"/>
        <v>10032.790000000001</v>
      </c>
      <c r="Y292">
        <f t="shared" si="33"/>
        <v>9230.1668000000009</v>
      </c>
    </row>
    <row r="293" spans="1:25" x14ac:dyDescent="0.3">
      <c r="A293" t="s">
        <v>565</v>
      </c>
      <c r="B293" s="1">
        <v>45984</v>
      </c>
      <c r="C293" t="s">
        <v>277</v>
      </c>
      <c r="D293" t="s">
        <v>89</v>
      </c>
      <c r="E293" t="s">
        <v>90</v>
      </c>
      <c r="F293" t="s">
        <v>20</v>
      </c>
      <c r="G293" t="s">
        <v>21</v>
      </c>
      <c r="H293" t="s">
        <v>22</v>
      </c>
      <c r="I293">
        <v>1</v>
      </c>
      <c r="J293">
        <v>679.43</v>
      </c>
      <c r="K293">
        <v>0</v>
      </c>
      <c r="L293">
        <v>679.43</v>
      </c>
      <c r="M293" t="s">
        <v>23</v>
      </c>
      <c r="N293" t="s">
        <v>49</v>
      </c>
      <c r="O293" t="s">
        <v>25</v>
      </c>
      <c r="P293" t="s">
        <v>42</v>
      </c>
      <c r="Q293" t="str">
        <f t="shared" si="28"/>
        <v>Returned</v>
      </c>
      <c r="R293" t="str">
        <f t="shared" si="29"/>
        <v>Online</v>
      </c>
      <c r="S293" t="str">
        <v>Net Banking</v>
      </c>
      <c r="T293" t="str">
        <v>Accessories</v>
      </c>
      <c r="U293" t="str">
        <f t="shared" si="30"/>
        <v>VALID</v>
      </c>
      <c r="V293" t="str">
        <f t="shared" si="31"/>
        <v>NORMAL</v>
      </c>
      <c r="W293" t="str">
        <f t="shared" si="32"/>
        <v>Valid</v>
      </c>
      <c r="X293">
        <f t="shared" si="34"/>
        <v>679.43</v>
      </c>
      <c r="Y293">
        <f t="shared" si="33"/>
        <v>679.43</v>
      </c>
    </row>
    <row r="294" spans="1:25" x14ac:dyDescent="0.3">
      <c r="A294" t="s">
        <v>566</v>
      </c>
      <c r="B294" s="1">
        <v>45918</v>
      </c>
      <c r="C294" t="s">
        <v>118</v>
      </c>
      <c r="D294" t="s">
        <v>170</v>
      </c>
      <c r="E294" t="s">
        <v>171</v>
      </c>
      <c r="F294" t="s">
        <v>31</v>
      </c>
      <c r="G294" t="s">
        <v>81</v>
      </c>
      <c r="I294">
        <v>1</v>
      </c>
      <c r="J294">
        <v>60025.919999999998</v>
      </c>
      <c r="K294">
        <v>0.2</v>
      </c>
      <c r="L294">
        <v>48020.74</v>
      </c>
      <c r="M294" t="s">
        <v>48</v>
      </c>
      <c r="N294" t="s">
        <v>71</v>
      </c>
      <c r="O294" t="s">
        <v>65</v>
      </c>
      <c r="P294" t="s">
        <v>116</v>
      </c>
      <c r="Q294" t="str">
        <f t="shared" si="28"/>
        <v>Completed</v>
      </c>
      <c r="R294" t="str">
        <f t="shared" si="29"/>
        <v>Marketplace</v>
      </c>
      <c r="S294" t="str">
        <v>Upi</v>
      </c>
      <c r="T294" t="str">
        <v>Electronics</v>
      </c>
      <c r="U294" t="str">
        <f t="shared" si="30"/>
        <v>VALID</v>
      </c>
      <c r="V294" t="str">
        <f t="shared" si="31"/>
        <v>NORMAL</v>
      </c>
      <c r="W294" t="str">
        <f t="shared" si="32"/>
        <v>Valid</v>
      </c>
      <c r="X294">
        <f t="shared" si="34"/>
        <v>60025.919999999998</v>
      </c>
      <c r="Y294">
        <f t="shared" si="33"/>
        <v>48020.735999999997</v>
      </c>
    </row>
    <row r="295" spans="1:25" x14ac:dyDescent="0.3">
      <c r="A295" t="s">
        <v>567</v>
      </c>
      <c r="B295" s="1">
        <v>45845</v>
      </c>
      <c r="C295" t="s">
        <v>357</v>
      </c>
      <c r="D295" t="s">
        <v>79</v>
      </c>
      <c r="E295" t="s">
        <v>80</v>
      </c>
      <c r="F295" t="s">
        <v>31</v>
      </c>
      <c r="G295" t="s">
        <v>56</v>
      </c>
      <c r="H295" t="s">
        <v>57</v>
      </c>
      <c r="I295">
        <v>4</v>
      </c>
      <c r="J295">
        <v>11643.59</v>
      </c>
      <c r="K295">
        <v>0.08</v>
      </c>
      <c r="L295">
        <v>42848.41</v>
      </c>
      <c r="M295" t="s">
        <v>76</v>
      </c>
      <c r="N295" t="s">
        <v>34</v>
      </c>
      <c r="O295" t="s">
        <v>65</v>
      </c>
      <c r="P295" t="s">
        <v>72</v>
      </c>
      <c r="Q295" t="str">
        <f t="shared" si="28"/>
        <v>Completed</v>
      </c>
      <c r="R295" t="str">
        <f t="shared" si="29"/>
        <v>Store</v>
      </c>
      <c r="S295" t="str">
        <v>Cash On Delivery</v>
      </c>
      <c r="T295" t="str">
        <v>Electronics</v>
      </c>
      <c r="U295" t="str">
        <f t="shared" si="30"/>
        <v>VALID</v>
      </c>
      <c r="V295" t="str">
        <f t="shared" si="31"/>
        <v>NORMAL</v>
      </c>
      <c r="W295" t="str">
        <f t="shared" si="32"/>
        <v>Valid</v>
      </c>
      <c r="X295">
        <f t="shared" si="34"/>
        <v>46574.36</v>
      </c>
      <c r="Y295">
        <f t="shared" si="33"/>
        <v>42848.411200000002</v>
      </c>
    </row>
    <row r="296" spans="1:25" x14ac:dyDescent="0.3">
      <c r="A296" t="s">
        <v>568</v>
      </c>
      <c r="B296" s="1">
        <v>45791</v>
      </c>
      <c r="C296" t="s">
        <v>110</v>
      </c>
      <c r="D296" t="s">
        <v>45</v>
      </c>
      <c r="E296" t="s">
        <v>46</v>
      </c>
      <c r="F296" t="s">
        <v>31</v>
      </c>
      <c r="G296" t="s">
        <v>21</v>
      </c>
      <c r="H296" t="s">
        <v>41</v>
      </c>
      <c r="I296">
        <v>5</v>
      </c>
      <c r="J296">
        <v>1699.21</v>
      </c>
      <c r="K296">
        <v>0.05</v>
      </c>
      <c r="L296">
        <v>8071.25</v>
      </c>
      <c r="M296" t="s">
        <v>23</v>
      </c>
      <c r="N296" t="s">
        <v>34</v>
      </c>
      <c r="O296" t="s">
        <v>65</v>
      </c>
      <c r="P296" t="s">
        <v>50</v>
      </c>
      <c r="Q296" t="str">
        <f t="shared" si="28"/>
        <v>Completed</v>
      </c>
      <c r="R296" t="str">
        <f t="shared" si="29"/>
        <v>Online</v>
      </c>
      <c r="S296" t="str">
        <v>Cash On Delivery</v>
      </c>
      <c r="T296" t="str">
        <v>Electronics</v>
      </c>
      <c r="U296" t="str">
        <f t="shared" si="30"/>
        <v>VALID</v>
      </c>
      <c r="V296" t="str">
        <f t="shared" si="31"/>
        <v>NORMAL</v>
      </c>
      <c r="W296" t="str">
        <f t="shared" si="32"/>
        <v>Valid</v>
      </c>
      <c r="X296">
        <f t="shared" si="34"/>
        <v>8496.0499999999993</v>
      </c>
      <c r="Y296">
        <f t="shared" si="33"/>
        <v>8071.2474999999995</v>
      </c>
    </row>
    <row r="297" spans="1:25" x14ac:dyDescent="0.3">
      <c r="A297" t="s">
        <v>569</v>
      </c>
      <c r="B297" s="1">
        <v>45953</v>
      </c>
      <c r="C297" t="s">
        <v>570</v>
      </c>
      <c r="D297" t="s">
        <v>45</v>
      </c>
      <c r="E297" t="s">
        <v>46</v>
      </c>
      <c r="F297" t="s">
        <v>31</v>
      </c>
      <c r="G297" t="s">
        <v>21</v>
      </c>
      <c r="H297" t="s">
        <v>93</v>
      </c>
      <c r="I297">
        <v>5</v>
      </c>
      <c r="J297">
        <v>1798.29</v>
      </c>
      <c r="K297">
        <v>0.2</v>
      </c>
      <c r="L297">
        <v>7193.16</v>
      </c>
      <c r="M297" t="s">
        <v>48</v>
      </c>
      <c r="N297" t="s">
        <v>24</v>
      </c>
      <c r="O297" t="s">
        <v>35</v>
      </c>
      <c r="P297" t="s">
        <v>42</v>
      </c>
      <c r="Q297" t="str">
        <f t="shared" si="28"/>
        <v>Cancelled</v>
      </c>
      <c r="R297" t="str">
        <f t="shared" si="29"/>
        <v>Marketplace</v>
      </c>
      <c r="S297" t="str">
        <v>Debit Card</v>
      </c>
      <c r="T297" t="str">
        <v>Electronics</v>
      </c>
      <c r="U297" t="str">
        <f t="shared" si="30"/>
        <v>VALID</v>
      </c>
      <c r="V297" t="str">
        <f t="shared" si="31"/>
        <v>NORMAL</v>
      </c>
      <c r="W297" t="str">
        <f t="shared" si="32"/>
        <v>Valid</v>
      </c>
      <c r="X297">
        <f t="shared" si="34"/>
        <v>8991.4500000000007</v>
      </c>
      <c r="Y297">
        <f t="shared" si="33"/>
        <v>7193.1600000000008</v>
      </c>
    </row>
    <row r="298" spans="1:25" x14ac:dyDescent="0.3">
      <c r="A298" t="s">
        <v>571</v>
      </c>
      <c r="B298" s="1">
        <v>45967</v>
      </c>
      <c r="C298" t="s">
        <v>572</v>
      </c>
      <c r="D298" t="s">
        <v>79</v>
      </c>
      <c r="E298" t="s">
        <v>80</v>
      </c>
      <c r="F298" t="s">
        <v>31</v>
      </c>
      <c r="G298" t="s">
        <v>21</v>
      </c>
      <c r="H298" t="s">
        <v>93</v>
      </c>
      <c r="I298">
        <v>1</v>
      </c>
      <c r="J298">
        <v>12922.82</v>
      </c>
      <c r="K298">
        <v>0</v>
      </c>
      <c r="L298">
        <v>12922.82</v>
      </c>
      <c r="M298" t="s">
        <v>23</v>
      </c>
      <c r="N298" t="s">
        <v>58</v>
      </c>
      <c r="O298" t="s">
        <v>65</v>
      </c>
      <c r="P298" t="s">
        <v>116</v>
      </c>
      <c r="Q298" t="str">
        <f t="shared" si="28"/>
        <v>Completed</v>
      </c>
      <c r="R298" t="str">
        <f t="shared" si="29"/>
        <v>Online</v>
      </c>
      <c r="S298" t="str">
        <v>Credit Card</v>
      </c>
      <c r="T298" t="str">
        <v>Electronics</v>
      </c>
      <c r="U298" t="str">
        <f t="shared" si="30"/>
        <v>VALID</v>
      </c>
      <c r="V298" t="str">
        <f t="shared" si="31"/>
        <v>NORMAL</v>
      </c>
      <c r="W298" t="str">
        <f t="shared" si="32"/>
        <v>Valid</v>
      </c>
      <c r="X298">
        <f t="shared" si="34"/>
        <v>12922.82</v>
      </c>
      <c r="Y298">
        <f t="shared" si="33"/>
        <v>12922.82</v>
      </c>
    </row>
    <row r="299" spans="1:25" x14ac:dyDescent="0.3">
      <c r="A299" t="s">
        <v>573</v>
      </c>
      <c r="B299" s="1">
        <v>45879</v>
      </c>
      <c r="C299" t="s">
        <v>574</v>
      </c>
      <c r="D299" t="s">
        <v>79</v>
      </c>
      <c r="E299" t="s">
        <v>80</v>
      </c>
      <c r="F299" t="s">
        <v>31</v>
      </c>
      <c r="G299" t="s">
        <v>21</v>
      </c>
      <c r="H299" t="s">
        <v>126</v>
      </c>
      <c r="I299">
        <v>4</v>
      </c>
      <c r="J299">
        <v>13121.04</v>
      </c>
      <c r="K299">
        <v>0.15</v>
      </c>
      <c r="L299">
        <v>44611.54</v>
      </c>
      <c r="M299" t="s">
        <v>23</v>
      </c>
      <c r="N299" t="s">
        <v>71</v>
      </c>
      <c r="O299" t="s">
        <v>25</v>
      </c>
      <c r="P299" t="s">
        <v>59</v>
      </c>
      <c r="Q299" t="str">
        <f t="shared" si="28"/>
        <v>Returned</v>
      </c>
      <c r="R299" t="str">
        <f t="shared" si="29"/>
        <v>Online</v>
      </c>
      <c r="S299" t="str">
        <v>Upi</v>
      </c>
      <c r="T299" t="str">
        <v>Electronics</v>
      </c>
      <c r="U299" t="str">
        <f t="shared" si="30"/>
        <v>VALID</v>
      </c>
      <c r="V299" t="str">
        <f t="shared" si="31"/>
        <v>NORMAL</v>
      </c>
      <c r="W299" t="str">
        <f t="shared" si="32"/>
        <v>Valid</v>
      </c>
      <c r="X299">
        <f t="shared" si="34"/>
        <v>52484.160000000003</v>
      </c>
      <c r="Y299">
        <f t="shared" si="33"/>
        <v>44611.536000000007</v>
      </c>
    </row>
    <row r="300" spans="1:25" x14ac:dyDescent="0.3">
      <c r="A300" t="s">
        <v>575</v>
      </c>
      <c r="B300" s="1">
        <v>45858</v>
      </c>
      <c r="C300" t="s">
        <v>576</v>
      </c>
      <c r="D300" t="s">
        <v>176</v>
      </c>
      <c r="E300" t="s">
        <v>177</v>
      </c>
      <c r="F300" t="s">
        <v>31</v>
      </c>
      <c r="G300" t="s">
        <v>21</v>
      </c>
      <c r="H300" t="s">
        <v>126</v>
      </c>
      <c r="I300">
        <v>2</v>
      </c>
      <c r="J300">
        <v>2102.6999999999998</v>
      </c>
      <c r="K300">
        <v>0.03</v>
      </c>
      <c r="L300">
        <v>4079.24</v>
      </c>
      <c r="M300" t="s">
        <v>76</v>
      </c>
      <c r="N300" t="s">
        <v>71</v>
      </c>
      <c r="O300" t="s">
        <v>65</v>
      </c>
      <c r="P300" t="s">
        <v>72</v>
      </c>
      <c r="Q300" t="str">
        <f t="shared" si="28"/>
        <v>Completed</v>
      </c>
      <c r="R300" t="str">
        <f t="shared" si="29"/>
        <v>Store</v>
      </c>
      <c r="S300" t="str">
        <v>Upi</v>
      </c>
      <c r="T300" t="str">
        <v>Electronics</v>
      </c>
      <c r="U300" t="str">
        <f t="shared" si="30"/>
        <v>VALID</v>
      </c>
      <c r="V300" t="str">
        <f t="shared" si="31"/>
        <v>NORMAL</v>
      </c>
      <c r="W300" t="str">
        <f t="shared" si="32"/>
        <v>Valid</v>
      </c>
      <c r="X300">
        <f t="shared" si="34"/>
        <v>4205.3999999999996</v>
      </c>
      <c r="Y300">
        <f t="shared" si="33"/>
        <v>4079.2379999999998</v>
      </c>
    </row>
    <row r="301" spans="1:25" x14ac:dyDescent="0.3">
      <c r="A301" t="s">
        <v>577</v>
      </c>
      <c r="B301" s="1">
        <v>45453</v>
      </c>
      <c r="C301" t="s">
        <v>578</v>
      </c>
      <c r="D301" t="s">
        <v>45</v>
      </c>
      <c r="E301" t="s">
        <v>46</v>
      </c>
      <c r="F301" t="s">
        <v>31</v>
      </c>
      <c r="G301" t="s">
        <v>32</v>
      </c>
      <c r="H301" t="s">
        <v>47</v>
      </c>
      <c r="I301">
        <v>3</v>
      </c>
      <c r="J301">
        <v>1713.99</v>
      </c>
      <c r="K301">
        <v>0.2</v>
      </c>
      <c r="L301">
        <v>4113.58</v>
      </c>
      <c r="M301" t="s">
        <v>76</v>
      </c>
      <c r="N301" t="s">
        <v>71</v>
      </c>
      <c r="O301" t="s">
        <v>65</v>
      </c>
      <c r="P301" t="s">
        <v>102</v>
      </c>
      <c r="Q301" t="str">
        <f t="shared" si="28"/>
        <v>Completed</v>
      </c>
      <c r="R301" t="str">
        <f t="shared" si="29"/>
        <v>Store</v>
      </c>
      <c r="S301" t="str">
        <v>Upi</v>
      </c>
      <c r="T301" t="str">
        <v>Electronics</v>
      </c>
      <c r="U301" t="str">
        <f t="shared" si="30"/>
        <v>VALID</v>
      </c>
      <c r="V301" t="str">
        <f t="shared" si="31"/>
        <v>NORMAL</v>
      </c>
      <c r="W301" t="str">
        <f t="shared" si="32"/>
        <v>Valid</v>
      </c>
      <c r="X301">
        <f t="shared" si="34"/>
        <v>5141.97</v>
      </c>
      <c r="Y301">
        <f t="shared" si="33"/>
        <v>4113.576</v>
      </c>
    </row>
    <row r="302" spans="1:25" x14ac:dyDescent="0.3">
      <c r="A302" t="s">
        <v>579</v>
      </c>
      <c r="B302" s="1">
        <v>45764</v>
      </c>
      <c r="C302" t="s">
        <v>157</v>
      </c>
      <c r="D302" t="s">
        <v>89</v>
      </c>
      <c r="E302" t="s">
        <v>90</v>
      </c>
      <c r="F302" t="s">
        <v>20</v>
      </c>
      <c r="G302" t="s">
        <v>21</v>
      </c>
      <c r="H302" t="s">
        <v>22</v>
      </c>
      <c r="I302">
        <v>1</v>
      </c>
      <c r="J302">
        <v>752.66</v>
      </c>
      <c r="K302">
        <v>0.2</v>
      </c>
      <c r="L302">
        <v>602.13</v>
      </c>
      <c r="M302" t="s">
        <v>48</v>
      </c>
      <c r="N302" t="s">
        <v>58</v>
      </c>
      <c r="O302" t="s">
        <v>25</v>
      </c>
      <c r="P302" t="s">
        <v>50</v>
      </c>
      <c r="Q302" t="str">
        <f t="shared" si="28"/>
        <v>Returned</v>
      </c>
      <c r="R302" t="str">
        <f t="shared" si="29"/>
        <v>Marketplace</v>
      </c>
      <c r="S302" t="str">
        <v>Credit Card</v>
      </c>
      <c r="T302" t="str">
        <v>Accessories</v>
      </c>
      <c r="U302" t="str">
        <f t="shared" si="30"/>
        <v>VALID</v>
      </c>
      <c r="V302" t="str">
        <f t="shared" si="31"/>
        <v>NORMAL</v>
      </c>
      <c r="W302" t="str">
        <f t="shared" si="32"/>
        <v>Valid</v>
      </c>
      <c r="X302">
        <f t="shared" si="34"/>
        <v>752.66</v>
      </c>
      <c r="Y302">
        <f t="shared" si="33"/>
        <v>602.12799999999993</v>
      </c>
    </row>
    <row r="303" spans="1:25" x14ac:dyDescent="0.3">
      <c r="A303" t="s">
        <v>580</v>
      </c>
      <c r="B303" s="1">
        <v>45793</v>
      </c>
      <c r="C303" t="s">
        <v>581</v>
      </c>
      <c r="D303" t="s">
        <v>18</v>
      </c>
      <c r="E303" t="s">
        <v>19</v>
      </c>
      <c r="F303" t="s">
        <v>20</v>
      </c>
      <c r="G303" t="s">
        <v>81</v>
      </c>
      <c r="H303" t="s">
        <v>82</v>
      </c>
      <c r="I303">
        <v>1</v>
      </c>
      <c r="J303">
        <v>865.48</v>
      </c>
      <c r="K303">
        <v>0.15</v>
      </c>
      <c r="L303">
        <v>735.66</v>
      </c>
      <c r="M303" t="s">
        <v>76</v>
      </c>
      <c r="N303" t="s">
        <v>24</v>
      </c>
      <c r="O303" t="s">
        <v>65</v>
      </c>
      <c r="P303" t="s">
        <v>116</v>
      </c>
      <c r="Q303" t="str">
        <f t="shared" si="28"/>
        <v>Completed</v>
      </c>
      <c r="R303" t="str">
        <f t="shared" si="29"/>
        <v>Store</v>
      </c>
      <c r="S303" t="str">
        <v>Debit Card</v>
      </c>
      <c r="T303" t="str">
        <v>Accessories</v>
      </c>
      <c r="U303" t="str">
        <f t="shared" si="30"/>
        <v>VALID</v>
      </c>
      <c r="V303" t="str">
        <f t="shared" si="31"/>
        <v>NORMAL</v>
      </c>
      <c r="W303" t="str">
        <f t="shared" si="32"/>
        <v>Valid</v>
      </c>
      <c r="X303">
        <f t="shared" si="34"/>
        <v>865.48</v>
      </c>
      <c r="Y303">
        <f t="shared" si="33"/>
        <v>735.65800000000002</v>
      </c>
    </row>
    <row r="304" spans="1:25" x14ac:dyDescent="0.3">
      <c r="A304" t="s">
        <v>582</v>
      </c>
      <c r="B304" s="1">
        <v>45749</v>
      </c>
      <c r="C304" t="s">
        <v>583</v>
      </c>
      <c r="D304" t="s">
        <v>45</v>
      </c>
      <c r="E304" t="s">
        <v>46</v>
      </c>
      <c r="F304" t="s">
        <v>31</v>
      </c>
      <c r="G304" t="s">
        <v>21</v>
      </c>
      <c r="H304" t="s">
        <v>22</v>
      </c>
      <c r="I304">
        <v>4</v>
      </c>
      <c r="J304">
        <v>1866.18</v>
      </c>
      <c r="K304">
        <v>0.1</v>
      </c>
      <c r="L304">
        <v>6718.25</v>
      </c>
      <c r="M304" t="s">
        <v>48</v>
      </c>
      <c r="N304" t="s">
        <v>24</v>
      </c>
      <c r="O304" t="s">
        <v>65</v>
      </c>
      <c r="P304" t="s">
        <v>26</v>
      </c>
      <c r="Q304" t="str">
        <f t="shared" si="28"/>
        <v>Completed</v>
      </c>
      <c r="R304" t="str">
        <f t="shared" si="29"/>
        <v>Marketplace</v>
      </c>
      <c r="S304" t="str">
        <v>Debit Card</v>
      </c>
      <c r="T304" t="str">
        <v>Electronics</v>
      </c>
      <c r="U304" t="str">
        <f t="shared" si="30"/>
        <v>VALID</v>
      </c>
      <c r="V304" t="str">
        <f t="shared" si="31"/>
        <v>NORMAL</v>
      </c>
      <c r="W304" t="str">
        <f t="shared" si="32"/>
        <v>Valid</v>
      </c>
      <c r="X304">
        <f t="shared" si="34"/>
        <v>7464.72</v>
      </c>
      <c r="Y304">
        <f t="shared" si="33"/>
        <v>6718.2480000000005</v>
      </c>
    </row>
    <row r="305" spans="1:25" x14ac:dyDescent="0.3">
      <c r="A305" t="s">
        <v>584</v>
      </c>
      <c r="B305" s="1">
        <v>45756</v>
      </c>
      <c r="C305" t="s">
        <v>285</v>
      </c>
      <c r="D305" t="s">
        <v>85</v>
      </c>
      <c r="E305" t="s">
        <v>86</v>
      </c>
      <c r="F305" t="s">
        <v>20</v>
      </c>
      <c r="G305" t="s">
        <v>56</v>
      </c>
      <c r="H305" t="s">
        <v>123</v>
      </c>
      <c r="I305">
        <v>5</v>
      </c>
      <c r="J305">
        <v>1867.14</v>
      </c>
      <c r="K305">
        <v>0.2</v>
      </c>
      <c r="L305">
        <v>7468.56</v>
      </c>
      <c r="M305" t="s">
        <v>48</v>
      </c>
      <c r="N305" t="s">
        <v>71</v>
      </c>
      <c r="O305" t="s">
        <v>65</v>
      </c>
      <c r="P305" t="s">
        <v>50</v>
      </c>
      <c r="Q305" t="str">
        <f t="shared" si="28"/>
        <v>Completed</v>
      </c>
      <c r="R305" t="str">
        <f t="shared" si="29"/>
        <v>Marketplace</v>
      </c>
      <c r="S305" t="str">
        <v>Upi</v>
      </c>
      <c r="T305" t="str">
        <v>Accessories</v>
      </c>
      <c r="U305" t="str">
        <f t="shared" si="30"/>
        <v>VALID</v>
      </c>
      <c r="V305" t="str">
        <f t="shared" si="31"/>
        <v>NORMAL</v>
      </c>
      <c r="W305" t="str">
        <f t="shared" si="32"/>
        <v>Valid</v>
      </c>
      <c r="X305">
        <f t="shared" si="34"/>
        <v>9335.7000000000007</v>
      </c>
      <c r="Y305">
        <f t="shared" si="33"/>
        <v>7468.56</v>
      </c>
    </row>
    <row r="306" spans="1:25" x14ac:dyDescent="0.3">
      <c r="A306" t="s">
        <v>585</v>
      </c>
      <c r="B306" s="1">
        <v>45956</v>
      </c>
      <c r="C306" t="s">
        <v>232</v>
      </c>
      <c r="D306" t="s">
        <v>121</v>
      </c>
      <c r="E306" t="s">
        <v>122</v>
      </c>
      <c r="F306" t="s">
        <v>55</v>
      </c>
      <c r="G306" t="s">
        <v>21</v>
      </c>
      <c r="H306" t="s">
        <v>41</v>
      </c>
      <c r="I306">
        <v>5</v>
      </c>
      <c r="J306">
        <v>429.5</v>
      </c>
      <c r="K306">
        <v>0.08</v>
      </c>
      <c r="L306">
        <v>1975.7</v>
      </c>
      <c r="M306" t="s">
        <v>48</v>
      </c>
      <c r="N306" t="s">
        <v>49</v>
      </c>
      <c r="O306" t="s">
        <v>65</v>
      </c>
      <c r="P306" t="s">
        <v>50</v>
      </c>
      <c r="Q306" t="str">
        <f t="shared" si="28"/>
        <v>Completed</v>
      </c>
      <c r="R306" t="str">
        <f t="shared" si="29"/>
        <v>Marketplace</v>
      </c>
      <c r="S306" t="str">
        <v>Net Banking</v>
      </c>
      <c r="T306" t="str">
        <v>Stationery</v>
      </c>
      <c r="U306" t="str">
        <f t="shared" si="30"/>
        <v>VALID</v>
      </c>
      <c r="V306" t="str">
        <f t="shared" si="31"/>
        <v>NORMAL</v>
      </c>
      <c r="W306" t="str">
        <f t="shared" si="32"/>
        <v>Valid</v>
      </c>
      <c r="X306">
        <f t="shared" si="34"/>
        <v>2147.5</v>
      </c>
      <c r="Y306">
        <f t="shared" si="33"/>
        <v>1975.7</v>
      </c>
    </row>
    <row r="307" spans="1:25" x14ac:dyDescent="0.3">
      <c r="A307" t="s">
        <v>586</v>
      </c>
      <c r="B307" s="1">
        <v>46068</v>
      </c>
      <c r="C307" t="s">
        <v>587</v>
      </c>
      <c r="D307" t="s">
        <v>18</v>
      </c>
      <c r="E307" t="s">
        <v>19</v>
      </c>
      <c r="F307" t="s">
        <v>20</v>
      </c>
      <c r="G307" t="s">
        <v>81</v>
      </c>
      <c r="H307" t="s">
        <v>87</v>
      </c>
      <c r="I307">
        <v>3</v>
      </c>
      <c r="J307">
        <v>908.03</v>
      </c>
      <c r="K307">
        <v>0.1</v>
      </c>
      <c r="L307">
        <v>2451.6799999999998</v>
      </c>
      <c r="M307" t="s">
        <v>23</v>
      </c>
      <c r="N307" t="s">
        <v>49</v>
      </c>
      <c r="O307" t="s">
        <v>65</v>
      </c>
      <c r="P307" t="s">
        <v>102</v>
      </c>
      <c r="Q307" t="str">
        <f t="shared" si="28"/>
        <v>Completed</v>
      </c>
      <c r="R307" t="str">
        <f t="shared" si="29"/>
        <v>Online</v>
      </c>
      <c r="S307" t="str">
        <v>Net Banking</v>
      </c>
      <c r="T307" t="str">
        <v>Accessories</v>
      </c>
      <c r="U307" t="str">
        <f t="shared" si="30"/>
        <v>VALID</v>
      </c>
      <c r="V307" t="str">
        <f t="shared" si="31"/>
        <v>NORMAL</v>
      </c>
      <c r="W307" t="str">
        <f t="shared" si="32"/>
        <v>Valid</v>
      </c>
      <c r="X307">
        <f t="shared" si="34"/>
        <v>2724.09</v>
      </c>
      <c r="Y307">
        <f t="shared" si="33"/>
        <v>2451.681</v>
      </c>
    </row>
    <row r="308" spans="1:25" x14ac:dyDescent="0.3">
      <c r="A308" t="s">
        <v>588</v>
      </c>
      <c r="B308" s="1">
        <v>45786</v>
      </c>
      <c r="C308" t="s">
        <v>379</v>
      </c>
      <c r="D308" t="s">
        <v>45</v>
      </c>
      <c r="E308" t="s">
        <v>46</v>
      </c>
      <c r="F308" t="s">
        <v>31</v>
      </c>
      <c r="G308" t="s">
        <v>56</v>
      </c>
      <c r="H308" t="s">
        <v>123</v>
      </c>
      <c r="I308">
        <v>1</v>
      </c>
      <c r="J308">
        <v>1753.84</v>
      </c>
      <c r="K308">
        <v>0.1</v>
      </c>
      <c r="L308">
        <v>1578.46</v>
      </c>
      <c r="M308" t="s">
        <v>23</v>
      </c>
      <c r="N308" t="s">
        <v>24</v>
      </c>
      <c r="O308" t="s">
        <v>65</v>
      </c>
      <c r="P308" t="s">
        <v>111</v>
      </c>
      <c r="Q308" t="str">
        <f t="shared" si="28"/>
        <v>Completed</v>
      </c>
      <c r="R308" t="str">
        <f t="shared" si="29"/>
        <v>Online</v>
      </c>
      <c r="S308" t="str">
        <v>Debit Card</v>
      </c>
      <c r="T308" t="str">
        <v>Electronics</v>
      </c>
      <c r="U308" t="str">
        <f t="shared" si="30"/>
        <v>VALID</v>
      </c>
      <c r="V308" t="str">
        <f t="shared" si="31"/>
        <v>NORMAL</v>
      </c>
      <c r="W308" t="str">
        <f t="shared" si="32"/>
        <v>Valid</v>
      </c>
      <c r="X308">
        <f t="shared" si="34"/>
        <v>1753.84</v>
      </c>
      <c r="Y308">
        <f t="shared" si="33"/>
        <v>1578.4559999999999</v>
      </c>
    </row>
    <row r="309" spans="1:25" x14ac:dyDescent="0.3">
      <c r="A309" t="s">
        <v>589</v>
      </c>
      <c r="B309" s="1">
        <v>45979</v>
      </c>
      <c r="C309" t="s">
        <v>232</v>
      </c>
      <c r="D309" t="s">
        <v>45</v>
      </c>
      <c r="E309" t="s">
        <v>46</v>
      </c>
      <c r="F309" t="s">
        <v>31</v>
      </c>
      <c r="G309" t="s">
        <v>56</v>
      </c>
      <c r="H309" t="s">
        <v>101</v>
      </c>
      <c r="I309">
        <v>3</v>
      </c>
      <c r="J309">
        <v>1899.56</v>
      </c>
      <c r="K309">
        <v>0.05</v>
      </c>
      <c r="L309">
        <v>5413.75</v>
      </c>
      <c r="M309" t="s">
        <v>23</v>
      </c>
      <c r="N309" t="s">
        <v>34</v>
      </c>
      <c r="O309" t="s">
        <v>65</v>
      </c>
      <c r="P309" t="s">
        <v>59</v>
      </c>
      <c r="Q309" t="str">
        <f t="shared" si="28"/>
        <v>Completed</v>
      </c>
      <c r="R309" t="str">
        <f t="shared" si="29"/>
        <v>Online</v>
      </c>
      <c r="S309" t="str">
        <v>Cash On Delivery</v>
      </c>
      <c r="T309" t="str">
        <v>Electronics</v>
      </c>
      <c r="U309" t="str">
        <f t="shared" si="30"/>
        <v>VALID</v>
      </c>
      <c r="V309" t="str">
        <f t="shared" si="31"/>
        <v>NORMAL</v>
      </c>
      <c r="W309" t="str">
        <f t="shared" si="32"/>
        <v>Valid</v>
      </c>
      <c r="X309">
        <f t="shared" si="34"/>
        <v>5698.68</v>
      </c>
      <c r="Y309">
        <f t="shared" si="33"/>
        <v>5413.7460000000001</v>
      </c>
    </row>
    <row r="310" spans="1:25" x14ac:dyDescent="0.3">
      <c r="A310" t="s">
        <v>590</v>
      </c>
      <c r="B310" s="1">
        <v>46022</v>
      </c>
      <c r="C310" t="s">
        <v>234</v>
      </c>
      <c r="D310" t="s">
        <v>89</v>
      </c>
      <c r="E310" t="s">
        <v>90</v>
      </c>
      <c r="F310" t="s">
        <v>20</v>
      </c>
      <c r="G310" t="s">
        <v>56</v>
      </c>
      <c r="H310" t="s">
        <v>101</v>
      </c>
      <c r="I310">
        <v>4</v>
      </c>
      <c r="J310">
        <v>743.13</v>
      </c>
      <c r="K310">
        <v>0.03</v>
      </c>
      <c r="L310">
        <v>2883.34</v>
      </c>
      <c r="M310" t="s">
        <v>76</v>
      </c>
      <c r="O310" t="s">
        <v>65</v>
      </c>
      <c r="P310" t="s">
        <v>42</v>
      </c>
      <c r="Q310" t="str">
        <f t="shared" si="28"/>
        <v>Completed</v>
      </c>
      <c r="R310" t="str">
        <f t="shared" si="29"/>
        <v>Store</v>
      </c>
      <c r="S310" t="str">
        <v/>
      </c>
      <c r="T310" t="str">
        <v>Accessories</v>
      </c>
      <c r="U310" t="str">
        <f t="shared" si="30"/>
        <v>VALID</v>
      </c>
      <c r="V310" t="str">
        <f t="shared" si="31"/>
        <v>NORMAL</v>
      </c>
      <c r="W310" t="str">
        <f t="shared" si="32"/>
        <v>Valid</v>
      </c>
      <c r="X310">
        <f t="shared" si="34"/>
        <v>2972.52</v>
      </c>
      <c r="Y310">
        <f t="shared" si="33"/>
        <v>2883.3444</v>
      </c>
    </row>
    <row r="311" spans="1:25" x14ac:dyDescent="0.3">
      <c r="A311" t="s">
        <v>591</v>
      </c>
      <c r="B311" s="1">
        <v>45431</v>
      </c>
      <c r="C311" t="s">
        <v>309</v>
      </c>
      <c r="D311" t="s">
        <v>45</v>
      </c>
      <c r="E311" t="s">
        <v>46</v>
      </c>
      <c r="F311" t="s">
        <v>31</v>
      </c>
      <c r="G311" t="s">
        <v>21</v>
      </c>
      <c r="H311" t="s">
        <v>22</v>
      </c>
      <c r="I311">
        <v>1</v>
      </c>
      <c r="J311">
        <v>1738.54</v>
      </c>
      <c r="K311">
        <v>0</v>
      </c>
      <c r="L311">
        <v>1738.54</v>
      </c>
      <c r="M311" t="s">
        <v>592</v>
      </c>
      <c r="N311" t="s">
        <v>24</v>
      </c>
      <c r="O311" t="s">
        <v>35</v>
      </c>
      <c r="P311" t="s">
        <v>59</v>
      </c>
      <c r="Q311" t="str">
        <f t="shared" si="28"/>
        <v>Cancelled</v>
      </c>
      <c r="R311" t="str">
        <f t="shared" si="29"/>
        <v>Online</v>
      </c>
      <c r="S311" t="str">
        <v>Debit Card</v>
      </c>
      <c r="T311" t="str">
        <v>Electronics</v>
      </c>
      <c r="U311" t="str">
        <f t="shared" si="30"/>
        <v>VALID</v>
      </c>
      <c r="V311" t="str">
        <f t="shared" si="31"/>
        <v>NORMAL</v>
      </c>
      <c r="W311" t="str">
        <f t="shared" si="32"/>
        <v>Valid</v>
      </c>
      <c r="X311">
        <f t="shared" si="34"/>
        <v>1738.54</v>
      </c>
      <c r="Y311">
        <f t="shared" si="33"/>
        <v>1738.54</v>
      </c>
    </row>
    <row r="312" spans="1:25" x14ac:dyDescent="0.3">
      <c r="A312" t="s">
        <v>593</v>
      </c>
      <c r="B312" s="1">
        <v>45786</v>
      </c>
      <c r="C312" t="s">
        <v>143</v>
      </c>
      <c r="D312" t="s">
        <v>53</v>
      </c>
      <c r="E312" t="s">
        <v>54</v>
      </c>
      <c r="F312" t="s">
        <v>55</v>
      </c>
      <c r="G312" t="s">
        <v>56</v>
      </c>
      <c r="H312" t="s">
        <v>123</v>
      </c>
      <c r="I312">
        <v>2</v>
      </c>
      <c r="J312">
        <v>224.03</v>
      </c>
      <c r="K312">
        <v>0.05</v>
      </c>
      <c r="L312">
        <v>425.66</v>
      </c>
      <c r="M312" t="s">
        <v>76</v>
      </c>
      <c r="N312" t="s">
        <v>58</v>
      </c>
      <c r="O312" t="s">
        <v>65</v>
      </c>
      <c r="P312" t="s">
        <v>111</v>
      </c>
      <c r="Q312" t="str">
        <f t="shared" si="28"/>
        <v>Completed</v>
      </c>
      <c r="R312" t="str">
        <f t="shared" si="29"/>
        <v>Store</v>
      </c>
      <c r="S312" t="str">
        <v>Credit Card</v>
      </c>
      <c r="T312" t="str">
        <v>Stationery</v>
      </c>
      <c r="U312" t="str">
        <f t="shared" si="30"/>
        <v>VALID</v>
      </c>
      <c r="V312" t="str">
        <f t="shared" si="31"/>
        <v>NORMAL</v>
      </c>
      <c r="W312" t="str">
        <f t="shared" si="32"/>
        <v>Valid</v>
      </c>
      <c r="X312">
        <f t="shared" si="34"/>
        <v>448.06</v>
      </c>
      <c r="Y312">
        <f t="shared" si="33"/>
        <v>425.65699999999998</v>
      </c>
    </row>
    <row r="313" spans="1:25" x14ac:dyDescent="0.3">
      <c r="A313" t="s">
        <v>594</v>
      </c>
      <c r="B313" s="1">
        <v>45391</v>
      </c>
      <c r="C313" t="s">
        <v>397</v>
      </c>
      <c r="D313" t="s">
        <v>121</v>
      </c>
      <c r="E313" t="s">
        <v>122</v>
      </c>
      <c r="F313" t="s">
        <v>55</v>
      </c>
      <c r="G313" t="s">
        <v>81</v>
      </c>
      <c r="H313" t="s">
        <v>87</v>
      </c>
      <c r="I313">
        <v>3</v>
      </c>
      <c r="J313">
        <v>446.87</v>
      </c>
      <c r="K313">
        <v>0.03</v>
      </c>
      <c r="L313">
        <v>1300.3900000000001</v>
      </c>
      <c r="M313" t="s">
        <v>48</v>
      </c>
      <c r="N313" t="s">
        <v>34</v>
      </c>
      <c r="O313" t="s">
        <v>65</v>
      </c>
      <c r="P313" t="s">
        <v>59</v>
      </c>
      <c r="Q313" t="str">
        <f t="shared" si="28"/>
        <v>Completed</v>
      </c>
      <c r="R313" t="str">
        <f t="shared" si="29"/>
        <v>Marketplace</v>
      </c>
      <c r="S313" t="str">
        <v>Cash On Delivery</v>
      </c>
      <c r="T313" t="str">
        <v>Stationery</v>
      </c>
      <c r="U313" t="str">
        <f t="shared" si="30"/>
        <v>VALID</v>
      </c>
      <c r="V313" t="str">
        <f t="shared" si="31"/>
        <v>NORMAL</v>
      </c>
      <c r="W313" t="str">
        <f t="shared" si="32"/>
        <v>Valid</v>
      </c>
      <c r="X313">
        <f t="shared" si="34"/>
        <v>1340.6100000000001</v>
      </c>
      <c r="Y313">
        <f t="shared" si="33"/>
        <v>1300.3917000000001</v>
      </c>
    </row>
    <row r="314" spans="1:25" x14ac:dyDescent="0.3">
      <c r="A314" t="s">
        <v>595</v>
      </c>
      <c r="B314" s="1">
        <v>46064</v>
      </c>
      <c r="C314" t="s">
        <v>304</v>
      </c>
      <c r="D314" t="s">
        <v>53</v>
      </c>
      <c r="E314" t="s">
        <v>54</v>
      </c>
      <c r="F314" t="s">
        <v>55</v>
      </c>
      <c r="G314" t="s">
        <v>81</v>
      </c>
      <c r="H314" t="s">
        <v>135</v>
      </c>
      <c r="I314">
        <v>3</v>
      </c>
      <c r="J314">
        <v>220.53</v>
      </c>
      <c r="K314">
        <v>0.03</v>
      </c>
      <c r="L314">
        <v>641.74</v>
      </c>
      <c r="M314" t="s">
        <v>76</v>
      </c>
      <c r="N314" t="s">
        <v>34</v>
      </c>
      <c r="O314" t="s">
        <v>65</v>
      </c>
      <c r="P314" t="s">
        <v>26</v>
      </c>
      <c r="Q314" t="str">
        <f t="shared" si="28"/>
        <v>Completed</v>
      </c>
      <c r="R314" t="str">
        <f t="shared" si="29"/>
        <v>Store</v>
      </c>
      <c r="S314" t="str">
        <v>Cash On Delivery</v>
      </c>
      <c r="T314" t="str">
        <v>Stationery</v>
      </c>
      <c r="U314" t="str">
        <f t="shared" si="30"/>
        <v>VALID</v>
      </c>
      <c r="V314" t="str">
        <f t="shared" si="31"/>
        <v>NORMAL</v>
      </c>
      <c r="W314" t="str">
        <f t="shared" si="32"/>
        <v>Valid</v>
      </c>
      <c r="X314">
        <f t="shared" si="34"/>
        <v>661.59</v>
      </c>
      <c r="Y314">
        <f t="shared" si="33"/>
        <v>641.7423</v>
      </c>
    </row>
    <row r="315" spans="1:25" x14ac:dyDescent="0.3">
      <c r="A315" t="s">
        <v>596</v>
      </c>
      <c r="B315" s="1">
        <v>45383</v>
      </c>
      <c r="C315" t="s">
        <v>597</v>
      </c>
      <c r="D315" t="s">
        <v>96</v>
      </c>
      <c r="E315" t="s">
        <v>97</v>
      </c>
      <c r="F315" t="s">
        <v>31</v>
      </c>
      <c r="G315" t="s">
        <v>32</v>
      </c>
      <c r="H315" t="s">
        <v>75</v>
      </c>
      <c r="I315">
        <v>5</v>
      </c>
      <c r="J315">
        <v>1108.28</v>
      </c>
      <c r="K315">
        <v>0.2</v>
      </c>
      <c r="L315">
        <v>4433.12</v>
      </c>
      <c r="M315" t="s">
        <v>23</v>
      </c>
      <c r="N315" t="s">
        <v>49</v>
      </c>
      <c r="O315" t="s">
        <v>25</v>
      </c>
      <c r="P315" t="s">
        <v>42</v>
      </c>
      <c r="Q315" t="str">
        <f t="shared" si="28"/>
        <v>Returned</v>
      </c>
      <c r="R315" t="str">
        <f t="shared" si="29"/>
        <v>Online</v>
      </c>
      <c r="S315" t="str">
        <v>Net Banking</v>
      </c>
      <c r="T315" t="str">
        <v>Electronics</v>
      </c>
      <c r="U315" t="str">
        <f t="shared" si="30"/>
        <v>VALID</v>
      </c>
      <c r="V315" t="str">
        <f t="shared" si="31"/>
        <v>NORMAL</v>
      </c>
      <c r="W315" t="str">
        <f t="shared" si="32"/>
        <v>Valid</v>
      </c>
      <c r="X315">
        <f t="shared" si="34"/>
        <v>5541.4</v>
      </c>
      <c r="Y315">
        <f t="shared" si="33"/>
        <v>4433.12</v>
      </c>
    </row>
    <row r="316" spans="1:25" x14ac:dyDescent="0.3">
      <c r="A316" t="s">
        <v>598</v>
      </c>
      <c r="B316" s="1">
        <v>45993</v>
      </c>
      <c r="C316" t="s">
        <v>599</v>
      </c>
      <c r="D316" t="s">
        <v>18</v>
      </c>
      <c r="E316" t="s">
        <v>19</v>
      </c>
      <c r="F316" t="s">
        <v>20</v>
      </c>
      <c r="G316" t="s">
        <v>21</v>
      </c>
      <c r="H316" t="s">
        <v>126</v>
      </c>
      <c r="I316">
        <v>4</v>
      </c>
      <c r="J316">
        <v>915.42</v>
      </c>
      <c r="K316">
        <v>0.03</v>
      </c>
      <c r="L316">
        <v>3551.83</v>
      </c>
      <c r="M316" t="s">
        <v>23</v>
      </c>
      <c r="N316" t="s">
        <v>58</v>
      </c>
      <c r="O316" t="s">
        <v>65</v>
      </c>
      <c r="P316" t="s">
        <v>102</v>
      </c>
      <c r="Q316" t="str">
        <f t="shared" si="28"/>
        <v>Completed</v>
      </c>
      <c r="R316" t="str">
        <f t="shared" si="29"/>
        <v>Online</v>
      </c>
      <c r="S316" t="str">
        <v>Credit Card</v>
      </c>
      <c r="T316" t="str">
        <v>Accessories</v>
      </c>
      <c r="U316" t="str">
        <f t="shared" si="30"/>
        <v>VALID</v>
      </c>
      <c r="V316" t="str">
        <f t="shared" si="31"/>
        <v>NORMAL</v>
      </c>
      <c r="W316" t="str">
        <f t="shared" si="32"/>
        <v>Valid</v>
      </c>
      <c r="X316">
        <f t="shared" si="34"/>
        <v>3661.68</v>
      </c>
      <c r="Y316">
        <f t="shared" si="33"/>
        <v>3551.8296</v>
      </c>
    </row>
    <row r="317" spans="1:25" x14ac:dyDescent="0.3">
      <c r="A317" t="s">
        <v>600</v>
      </c>
      <c r="B317" s="1">
        <v>45790</v>
      </c>
      <c r="C317" t="s">
        <v>504</v>
      </c>
      <c r="D317" t="s">
        <v>85</v>
      </c>
      <c r="E317" t="s">
        <v>86</v>
      </c>
      <c r="F317" t="s">
        <v>20</v>
      </c>
      <c r="G317" t="s">
        <v>81</v>
      </c>
      <c r="H317" t="s">
        <v>98</v>
      </c>
      <c r="I317">
        <v>4</v>
      </c>
      <c r="J317">
        <v>1940.44</v>
      </c>
      <c r="K317">
        <v>0.05</v>
      </c>
      <c r="L317">
        <v>7373.67</v>
      </c>
      <c r="M317" t="s">
        <v>23</v>
      </c>
      <c r="N317" t="s">
        <v>24</v>
      </c>
      <c r="O317" t="s">
        <v>65</v>
      </c>
      <c r="P317" t="s">
        <v>111</v>
      </c>
      <c r="Q317" t="str">
        <f t="shared" si="28"/>
        <v>Completed</v>
      </c>
      <c r="R317" t="str">
        <f t="shared" si="29"/>
        <v>Online</v>
      </c>
      <c r="S317" t="str">
        <v>Debit Card</v>
      </c>
      <c r="T317" t="str">
        <v>Accessories</v>
      </c>
      <c r="U317" t="str">
        <f t="shared" si="30"/>
        <v>VALID</v>
      </c>
      <c r="V317" t="str">
        <f t="shared" si="31"/>
        <v>NORMAL</v>
      </c>
      <c r="W317" t="str">
        <f t="shared" si="32"/>
        <v>Valid</v>
      </c>
      <c r="X317">
        <f t="shared" si="34"/>
        <v>7761.76</v>
      </c>
      <c r="Y317">
        <f t="shared" si="33"/>
        <v>7373.6720000000005</v>
      </c>
    </row>
    <row r="318" spans="1:25" x14ac:dyDescent="0.3">
      <c r="A318" t="s">
        <v>601</v>
      </c>
      <c r="B318" s="1">
        <v>45759</v>
      </c>
      <c r="C318" t="s">
        <v>597</v>
      </c>
      <c r="D318" t="s">
        <v>131</v>
      </c>
      <c r="E318" t="s">
        <v>132</v>
      </c>
      <c r="F318" t="s">
        <v>40</v>
      </c>
      <c r="G318" t="s">
        <v>81</v>
      </c>
      <c r="H318" t="s">
        <v>98</v>
      </c>
      <c r="I318">
        <v>3</v>
      </c>
      <c r="J318">
        <v>9461.81</v>
      </c>
      <c r="K318">
        <v>0.03</v>
      </c>
      <c r="L318">
        <v>27533.87</v>
      </c>
      <c r="M318" t="s">
        <v>23</v>
      </c>
      <c r="N318" t="s">
        <v>58</v>
      </c>
      <c r="O318" t="s">
        <v>65</v>
      </c>
      <c r="P318" t="s">
        <v>26</v>
      </c>
      <c r="Q318" t="str">
        <f t="shared" si="28"/>
        <v>Completed</v>
      </c>
      <c r="R318" t="str">
        <f t="shared" si="29"/>
        <v>Online</v>
      </c>
      <c r="S318" t="str">
        <v>Credit Card</v>
      </c>
      <c r="T318" t="str">
        <v>Furniture</v>
      </c>
      <c r="U318" t="str">
        <f t="shared" si="30"/>
        <v>VALID</v>
      </c>
      <c r="V318" t="str">
        <f t="shared" si="31"/>
        <v>NORMAL</v>
      </c>
      <c r="W318" t="str">
        <f t="shared" si="32"/>
        <v>Valid</v>
      </c>
      <c r="X318">
        <f t="shared" si="34"/>
        <v>28385.43</v>
      </c>
      <c r="Y318">
        <f t="shared" si="33"/>
        <v>27533.867099999999</v>
      </c>
    </row>
    <row r="319" spans="1:25" x14ac:dyDescent="0.3">
      <c r="A319" t="s">
        <v>602</v>
      </c>
      <c r="B319" s="1">
        <v>46154</v>
      </c>
      <c r="C319" t="s">
        <v>110</v>
      </c>
      <c r="D319" t="s">
        <v>89</v>
      </c>
      <c r="E319" t="s">
        <v>90</v>
      </c>
      <c r="F319" t="s">
        <v>20</v>
      </c>
      <c r="G319" t="s">
        <v>56</v>
      </c>
      <c r="H319" t="s">
        <v>123</v>
      </c>
      <c r="I319">
        <v>4</v>
      </c>
      <c r="J319">
        <v>654.16</v>
      </c>
      <c r="K319">
        <v>0.08</v>
      </c>
      <c r="L319">
        <v>2407.31</v>
      </c>
      <c r="M319" t="s">
        <v>23</v>
      </c>
      <c r="N319" t="s">
        <v>34</v>
      </c>
      <c r="O319" t="s">
        <v>35</v>
      </c>
      <c r="P319" t="s">
        <v>116</v>
      </c>
      <c r="Q319" t="str">
        <f t="shared" si="28"/>
        <v>Cancelled</v>
      </c>
      <c r="R319" t="str">
        <f t="shared" si="29"/>
        <v>Online</v>
      </c>
      <c r="S319" t="str">
        <v>Cash On Delivery</v>
      </c>
      <c r="T319" t="str">
        <v>Accessories</v>
      </c>
      <c r="U319" t="str">
        <f t="shared" si="30"/>
        <v>VALID</v>
      </c>
      <c r="V319" t="str">
        <f t="shared" si="31"/>
        <v>NORMAL</v>
      </c>
      <c r="W319" t="str">
        <f t="shared" si="32"/>
        <v>Valid</v>
      </c>
      <c r="X319">
        <f t="shared" si="34"/>
        <v>2616.64</v>
      </c>
      <c r="Y319">
        <f t="shared" si="33"/>
        <v>2407.3087999999998</v>
      </c>
    </row>
    <row r="320" spans="1:25" x14ac:dyDescent="0.3">
      <c r="A320" t="s">
        <v>603</v>
      </c>
      <c r="B320" s="1">
        <v>46192</v>
      </c>
      <c r="C320" t="s">
        <v>264</v>
      </c>
      <c r="D320" t="s">
        <v>89</v>
      </c>
      <c r="E320" t="s">
        <v>90</v>
      </c>
      <c r="F320" t="s">
        <v>20</v>
      </c>
      <c r="G320" t="s">
        <v>32</v>
      </c>
      <c r="H320" t="s">
        <v>68</v>
      </c>
      <c r="I320">
        <v>2</v>
      </c>
      <c r="J320">
        <v>740.27</v>
      </c>
      <c r="K320">
        <v>0.2</v>
      </c>
      <c r="L320">
        <v>1184.43</v>
      </c>
      <c r="M320" t="s">
        <v>76</v>
      </c>
      <c r="N320" t="s">
        <v>71</v>
      </c>
      <c r="O320" t="s">
        <v>65</v>
      </c>
      <c r="P320" t="s">
        <v>59</v>
      </c>
      <c r="Q320" t="str">
        <f t="shared" si="28"/>
        <v>Completed</v>
      </c>
      <c r="R320" t="str">
        <f t="shared" si="29"/>
        <v>Store</v>
      </c>
      <c r="S320" t="str">
        <v>Upi</v>
      </c>
      <c r="T320" t="str">
        <v>Accessories</v>
      </c>
      <c r="U320" t="str">
        <f t="shared" si="30"/>
        <v>VALID</v>
      </c>
      <c r="V320" t="str">
        <f t="shared" si="31"/>
        <v>NORMAL</v>
      </c>
      <c r="W320" t="str">
        <f t="shared" si="32"/>
        <v>Valid</v>
      </c>
      <c r="X320">
        <f t="shared" si="34"/>
        <v>1480.54</v>
      </c>
      <c r="Y320">
        <f t="shared" si="33"/>
        <v>1184.432</v>
      </c>
    </row>
    <row r="321" spans="1:25" x14ac:dyDescent="0.3">
      <c r="A321" t="s">
        <v>604</v>
      </c>
      <c r="B321" s="1">
        <v>46072</v>
      </c>
      <c r="C321" t="s">
        <v>493</v>
      </c>
      <c r="D321" t="s">
        <v>38</v>
      </c>
      <c r="E321" t="s">
        <v>39</v>
      </c>
      <c r="F321" t="s">
        <v>40</v>
      </c>
      <c r="G321" t="s">
        <v>56</v>
      </c>
      <c r="H321" t="s">
        <v>64</v>
      </c>
      <c r="I321">
        <v>2</v>
      </c>
      <c r="J321">
        <v>1721.99</v>
      </c>
      <c r="K321">
        <v>0.08</v>
      </c>
      <c r="L321">
        <v>3168.46</v>
      </c>
      <c r="M321" t="s">
        <v>48</v>
      </c>
      <c r="N321" t="s">
        <v>58</v>
      </c>
      <c r="O321" t="s">
        <v>65</v>
      </c>
      <c r="P321" t="s">
        <v>72</v>
      </c>
      <c r="Q321" t="str">
        <f t="shared" si="28"/>
        <v>Completed</v>
      </c>
      <c r="R321" t="str">
        <f t="shared" si="29"/>
        <v>Marketplace</v>
      </c>
      <c r="S321" t="str">
        <v>Credit Card</v>
      </c>
      <c r="T321" t="str">
        <v>Furniture</v>
      </c>
      <c r="U321" t="str">
        <f t="shared" si="30"/>
        <v>VALID</v>
      </c>
      <c r="V321" t="str">
        <f t="shared" si="31"/>
        <v>NORMAL</v>
      </c>
      <c r="W321" t="str">
        <f t="shared" si="32"/>
        <v>Valid</v>
      </c>
      <c r="X321">
        <f t="shared" si="34"/>
        <v>3443.98</v>
      </c>
      <c r="Y321">
        <f t="shared" si="33"/>
        <v>3168.4616000000001</v>
      </c>
    </row>
    <row r="322" spans="1:25" x14ac:dyDescent="0.3">
      <c r="A322" t="s">
        <v>605</v>
      </c>
      <c r="B322" s="1">
        <v>45659</v>
      </c>
      <c r="C322" t="s">
        <v>208</v>
      </c>
      <c r="D322" t="s">
        <v>105</v>
      </c>
      <c r="E322" t="s">
        <v>106</v>
      </c>
      <c r="F322" t="s">
        <v>40</v>
      </c>
      <c r="G322" t="s">
        <v>21</v>
      </c>
      <c r="H322" t="s">
        <v>126</v>
      </c>
      <c r="I322">
        <v>2</v>
      </c>
      <c r="J322">
        <v>6832.88</v>
      </c>
      <c r="K322">
        <v>0.15</v>
      </c>
      <c r="L322">
        <v>11615.9</v>
      </c>
      <c r="M322" t="s">
        <v>48</v>
      </c>
      <c r="N322" t="s">
        <v>58</v>
      </c>
      <c r="O322" t="s">
        <v>65</v>
      </c>
      <c r="P322" t="s">
        <v>116</v>
      </c>
      <c r="Q322" t="str">
        <f t="shared" si="28"/>
        <v>Completed</v>
      </c>
      <c r="R322" t="str">
        <f t="shared" si="29"/>
        <v>Marketplace</v>
      </c>
      <c r="S322" t="str">
        <v>Credit Card</v>
      </c>
      <c r="T322" t="str">
        <v>Furniture</v>
      </c>
      <c r="U322" t="str">
        <f t="shared" si="30"/>
        <v>VALID</v>
      </c>
      <c r="V322" t="str">
        <f t="shared" si="31"/>
        <v>NORMAL</v>
      </c>
      <c r="W322" t="str">
        <f t="shared" si="32"/>
        <v>Valid</v>
      </c>
      <c r="X322">
        <f t="shared" si="34"/>
        <v>13665.76</v>
      </c>
      <c r="Y322">
        <f t="shared" si="33"/>
        <v>11615.896000000001</v>
      </c>
    </row>
    <row r="323" spans="1:25" x14ac:dyDescent="0.3">
      <c r="A323" t="s">
        <v>606</v>
      </c>
      <c r="B323" s="1">
        <v>45615</v>
      </c>
      <c r="C323" t="s">
        <v>607</v>
      </c>
      <c r="D323" t="s">
        <v>121</v>
      </c>
      <c r="E323" t="s">
        <v>122</v>
      </c>
      <c r="F323" t="s">
        <v>55</v>
      </c>
      <c r="G323" t="s">
        <v>56</v>
      </c>
      <c r="H323" t="s">
        <v>123</v>
      </c>
      <c r="I323">
        <v>2</v>
      </c>
      <c r="J323">
        <v>447.59</v>
      </c>
      <c r="K323">
        <v>0.15</v>
      </c>
      <c r="L323">
        <v>760.9</v>
      </c>
      <c r="M323" t="s">
        <v>23</v>
      </c>
      <c r="N323" t="s">
        <v>34</v>
      </c>
      <c r="O323" t="s">
        <v>65</v>
      </c>
      <c r="P323" t="s">
        <v>116</v>
      </c>
      <c r="Q323" t="str">
        <f t="shared" ref="Q323:Q386" si="35">PROPER(O323)</f>
        <v>Completed</v>
      </c>
      <c r="R323" t="str">
        <f t="shared" ref="R323:R386" si="36">PROPER(M323)</f>
        <v>Online</v>
      </c>
      <c r="S323" t="str">
        <v>Cash On Delivery</v>
      </c>
      <c r="T323" t="str">
        <v>Stationery</v>
      </c>
      <c r="U323" t="str">
        <f t="shared" ref="U323:U386" si="37">IF(I323&lt;=0,"INVALID","VALID")</f>
        <v>VALID</v>
      </c>
      <c r="V323" t="str">
        <f t="shared" ref="V323:V386" si="38">IF(I323&gt;100,"REVIEW","NORMAL")</f>
        <v>NORMAL</v>
      </c>
      <c r="W323" t="str">
        <f t="shared" ref="W323:W386" si="39">IF(OR(K323&lt;0,K323&gt;1),"Invalid","Valid")</f>
        <v>Valid</v>
      </c>
      <c r="X323">
        <f t="shared" si="34"/>
        <v>895.18</v>
      </c>
      <c r="Y323">
        <f t="shared" ref="Y323:Y386" si="40">I323*J323-(I323*J323*K323)</f>
        <v>760.90300000000002</v>
      </c>
    </row>
    <row r="324" spans="1:25" x14ac:dyDescent="0.3">
      <c r="A324" t="s">
        <v>608</v>
      </c>
      <c r="B324" s="1">
        <v>45534</v>
      </c>
      <c r="C324" t="s">
        <v>329</v>
      </c>
      <c r="D324" t="s">
        <v>79</v>
      </c>
      <c r="E324" t="s">
        <v>80</v>
      </c>
      <c r="F324" t="s">
        <v>31</v>
      </c>
      <c r="G324" t="s">
        <v>81</v>
      </c>
      <c r="H324" t="s">
        <v>82</v>
      </c>
      <c r="I324">
        <v>5</v>
      </c>
      <c r="J324">
        <v>11577.96</v>
      </c>
      <c r="K324">
        <v>0.08</v>
      </c>
      <c r="L324">
        <v>53258.62</v>
      </c>
      <c r="M324" t="s">
        <v>76</v>
      </c>
      <c r="N324" t="s">
        <v>24</v>
      </c>
      <c r="O324" t="s">
        <v>65</v>
      </c>
      <c r="P324" t="s">
        <v>102</v>
      </c>
      <c r="Q324" t="str">
        <f t="shared" si="35"/>
        <v>Completed</v>
      </c>
      <c r="R324" t="str">
        <f t="shared" si="36"/>
        <v>Store</v>
      </c>
      <c r="S324" t="str">
        <v>Debit Card</v>
      </c>
      <c r="T324" t="str">
        <v>Electronics</v>
      </c>
      <c r="U324" t="str">
        <f t="shared" si="37"/>
        <v>VALID</v>
      </c>
      <c r="V324" t="str">
        <f t="shared" si="38"/>
        <v>NORMAL</v>
      </c>
      <c r="W324" t="str">
        <f t="shared" si="39"/>
        <v>Valid</v>
      </c>
      <c r="X324">
        <f t="shared" ref="X324:X387" si="41">I324*J324</f>
        <v>57889.799999999996</v>
      </c>
      <c r="Y324">
        <f t="shared" si="40"/>
        <v>53258.615999999995</v>
      </c>
    </row>
    <row r="325" spans="1:25" x14ac:dyDescent="0.3">
      <c r="A325" t="s">
        <v>609</v>
      </c>
      <c r="B325" s="1">
        <v>45509</v>
      </c>
      <c r="C325" t="s">
        <v>562</v>
      </c>
      <c r="D325" t="s">
        <v>29</v>
      </c>
      <c r="E325" t="s">
        <v>30</v>
      </c>
      <c r="F325" t="s">
        <v>31</v>
      </c>
      <c r="G325" t="s">
        <v>21</v>
      </c>
      <c r="H325" t="s">
        <v>41</v>
      </c>
      <c r="J325">
        <v>3357.16</v>
      </c>
      <c r="K325">
        <v>0</v>
      </c>
      <c r="L325">
        <v>6714.32</v>
      </c>
      <c r="M325" t="s">
        <v>23</v>
      </c>
      <c r="N325" t="s">
        <v>49</v>
      </c>
      <c r="O325" t="s">
        <v>65</v>
      </c>
      <c r="P325" t="s">
        <v>26</v>
      </c>
      <c r="Q325" t="str">
        <f t="shared" si="35"/>
        <v>Completed</v>
      </c>
      <c r="R325" t="str">
        <f t="shared" si="36"/>
        <v>Online</v>
      </c>
      <c r="S325" t="str">
        <v>Net Banking</v>
      </c>
      <c r="T325" t="str">
        <v>Electronics</v>
      </c>
      <c r="U325" t="str">
        <f t="shared" si="37"/>
        <v>INVALID</v>
      </c>
      <c r="V325" t="str">
        <f t="shared" si="38"/>
        <v>NORMAL</v>
      </c>
      <c r="W325" t="str">
        <f t="shared" si="39"/>
        <v>Valid</v>
      </c>
      <c r="X325">
        <f t="shared" si="41"/>
        <v>0</v>
      </c>
      <c r="Y325">
        <f t="shared" si="40"/>
        <v>0</v>
      </c>
    </row>
    <row r="326" spans="1:25" x14ac:dyDescent="0.3">
      <c r="A326" t="s">
        <v>610</v>
      </c>
      <c r="B326" s="1">
        <v>45671</v>
      </c>
      <c r="C326" t="s">
        <v>257</v>
      </c>
      <c r="D326" t="s">
        <v>29</v>
      </c>
      <c r="E326" t="s">
        <v>30</v>
      </c>
      <c r="F326" t="s">
        <v>31</v>
      </c>
      <c r="G326" t="s">
        <v>21</v>
      </c>
      <c r="I326">
        <v>5</v>
      </c>
      <c r="J326">
        <v>3027.38</v>
      </c>
      <c r="K326">
        <v>0.08</v>
      </c>
      <c r="L326">
        <v>13925.95</v>
      </c>
      <c r="M326" t="s">
        <v>76</v>
      </c>
      <c r="N326" t="s">
        <v>34</v>
      </c>
      <c r="O326" t="s">
        <v>65</v>
      </c>
      <c r="P326" t="s">
        <v>111</v>
      </c>
      <c r="Q326" t="str">
        <f t="shared" si="35"/>
        <v>Completed</v>
      </c>
      <c r="R326" t="str">
        <f t="shared" si="36"/>
        <v>Store</v>
      </c>
      <c r="S326" t="str">
        <v>Cash On Delivery</v>
      </c>
      <c r="T326" t="str">
        <v>Electronics</v>
      </c>
      <c r="U326" t="str">
        <f t="shared" si="37"/>
        <v>VALID</v>
      </c>
      <c r="V326" t="str">
        <f t="shared" si="38"/>
        <v>NORMAL</v>
      </c>
      <c r="W326" t="str">
        <f t="shared" si="39"/>
        <v>Valid</v>
      </c>
      <c r="X326">
        <f t="shared" si="41"/>
        <v>15136.900000000001</v>
      </c>
      <c r="Y326">
        <f t="shared" si="40"/>
        <v>13925.948</v>
      </c>
    </row>
    <row r="327" spans="1:25" x14ac:dyDescent="0.3">
      <c r="A327" t="s">
        <v>611</v>
      </c>
      <c r="B327" s="1">
        <v>45454</v>
      </c>
      <c r="C327" t="s">
        <v>612</v>
      </c>
      <c r="D327" t="s">
        <v>121</v>
      </c>
      <c r="E327" t="s">
        <v>122</v>
      </c>
      <c r="F327" t="s">
        <v>55</v>
      </c>
      <c r="G327" t="s">
        <v>21</v>
      </c>
      <c r="H327" t="s">
        <v>93</v>
      </c>
      <c r="I327">
        <v>2</v>
      </c>
      <c r="J327">
        <v>480.79</v>
      </c>
      <c r="K327">
        <v>0</v>
      </c>
      <c r="L327">
        <v>961.58</v>
      </c>
      <c r="M327" t="s">
        <v>23</v>
      </c>
      <c r="N327" t="s">
        <v>71</v>
      </c>
      <c r="O327" t="s">
        <v>25</v>
      </c>
      <c r="P327" t="s">
        <v>72</v>
      </c>
      <c r="Q327" t="str">
        <f t="shared" si="35"/>
        <v>Returned</v>
      </c>
      <c r="R327" t="str">
        <f t="shared" si="36"/>
        <v>Online</v>
      </c>
      <c r="S327" t="str">
        <v>Upi</v>
      </c>
      <c r="T327" t="str">
        <v>Stationery</v>
      </c>
      <c r="U327" t="str">
        <f t="shared" si="37"/>
        <v>VALID</v>
      </c>
      <c r="V327" t="str">
        <f t="shared" si="38"/>
        <v>NORMAL</v>
      </c>
      <c r="W327" t="str">
        <f t="shared" si="39"/>
        <v>Valid</v>
      </c>
      <c r="X327">
        <f t="shared" si="41"/>
        <v>961.58</v>
      </c>
      <c r="Y327">
        <f t="shared" si="40"/>
        <v>961.58</v>
      </c>
    </row>
    <row r="328" spans="1:25" x14ac:dyDescent="0.3">
      <c r="A328" t="s">
        <v>613</v>
      </c>
      <c r="B328" s="1">
        <v>45984</v>
      </c>
      <c r="C328" t="s">
        <v>143</v>
      </c>
      <c r="D328" t="s">
        <v>79</v>
      </c>
      <c r="E328" t="s">
        <v>80</v>
      </c>
      <c r="F328" t="s">
        <v>31</v>
      </c>
      <c r="G328" t="s">
        <v>56</v>
      </c>
      <c r="H328" t="s">
        <v>123</v>
      </c>
      <c r="I328">
        <v>2</v>
      </c>
      <c r="J328">
        <v>12058.71</v>
      </c>
      <c r="K328">
        <v>0.15</v>
      </c>
      <c r="L328">
        <v>20499.810000000001</v>
      </c>
      <c r="M328" t="s">
        <v>23</v>
      </c>
      <c r="N328" t="s">
        <v>34</v>
      </c>
      <c r="O328" t="s">
        <v>65</v>
      </c>
      <c r="P328" t="s">
        <v>59</v>
      </c>
      <c r="Q328" t="str">
        <f t="shared" si="35"/>
        <v>Completed</v>
      </c>
      <c r="R328" t="str">
        <f t="shared" si="36"/>
        <v>Online</v>
      </c>
      <c r="S328" t="str">
        <v>Cash On Delivery</v>
      </c>
      <c r="T328" t="str">
        <v>Electronics</v>
      </c>
      <c r="U328" t="str">
        <f t="shared" si="37"/>
        <v>VALID</v>
      </c>
      <c r="V328" t="str">
        <f t="shared" si="38"/>
        <v>NORMAL</v>
      </c>
      <c r="W328" t="str">
        <f t="shared" si="39"/>
        <v>Valid</v>
      </c>
      <c r="X328">
        <f t="shared" si="41"/>
        <v>24117.42</v>
      </c>
      <c r="Y328">
        <f t="shared" si="40"/>
        <v>20499.806999999997</v>
      </c>
    </row>
    <row r="329" spans="1:25" x14ac:dyDescent="0.3">
      <c r="A329" t="s">
        <v>614</v>
      </c>
      <c r="B329" s="1">
        <v>45643</v>
      </c>
      <c r="C329" t="s">
        <v>612</v>
      </c>
      <c r="D329" t="s">
        <v>89</v>
      </c>
      <c r="E329" t="s">
        <v>90</v>
      </c>
      <c r="F329" t="s">
        <v>20</v>
      </c>
      <c r="G329" t="s">
        <v>56</v>
      </c>
      <c r="I329">
        <v>2</v>
      </c>
      <c r="J329">
        <v>654.04999999999995</v>
      </c>
      <c r="K329">
        <v>0.05</v>
      </c>
      <c r="L329">
        <v>1242.69</v>
      </c>
      <c r="M329" t="s">
        <v>23</v>
      </c>
      <c r="N329" t="s">
        <v>58</v>
      </c>
      <c r="O329" t="s">
        <v>65</v>
      </c>
      <c r="P329" t="s">
        <v>111</v>
      </c>
      <c r="Q329" t="str">
        <f t="shared" si="35"/>
        <v>Completed</v>
      </c>
      <c r="R329" t="str">
        <f t="shared" si="36"/>
        <v>Online</v>
      </c>
      <c r="S329" t="str">
        <v>Credit Card</v>
      </c>
      <c r="T329" t="str">
        <v>Accessories</v>
      </c>
      <c r="U329" t="str">
        <f t="shared" si="37"/>
        <v>VALID</v>
      </c>
      <c r="V329" t="str">
        <f t="shared" si="38"/>
        <v>NORMAL</v>
      </c>
      <c r="W329" t="str">
        <f t="shared" si="39"/>
        <v>Valid</v>
      </c>
      <c r="X329">
        <f t="shared" si="41"/>
        <v>1308.0999999999999</v>
      </c>
      <c r="Y329">
        <f t="shared" si="40"/>
        <v>1242.6949999999999</v>
      </c>
    </row>
    <row r="330" spans="1:25" x14ac:dyDescent="0.3">
      <c r="A330" t="s">
        <v>615</v>
      </c>
      <c r="B330" s="1">
        <v>45838</v>
      </c>
      <c r="C330" t="s">
        <v>264</v>
      </c>
      <c r="D330" t="s">
        <v>89</v>
      </c>
      <c r="E330" t="s">
        <v>90</v>
      </c>
      <c r="F330" t="s">
        <v>20</v>
      </c>
      <c r="G330" t="s">
        <v>56</v>
      </c>
      <c r="H330" t="s">
        <v>57</v>
      </c>
      <c r="I330">
        <v>5</v>
      </c>
      <c r="J330">
        <v>703.56</v>
      </c>
      <c r="K330">
        <v>0</v>
      </c>
      <c r="L330">
        <v>3517.8</v>
      </c>
      <c r="M330" t="s">
        <v>23</v>
      </c>
      <c r="N330" t="s">
        <v>71</v>
      </c>
      <c r="O330" t="s">
        <v>35</v>
      </c>
      <c r="P330" t="s">
        <v>72</v>
      </c>
      <c r="Q330" t="str">
        <f t="shared" si="35"/>
        <v>Cancelled</v>
      </c>
      <c r="R330" t="str">
        <f t="shared" si="36"/>
        <v>Online</v>
      </c>
      <c r="S330" t="str">
        <v>Upi</v>
      </c>
      <c r="T330" t="str">
        <v>Accessories</v>
      </c>
      <c r="U330" t="str">
        <f t="shared" si="37"/>
        <v>VALID</v>
      </c>
      <c r="V330" t="str">
        <f t="shared" si="38"/>
        <v>NORMAL</v>
      </c>
      <c r="W330" t="str">
        <f t="shared" si="39"/>
        <v>Valid</v>
      </c>
      <c r="X330">
        <f t="shared" si="41"/>
        <v>3517.7999999999997</v>
      </c>
      <c r="Y330">
        <f t="shared" si="40"/>
        <v>3517.7999999999997</v>
      </c>
    </row>
    <row r="331" spans="1:25" x14ac:dyDescent="0.3">
      <c r="A331" t="s">
        <v>616</v>
      </c>
      <c r="B331" s="1">
        <v>45989</v>
      </c>
      <c r="C331" t="s">
        <v>514</v>
      </c>
      <c r="D331" t="s">
        <v>18</v>
      </c>
      <c r="E331" t="s">
        <v>19</v>
      </c>
      <c r="F331" t="s">
        <v>20</v>
      </c>
      <c r="G331" t="s">
        <v>32</v>
      </c>
      <c r="H331" t="s">
        <v>47</v>
      </c>
      <c r="I331">
        <v>3</v>
      </c>
      <c r="J331">
        <v>841.07</v>
      </c>
      <c r="K331">
        <v>0.2</v>
      </c>
      <c r="L331">
        <v>2018.57</v>
      </c>
      <c r="M331" t="s">
        <v>48</v>
      </c>
      <c r="N331" t="s">
        <v>34</v>
      </c>
      <c r="O331" t="s">
        <v>35</v>
      </c>
      <c r="P331" t="s">
        <v>42</v>
      </c>
      <c r="Q331" t="str">
        <f t="shared" si="35"/>
        <v>Cancelled</v>
      </c>
      <c r="R331" t="str">
        <f t="shared" si="36"/>
        <v>Marketplace</v>
      </c>
      <c r="S331" t="str">
        <v>Cash On Delivery</v>
      </c>
      <c r="T331" t="str">
        <v>Accessories</v>
      </c>
      <c r="U331" t="str">
        <f t="shared" si="37"/>
        <v>VALID</v>
      </c>
      <c r="V331" t="str">
        <f t="shared" si="38"/>
        <v>NORMAL</v>
      </c>
      <c r="W331" t="str">
        <f t="shared" si="39"/>
        <v>Valid</v>
      </c>
      <c r="X331">
        <f t="shared" si="41"/>
        <v>2523.21</v>
      </c>
      <c r="Y331">
        <f t="shared" si="40"/>
        <v>2018.568</v>
      </c>
    </row>
    <row r="332" spans="1:25" x14ac:dyDescent="0.3">
      <c r="A332" t="s">
        <v>617</v>
      </c>
      <c r="B332" s="1">
        <v>45354</v>
      </c>
      <c r="C332" t="s">
        <v>558</v>
      </c>
      <c r="D332" t="s">
        <v>62</v>
      </c>
      <c r="E332" t="s">
        <v>63</v>
      </c>
      <c r="F332" t="s">
        <v>31</v>
      </c>
      <c r="G332" t="s">
        <v>56</v>
      </c>
      <c r="H332" t="s">
        <v>64</v>
      </c>
      <c r="I332">
        <v>1</v>
      </c>
      <c r="J332">
        <v>2921</v>
      </c>
      <c r="K332">
        <v>0.2</v>
      </c>
      <c r="L332">
        <v>2336.8000000000002</v>
      </c>
      <c r="M332" t="s">
        <v>23</v>
      </c>
      <c r="N332" t="s">
        <v>58</v>
      </c>
      <c r="O332" t="s">
        <v>65</v>
      </c>
      <c r="P332" t="s">
        <v>50</v>
      </c>
      <c r="Q332" t="str">
        <f t="shared" si="35"/>
        <v>Completed</v>
      </c>
      <c r="R332" t="str">
        <f t="shared" si="36"/>
        <v>Online</v>
      </c>
      <c r="S332" t="str">
        <v>Credit Card</v>
      </c>
      <c r="T332" t="str">
        <v>Electronics</v>
      </c>
      <c r="U332" t="str">
        <f t="shared" si="37"/>
        <v>VALID</v>
      </c>
      <c r="V332" t="str">
        <f t="shared" si="38"/>
        <v>NORMAL</v>
      </c>
      <c r="W332" t="str">
        <f t="shared" si="39"/>
        <v>Valid</v>
      </c>
      <c r="X332">
        <f t="shared" si="41"/>
        <v>2921</v>
      </c>
      <c r="Y332">
        <f t="shared" si="40"/>
        <v>2336.8000000000002</v>
      </c>
    </row>
    <row r="333" spans="1:25" x14ac:dyDescent="0.3">
      <c r="A333" t="s">
        <v>618</v>
      </c>
      <c r="B333" s="1">
        <v>45323</v>
      </c>
      <c r="C333" t="s">
        <v>341</v>
      </c>
      <c r="D333" t="s">
        <v>29</v>
      </c>
      <c r="E333" t="s">
        <v>30</v>
      </c>
      <c r="F333" t="s">
        <v>31</v>
      </c>
      <c r="G333" t="s">
        <v>32</v>
      </c>
      <c r="H333" t="s">
        <v>47</v>
      </c>
      <c r="I333">
        <v>4</v>
      </c>
      <c r="J333">
        <v>3252.43</v>
      </c>
      <c r="K333">
        <v>0.15</v>
      </c>
      <c r="L333">
        <v>11058.26</v>
      </c>
      <c r="M333" t="s">
        <v>76</v>
      </c>
      <c r="N333" t="s">
        <v>71</v>
      </c>
      <c r="O333" t="s">
        <v>35</v>
      </c>
      <c r="P333" t="s">
        <v>42</v>
      </c>
      <c r="Q333" t="str">
        <f t="shared" si="35"/>
        <v>Cancelled</v>
      </c>
      <c r="R333" t="str">
        <f t="shared" si="36"/>
        <v>Store</v>
      </c>
      <c r="S333" t="str">
        <v>Upi</v>
      </c>
      <c r="T333" t="str">
        <v>Electronics</v>
      </c>
      <c r="U333" t="str">
        <f t="shared" si="37"/>
        <v>VALID</v>
      </c>
      <c r="V333" t="str">
        <f t="shared" si="38"/>
        <v>NORMAL</v>
      </c>
      <c r="W333" t="str">
        <f t="shared" si="39"/>
        <v>Valid</v>
      </c>
      <c r="X333">
        <f t="shared" si="41"/>
        <v>13009.72</v>
      </c>
      <c r="Y333">
        <f t="shared" si="40"/>
        <v>11058.261999999999</v>
      </c>
    </row>
    <row r="334" spans="1:25" x14ac:dyDescent="0.3">
      <c r="A334" t="s">
        <v>619</v>
      </c>
      <c r="B334" s="1">
        <v>46184</v>
      </c>
      <c r="C334" t="s">
        <v>108</v>
      </c>
      <c r="D334" t="s">
        <v>121</v>
      </c>
      <c r="E334" t="s">
        <v>122</v>
      </c>
      <c r="F334" t="s">
        <v>55</v>
      </c>
      <c r="G334" t="s">
        <v>32</v>
      </c>
      <c r="H334" t="s">
        <v>47</v>
      </c>
      <c r="I334">
        <v>1</v>
      </c>
      <c r="J334">
        <v>433.1</v>
      </c>
      <c r="K334">
        <v>0.1</v>
      </c>
      <c r="L334">
        <v>389.79</v>
      </c>
      <c r="M334" t="s">
        <v>76</v>
      </c>
      <c r="N334" t="s">
        <v>34</v>
      </c>
      <c r="O334" t="s">
        <v>65</v>
      </c>
      <c r="P334" t="s">
        <v>72</v>
      </c>
      <c r="Q334" t="str">
        <f t="shared" si="35"/>
        <v>Completed</v>
      </c>
      <c r="R334" t="str">
        <f t="shared" si="36"/>
        <v>Store</v>
      </c>
      <c r="S334" t="str">
        <v>Cash On Delivery</v>
      </c>
      <c r="T334" t="str">
        <v>Stationery</v>
      </c>
      <c r="U334" t="str">
        <f t="shared" si="37"/>
        <v>VALID</v>
      </c>
      <c r="V334" t="str">
        <f t="shared" si="38"/>
        <v>NORMAL</v>
      </c>
      <c r="W334" t="str">
        <f t="shared" si="39"/>
        <v>Valid</v>
      </c>
      <c r="X334">
        <f t="shared" si="41"/>
        <v>433.1</v>
      </c>
      <c r="Y334">
        <f t="shared" si="40"/>
        <v>389.79</v>
      </c>
    </row>
    <row r="335" spans="1:25" x14ac:dyDescent="0.3">
      <c r="A335" t="s">
        <v>620</v>
      </c>
      <c r="B335" s="1">
        <v>46094</v>
      </c>
      <c r="C335" t="s">
        <v>245</v>
      </c>
      <c r="D335" t="s">
        <v>45</v>
      </c>
      <c r="E335" t="s">
        <v>46</v>
      </c>
      <c r="F335" t="s">
        <v>31</v>
      </c>
      <c r="G335" t="s">
        <v>56</v>
      </c>
      <c r="H335" t="s">
        <v>123</v>
      </c>
      <c r="I335">
        <v>5</v>
      </c>
      <c r="J335">
        <v>1778.68</v>
      </c>
      <c r="K335">
        <v>0.2</v>
      </c>
      <c r="L335">
        <v>7114.72</v>
      </c>
      <c r="M335" t="s">
        <v>48</v>
      </c>
      <c r="N335" t="s">
        <v>24</v>
      </c>
      <c r="O335" t="s">
        <v>65</v>
      </c>
      <c r="P335" t="s">
        <v>59</v>
      </c>
      <c r="Q335" t="str">
        <f t="shared" si="35"/>
        <v>Completed</v>
      </c>
      <c r="R335" t="str">
        <f t="shared" si="36"/>
        <v>Marketplace</v>
      </c>
      <c r="S335" t="str">
        <v>Debit Card</v>
      </c>
      <c r="T335" t="str">
        <v>Electronics</v>
      </c>
      <c r="U335" t="str">
        <f t="shared" si="37"/>
        <v>VALID</v>
      </c>
      <c r="V335" t="str">
        <f t="shared" si="38"/>
        <v>NORMAL</v>
      </c>
      <c r="W335" t="str">
        <f t="shared" si="39"/>
        <v>Valid</v>
      </c>
      <c r="X335">
        <f t="shared" si="41"/>
        <v>8893.4</v>
      </c>
      <c r="Y335">
        <f t="shared" si="40"/>
        <v>7114.7199999999993</v>
      </c>
    </row>
    <row r="336" spans="1:25" x14ac:dyDescent="0.3">
      <c r="A336" t="s">
        <v>621</v>
      </c>
      <c r="B336" s="1">
        <v>45718</v>
      </c>
      <c r="C336" t="s">
        <v>238</v>
      </c>
      <c r="D336" t="s">
        <v>79</v>
      </c>
      <c r="E336" t="s">
        <v>80</v>
      </c>
      <c r="F336" t="s">
        <v>31</v>
      </c>
      <c r="G336" t="s">
        <v>56</v>
      </c>
      <c r="H336" t="s">
        <v>101</v>
      </c>
      <c r="I336">
        <v>3</v>
      </c>
      <c r="J336">
        <v>12203.86</v>
      </c>
      <c r="K336">
        <v>0</v>
      </c>
      <c r="L336">
        <v>36611.58</v>
      </c>
      <c r="M336" t="s">
        <v>76</v>
      </c>
      <c r="N336" t="s">
        <v>24</v>
      </c>
      <c r="O336" t="s">
        <v>65</v>
      </c>
      <c r="P336" t="s">
        <v>59</v>
      </c>
      <c r="Q336" t="str">
        <f t="shared" si="35"/>
        <v>Completed</v>
      </c>
      <c r="R336" t="str">
        <f t="shared" si="36"/>
        <v>Store</v>
      </c>
      <c r="S336" t="str">
        <v>Debit Card</v>
      </c>
      <c r="T336" t="str">
        <v>Electronics</v>
      </c>
      <c r="U336" t="str">
        <f t="shared" si="37"/>
        <v>VALID</v>
      </c>
      <c r="V336" t="str">
        <f t="shared" si="38"/>
        <v>NORMAL</v>
      </c>
      <c r="W336" t="str">
        <f t="shared" si="39"/>
        <v>Valid</v>
      </c>
      <c r="X336">
        <f t="shared" si="41"/>
        <v>36611.58</v>
      </c>
      <c r="Y336">
        <f t="shared" si="40"/>
        <v>36611.58</v>
      </c>
    </row>
    <row r="337" spans="1:25" x14ac:dyDescent="0.3">
      <c r="A337" t="s">
        <v>622</v>
      </c>
      <c r="B337" s="1">
        <v>46043</v>
      </c>
      <c r="C337" t="s">
        <v>623</v>
      </c>
      <c r="D337" t="s">
        <v>89</v>
      </c>
      <c r="E337" t="s">
        <v>90</v>
      </c>
      <c r="F337" t="s">
        <v>20</v>
      </c>
      <c r="G337" t="s">
        <v>56</v>
      </c>
      <c r="H337" t="s">
        <v>57</v>
      </c>
      <c r="I337">
        <v>4</v>
      </c>
      <c r="J337">
        <v>731.89</v>
      </c>
      <c r="K337">
        <v>0.2</v>
      </c>
      <c r="L337">
        <v>2342.0500000000002</v>
      </c>
      <c r="M337" t="s">
        <v>76</v>
      </c>
      <c r="N337" t="s">
        <v>34</v>
      </c>
      <c r="O337" t="s">
        <v>65</v>
      </c>
      <c r="P337" t="s">
        <v>50</v>
      </c>
      <c r="Q337" t="str">
        <f t="shared" si="35"/>
        <v>Completed</v>
      </c>
      <c r="R337" t="str">
        <f t="shared" si="36"/>
        <v>Store</v>
      </c>
      <c r="S337" t="str">
        <v>Cash On Delivery</v>
      </c>
      <c r="T337" t="str">
        <v>Accessories</v>
      </c>
      <c r="U337" t="str">
        <f t="shared" si="37"/>
        <v>VALID</v>
      </c>
      <c r="V337" t="str">
        <f t="shared" si="38"/>
        <v>NORMAL</v>
      </c>
      <c r="W337" t="str">
        <f t="shared" si="39"/>
        <v>Valid</v>
      </c>
      <c r="X337">
        <f t="shared" si="41"/>
        <v>2927.56</v>
      </c>
      <c r="Y337">
        <f t="shared" si="40"/>
        <v>2342.0479999999998</v>
      </c>
    </row>
    <row r="338" spans="1:25" x14ac:dyDescent="0.3">
      <c r="A338" t="s">
        <v>624</v>
      </c>
      <c r="B338" s="1">
        <v>46137</v>
      </c>
      <c r="C338" t="s">
        <v>625</v>
      </c>
      <c r="D338" t="s">
        <v>53</v>
      </c>
      <c r="E338" t="s">
        <v>54</v>
      </c>
      <c r="F338" t="s">
        <v>55</v>
      </c>
      <c r="G338" t="s">
        <v>21</v>
      </c>
      <c r="H338" t="s">
        <v>93</v>
      </c>
      <c r="I338">
        <v>1</v>
      </c>
      <c r="J338">
        <v>222.96</v>
      </c>
      <c r="K338">
        <v>0.03</v>
      </c>
      <c r="L338">
        <v>216.27</v>
      </c>
      <c r="M338" t="s">
        <v>23</v>
      </c>
      <c r="N338" t="s">
        <v>71</v>
      </c>
      <c r="O338" t="s">
        <v>25</v>
      </c>
      <c r="P338" t="s">
        <v>102</v>
      </c>
      <c r="Q338" t="str">
        <f t="shared" si="35"/>
        <v>Returned</v>
      </c>
      <c r="R338" t="str">
        <f t="shared" si="36"/>
        <v>Online</v>
      </c>
      <c r="S338" t="str">
        <v>Upi</v>
      </c>
      <c r="T338" t="str">
        <v>Stationery</v>
      </c>
      <c r="U338" t="str">
        <f t="shared" si="37"/>
        <v>VALID</v>
      </c>
      <c r="V338" t="str">
        <f t="shared" si="38"/>
        <v>NORMAL</v>
      </c>
      <c r="W338" t="str">
        <f t="shared" si="39"/>
        <v>Valid</v>
      </c>
      <c r="X338">
        <f t="shared" si="41"/>
        <v>222.96</v>
      </c>
      <c r="Y338">
        <f t="shared" si="40"/>
        <v>216.27120000000002</v>
      </c>
    </row>
    <row r="339" spans="1:25" x14ac:dyDescent="0.3">
      <c r="A339" t="s">
        <v>626</v>
      </c>
      <c r="B339" s="1">
        <v>45397</v>
      </c>
      <c r="C339" t="s">
        <v>627</v>
      </c>
      <c r="D339" t="s">
        <v>105</v>
      </c>
      <c r="E339" t="s">
        <v>106</v>
      </c>
      <c r="F339" t="s">
        <v>40</v>
      </c>
      <c r="G339" t="s">
        <v>21</v>
      </c>
      <c r="H339" t="s">
        <v>126</v>
      </c>
      <c r="I339">
        <v>2</v>
      </c>
      <c r="J339">
        <v>6691.79</v>
      </c>
      <c r="K339">
        <v>0.15</v>
      </c>
      <c r="L339">
        <v>11376.04</v>
      </c>
      <c r="M339" t="s">
        <v>23</v>
      </c>
      <c r="N339" t="s">
        <v>34</v>
      </c>
      <c r="O339" t="s">
        <v>65</v>
      </c>
      <c r="P339" t="s">
        <v>72</v>
      </c>
      <c r="Q339" t="str">
        <f t="shared" si="35"/>
        <v>Completed</v>
      </c>
      <c r="R339" t="str">
        <f t="shared" si="36"/>
        <v>Online</v>
      </c>
      <c r="S339" t="str">
        <v>Cash On Delivery</v>
      </c>
      <c r="T339" t="str">
        <v>Furniture</v>
      </c>
      <c r="U339" t="str">
        <f t="shared" si="37"/>
        <v>VALID</v>
      </c>
      <c r="V339" t="str">
        <f t="shared" si="38"/>
        <v>NORMAL</v>
      </c>
      <c r="W339" t="str">
        <f t="shared" si="39"/>
        <v>Valid</v>
      </c>
      <c r="X339">
        <f t="shared" si="41"/>
        <v>13383.58</v>
      </c>
      <c r="Y339">
        <f t="shared" si="40"/>
        <v>11376.043</v>
      </c>
    </row>
    <row r="340" spans="1:25" x14ac:dyDescent="0.3">
      <c r="A340" t="s">
        <v>628</v>
      </c>
      <c r="B340" s="1">
        <v>45756</v>
      </c>
      <c r="C340" t="s">
        <v>92</v>
      </c>
      <c r="D340" t="s">
        <v>53</v>
      </c>
      <c r="E340" t="s">
        <v>54</v>
      </c>
      <c r="F340" t="s">
        <v>55</v>
      </c>
      <c r="G340" t="s">
        <v>56</v>
      </c>
      <c r="H340" t="s">
        <v>123</v>
      </c>
      <c r="I340">
        <v>2</v>
      </c>
      <c r="J340">
        <v>206.58</v>
      </c>
      <c r="K340">
        <v>0</v>
      </c>
      <c r="L340">
        <v>413.16</v>
      </c>
      <c r="M340" t="s">
        <v>48</v>
      </c>
      <c r="N340" t="s">
        <v>58</v>
      </c>
      <c r="O340" t="s">
        <v>25</v>
      </c>
      <c r="P340" t="s">
        <v>42</v>
      </c>
      <c r="Q340" t="str">
        <f t="shared" si="35"/>
        <v>Returned</v>
      </c>
      <c r="R340" t="str">
        <f t="shared" si="36"/>
        <v>Marketplace</v>
      </c>
      <c r="S340" t="str">
        <v>Credit Card</v>
      </c>
      <c r="T340" t="str">
        <v>Stationery</v>
      </c>
      <c r="U340" t="str">
        <f t="shared" si="37"/>
        <v>VALID</v>
      </c>
      <c r="V340" t="str">
        <f t="shared" si="38"/>
        <v>NORMAL</v>
      </c>
      <c r="W340" t="str">
        <f t="shared" si="39"/>
        <v>Valid</v>
      </c>
      <c r="X340">
        <f t="shared" si="41"/>
        <v>413.16</v>
      </c>
      <c r="Y340">
        <f t="shared" si="40"/>
        <v>413.16</v>
      </c>
    </row>
    <row r="341" spans="1:25" x14ac:dyDescent="0.3">
      <c r="A341" t="s">
        <v>629</v>
      </c>
      <c r="B341" s="1">
        <v>45461</v>
      </c>
      <c r="C341" t="s">
        <v>297</v>
      </c>
      <c r="D341" t="s">
        <v>79</v>
      </c>
      <c r="E341" t="s">
        <v>80</v>
      </c>
      <c r="F341" t="s">
        <v>31</v>
      </c>
      <c r="G341" t="s">
        <v>56</v>
      </c>
      <c r="H341" t="s">
        <v>123</v>
      </c>
      <c r="I341">
        <v>1</v>
      </c>
      <c r="J341">
        <v>12936.12</v>
      </c>
      <c r="K341">
        <v>0.1</v>
      </c>
      <c r="L341">
        <v>11642.51</v>
      </c>
      <c r="M341" t="s">
        <v>76</v>
      </c>
      <c r="N341" t="s">
        <v>71</v>
      </c>
      <c r="O341" t="s">
        <v>35</v>
      </c>
      <c r="P341" t="s">
        <v>72</v>
      </c>
      <c r="Q341" t="str">
        <f t="shared" si="35"/>
        <v>Cancelled</v>
      </c>
      <c r="R341" t="str">
        <f t="shared" si="36"/>
        <v>Store</v>
      </c>
      <c r="S341" t="str">
        <v>Upi</v>
      </c>
      <c r="T341" t="str">
        <v>Electronics</v>
      </c>
      <c r="U341" t="str">
        <f t="shared" si="37"/>
        <v>VALID</v>
      </c>
      <c r="V341" t="str">
        <f t="shared" si="38"/>
        <v>NORMAL</v>
      </c>
      <c r="W341" t="str">
        <f t="shared" si="39"/>
        <v>Valid</v>
      </c>
      <c r="X341">
        <f t="shared" si="41"/>
        <v>12936.12</v>
      </c>
      <c r="Y341">
        <f t="shared" si="40"/>
        <v>11642.508000000002</v>
      </c>
    </row>
    <row r="342" spans="1:25" x14ac:dyDescent="0.3">
      <c r="A342" t="s">
        <v>630</v>
      </c>
      <c r="B342" s="1">
        <v>45950</v>
      </c>
      <c r="C342" t="s">
        <v>631</v>
      </c>
      <c r="D342" t="s">
        <v>89</v>
      </c>
      <c r="E342" t="s">
        <v>90</v>
      </c>
      <c r="F342" t="s">
        <v>20</v>
      </c>
      <c r="G342" t="s">
        <v>32</v>
      </c>
      <c r="H342" t="s">
        <v>47</v>
      </c>
      <c r="I342">
        <v>3</v>
      </c>
      <c r="J342">
        <v>698.03</v>
      </c>
      <c r="K342">
        <v>0.05</v>
      </c>
      <c r="L342">
        <v>1989.39</v>
      </c>
      <c r="M342" t="s">
        <v>48</v>
      </c>
      <c r="N342" t="s">
        <v>34</v>
      </c>
      <c r="O342" t="s">
        <v>65</v>
      </c>
      <c r="P342" t="s">
        <v>102</v>
      </c>
      <c r="Q342" t="str">
        <f t="shared" si="35"/>
        <v>Completed</v>
      </c>
      <c r="R342" t="str">
        <f t="shared" si="36"/>
        <v>Marketplace</v>
      </c>
      <c r="S342" t="str">
        <v>Cash On Delivery</v>
      </c>
      <c r="T342" t="str">
        <v>Accessories</v>
      </c>
      <c r="U342" t="str">
        <f t="shared" si="37"/>
        <v>VALID</v>
      </c>
      <c r="V342" t="str">
        <f t="shared" si="38"/>
        <v>NORMAL</v>
      </c>
      <c r="W342" t="str">
        <f t="shared" si="39"/>
        <v>Valid</v>
      </c>
      <c r="X342">
        <f t="shared" si="41"/>
        <v>2094.09</v>
      </c>
      <c r="Y342">
        <f t="shared" si="40"/>
        <v>1989.3855000000001</v>
      </c>
    </row>
    <row r="343" spans="1:25" x14ac:dyDescent="0.3">
      <c r="A343" t="s">
        <v>632</v>
      </c>
      <c r="B343" s="1">
        <v>45395</v>
      </c>
      <c r="C343" t="s">
        <v>397</v>
      </c>
      <c r="D343" t="s">
        <v>85</v>
      </c>
      <c r="E343" t="s">
        <v>86</v>
      </c>
      <c r="F343" t="s">
        <v>20</v>
      </c>
      <c r="G343" t="s">
        <v>32</v>
      </c>
      <c r="H343" t="s">
        <v>33</v>
      </c>
      <c r="I343">
        <v>4</v>
      </c>
      <c r="J343">
        <v>1746.64</v>
      </c>
      <c r="K343">
        <v>0.2</v>
      </c>
      <c r="L343">
        <v>5589.25</v>
      </c>
      <c r="M343" t="s">
        <v>48</v>
      </c>
      <c r="N343" t="s">
        <v>24</v>
      </c>
      <c r="O343" t="s">
        <v>35</v>
      </c>
      <c r="P343" t="s">
        <v>59</v>
      </c>
      <c r="Q343" t="str">
        <f t="shared" si="35"/>
        <v>Cancelled</v>
      </c>
      <c r="R343" t="str">
        <f t="shared" si="36"/>
        <v>Marketplace</v>
      </c>
      <c r="S343" t="str">
        <v>Debit Card</v>
      </c>
      <c r="T343" t="str">
        <v>Accessories</v>
      </c>
      <c r="U343" t="str">
        <f t="shared" si="37"/>
        <v>VALID</v>
      </c>
      <c r="V343" t="str">
        <f t="shared" si="38"/>
        <v>NORMAL</v>
      </c>
      <c r="W343" t="str">
        <f t="shared" si="39"/>
        <v>Valid</v>
      </c>
      <c r="X343">
        <f t="shared" si="41"/>
        <v>6986.56</v>
      </c>
      <c r="Y343">
        <f t="shared" si="40"/>
        <v>5589.2480000000005</v>
      </c>
    </row>
    <row r="344" spans="1:25" x14ac:dyDescent="0.3">
      <c r="A344" t="s">
        <v>633</v>
      </c>
      <c r="B344" s="1">
        <v>45572</v>
      </c>
      <c r="C344" t="s">
        <v>348</v>
      </c>
      <c r="D344" t="s">
        <v>45</v>
      </c>
      <c r="E344" t="s">
        <v>46</v>
      </c>
      <c r="F344" t="s">
        <v>31</v>
      </c>
      <c r="G344" t="s">
        <v>21</v>
      </c>
      <c r="H344" t="s">
        <v>126</v>
      </c>
      <c r="I344">
        <v>5</v>
      </c>
      <c r="J344">
        <v>1859.12</v>
      </c>
      <c r="K344">
        <v>0.2</v>
      </c>
      <c r="L344">
        <v>7436.48</v>
      </c>
      <c r="M344" t="s">
        <v>23</v>
      </c>
      <c r="N344" t="s">
        <v>24</v>
      </c>
      <c r="O344" t="s">
        <v>65</v>
      </c>
      <c r="P344" t="s">
        <v>72</v>
      </c>
      <c r="Q344" t="str">
        <f t="shared" si="35"/>
        <v>Completed</v>
      </c>
      <c r="R344" t="str">
        <f t="shared" si="36"/>
        <v>Online</v>
      </c>
      <c r="S344" t="str">
        <v>Debit Card</v>
      </c>
      <c r="T344" t="str">
        <v>Electronics</v>
      </c>
      <c r="U344" t="str">
        <f t="shared" si="37"/>
        <v>VALID</v>
      </c>
      <c r="V344" t="str">
        <f t="shared" si="38"/>
        <v>NORMAL</v>
      </c>
      <c r="W344" t="str">
        <f t="shared" si="39"/>
        <v>Valid</v>
      </c>
      <c r="X344">
        <f t="shared" si="41"/>
        <v>9295.5999999999985</v>
      </c>
      <c r="Y344">
        <f t="shared" si="40"/>
        <v>7436.4799999999987</v>
      </c>
    </row>
    <row r="345" spans="1:25" x14ac:dyDescent="0.3">
      <c r="A345" t="s">
        <v>634</v>
      </c>
      <c r="B345" s="1">
        <v>45888</v>
      </c>
      <c r="C345" t="s">
        <v>394</v>
      </c>
      <c r="D345" t="s">
        <v>96</v>
      </c>
      <c r="E345" t="s">
        <v>97</v>
      </c>
      <c r="F345" t="s">
        <v>31</v>
      </c>
      <c r="G345" t="s">
        <v>56</v>
      </c>
      <c r="H345" t="s">
        <v>57</v>
      </c>
      <c r="I345">
        <v>3</v>
      </c>
      <c r="J345">
        <v>1122.05</v>
      </c>
      <c r="K345">
        <v>0.1</v>
      </c>
      <c r="L345">
        <v>3029.53</v>
      </c>
      <c r="M345" t="s">
        <v>48</v>
      </c>
      <c r="N345" t="s">
        <v>49</v>
      </c>
      <c r="O345" t="s">
        <v>65</v>
      </c>
      <c r="P345" t="s">
        <v>102</v>
      </c>
      <c r="Q345" t="str">
        <f t="shared" si="35"/>
        <v>Completed</v>
      </c>
      <c r="R345" t="str">
        <f t="shared" si="36"/>
        <v>Marketplace</v>
      </c>
      <c r="S345" t="str">
        <v>Net Banking</v>
      </c>
      <c r="T345" t="str">
        <v>Electronics</v>
      </c>
      <c r="U345" t="str">
        <f t="shared" si="37"/>
        <v>VALID</v>
      </c>
      <c r="V345" t="str">
        <f t="shared" si="38"/>
        <v>NORMAL</v>
      </c>
      <c r="W345" t="str">
        <f t="shared" si="39"/>
        <v>Valid</v>
      </c>
      <c r="X345">
        <f t="shared" si="41"/>
        <v>3366.1499999999996</v>
      </c>
      <c r="Y345">
        <f t="shared" si="40"/>
        <v>3029.5349999999999</v>
      </c>
    </row>
    <row r="346" spans="1:25" x14ac:dyDescent="0.3">
      <c r="A346" t="s">
        <v>635</v>
      </c>
      <c r="B346" s="1">
        <v>45737</v>
      </c>
      <c r="C346" t="s">
        <v>181</v>
      </c>
      <c r="D346" t="s">
        <v>45</v>
      </c>
      <c r="E346" t="s">
        <v>46</v>
      </c>
      <c r="F346" t="s">
        <v>31</v>
      </c>
      <c r="G346" t="s">
        <v>32</v>
      </c>
      <c r="H346" t="s">
        <v>33</v>
      </c>
      <c r="I346">
        <v>2</v>
      </c>
      <c r="J346">
        <v>1810.71</v>
      </c>
      <c r="K346">
        <v>0.2</v>
      </c>
      <c r="L346">
        <v>2897.14</v>
      </c>
      <c r="M346" t="s">
        <v>23</v>
      </c>
      <c r="N346" t="s">
        <v>34</v>
      </c>
      <c r="O346" t="s">
        <v>65</v>
      </c>
      <c r="P346" t="s">
        <v>59</v>
      </c>
      <c r="Q346" t="str">
        <f t="shared" si="35"/>
        <v>Completed</v>
      </c>
      <c r="R346" t="str">
        <f t="shared" si="36"/>
        <v>Online</v>
      </c>
      <c r="S346" t="str">
        <v>Cash On Delivery</v>
      </c>
      <c r="T346" t="str">
        <v>Electronics</v>
      </c>
      <c r="U346" t="str">
        <f t="shared" si="37"/>
        <v>VALID</v>
      </c>
      <c r="V346" t="str">
        <f t="shared" si="38"/>
        <v>NORMAL</v>
      </c>
      <c r="W346" t="str">
        <f t="shared" si="39"/>
        <v>Valid</v>
      </c>
      <c r="X346">
        <f t="shared" si="41"/>
        <v>3621.42</v>
      </c>
      <c r="Y346">
        <f t="shared" si="40"/>
        <v>2897.136</v>
      </c>
    </row>
    <row r="347" spans="1:25" x14ac:dyDescent="0.3">
      <c r="A347" t="s">
        <v>636</v>
      </c>
      <c r="B347" s="1">
        <v>45628</v>
      </c>
      <c r="C347" t="s">
        <v>373</v>
      </c>
      <c r="D347" t="s">
        <v>85</v>
      </c>
      <c r="E347" t="s">
        <v>86</v>
      </c>
      <c r="F347" t="s">
        <v>20</v>
      </c>
      <c r="G347" t="s">
        <v>56</v>
      </c>
      <c r="H347" t="s">
        <v>123</v>
      </c>
      <c r="I347">
        <v>4</v>
      </c>
      <c r="J347">
        <v>1712.72</v>
      </c>
      <c r="K347">
        <v>0.05</v>
      </c>
      <c r="L347">
        <v>6508.34</v>
      </c>
      <c r="M347" t="s">
        <v>23</v>
      </c>
      <c r="N347" t="s">
        <v>49</v>
      </c>
      <c r="O347" t="s">
        <v>65</v>
      </c>
      <c r="P347" t="s">
        <v>59</v>
      </c>
      <c r="Q347" t="str">
        <f t="shared" si="35"/>
        <v>Completed</v>
      </c>
      <c r="R347" t="str">
        <f t="shared" si="36"/>
        <v>Online</v>
      </c>
      <c r="S347" t="str">
        <v>Net Banking</v>
      </c>
      <c r="T347" t="str">
        <v>Accessories</v>
      </c>
      <c r="U347" t="str">
        <f t="shared" si="37"/>
        <v>VALID</v>
      </c>
      <c r="V347" t="str">
        <f t="shared" si="38"/>
        <v>NORMAL</v>
      </c>
      <c r="W347" t="str">
        <f t="shared" si="39"/>
        <v>Valid</v>
      </c>
      <c r="X347">
        <f t="shared" si="41"/>
        <v>6850.88</v>
      </c>
      <c r="Y347">
        <f t="shared" si="40"/>
        <v>6508.3360000000002</v>
      </c>
    </row>
    <row r="348" spans="1:25" x14ac:dyDescent="0.3">
      <c r="A348" t="s">
        <v>637</v>
      </c>
      <c r="B348" s="1">
        <v>45514</v>
      </c>
      <c r="C348" t="s">
        <v>141</v>
      </c>
      <c r="D348" t="s">
        <v>105</v>
      </c>
      <c r="E348" t="s">
        <v>106</v>
      </c>
      <c r="F348" t="s">
        <v>40</v>
      </c>
      <c r="G348" t="s">
        <v>21</v>
      </c>
      <c r="H348" t="s">
        <v>93</v>
      </c>
      <c r="I348">
        <v>3</v>
      </c>
      <c r="J348">
        <v>7060.46</v>
      </c>
      <c r="K348">
        <v>0.2</v>
      </c>
      <c r="L348">
        <v>16945.099999999999</v>
      </c>
      <c r="M348" t="s">
        <v>76</v>
      </c>
      <c r="N348" t="s">
        <v>58</v>
      </c>
      <c r="O348" t="s">
        <v>25</v>
      </c>
      <c r="P348" t="s">
        <v>42</v>
      </c>
      <c r="Q348" t="str">
        <f t="shared" si="35"/>
        <v>Returned</v>
      </c>
      <c r="R348" t="str">
        <f t="shared" si="36"/>
        <v>Store</v>
      </c>
      <c r="S348" t="str">
        <v>Credit Card</v>
      </c>
      <c r="T348" t="str">
        <v>Furniture</v>
      </c>
      <c r="U348" t="str">
        <f t="shared" si="37"/>
        <v>VALID</v>
      </c>
      <c r="V348" t="str">
        <f t="shared" si="38"/>
        <v>NORMAL</v>
      </c>
      <c r="W348" t="str">
        <f t="shared" si="39"/>
        <v>Valid</v>
      </c>
      <c r="X348">
        <f t="shared" si="41"/>
        <v>21181.38</v>
      </c>
      <c r="Y348">
        <f t="shared" si="40"/>
        <v>16945.103999999999</v>
      </c>
    </row>
    <row r="349" spans="1:25" x14ac:dyDescent="0.3">
      <c r="A349" t="s">
        <v>638</v>
      </c>
      <c r="B349" s="1">
        <v>45768</v>
      </c>
      <c r="C349" t="s">
        <v>164</v>
      </c>
      <c r="D349" t="s">
        <v>96</v>
      </c>
      <c r="E349" t="s">
        <v>97</v>
      </c>
      <c r="F349" t="s">
        <v>31</v>
      </c>
      <c r="G349" t="s">
        <v>32</v>
      </c>
      <c r="H349" t="s">
        <v>33</v>
      </c>
      <c r="I349">
        <v>5</v>
      </c>
      <c r="J349">
        <v>1115.27</v>
      </c>
      <c r="K349">
        <v>0.15</v>
      </c>
      <c r="L349">
        <v>4739.8999999999996</v>
      </c>
      <c r="M349" t="s">
        <v>48</v>
      </c>
      <c r="N349" t="s">
        <v>49</v>
      </c>
      <c r="O349" t="s">
        <v>65</v>
      </c>
      <c r="P349" t="s">
        <v>102</v>
      </c>
      <c r="Q349" t="str">
        <f t="shared" si="35"/>
        <v>Completed</v>
      </c>
      <c r="R349" t="str">
        <f t="shared" si="36"/>
        <v>Marketplace</v>
      </c>
      <c r="S349" t="str">
        <v>Net Banking</v>
      </c>
      <c r="T349" t="str">
        <v>Electronics</v>
      </c>
      <c r="U349" t="str">
        <f t="shared" si="37"/>
        <v>VALID</v>
      </c>
      <c r="V349" t="str">
        <f t="shared" si="38"/>
        <v>NORMAL</v>
      </c>
      <c r="W349" t="str">
        <f t="shared" si="39"/>
        <v>Valid</v>
      </c>
      <c r="X349">
        <f t="shared" si="41"/>
        <v>5576.35</v>
      </c>
      <c r="Y349">
        <f t="shared" si="40"/>
        <v>4739.8975</v>
      </c>
    </row>
    <row r="350" spans="1:25" x14ac:dyDescent="0.3">
      <c r="A350" t="s">
        <v>639</v>
      </c>
      <c r="B350" s="1">
        <v>46022</v>
      </c>
      <c r="C350" t="s">
        <v>640</v>
      </c>
      <c r="D350" t="s">
        <v>121</v>
      </c>
      <c r="E350" t="s">
        <v>122</v>
      </c>
      <c r="F350" t="s">
        <v>55</v>
      </c>
      <c r="G350" t="s">
        <v>81</v>
      </c>
      <c r="H350" t="s">
        <v>82</v>
      </c>
      <c r="I350">
        <v>1</v>
      </c>
      <c r="J350">
        <v>423.11</v>
      </c>
      <c r="K350">
        <v>0.08</v>
      </c>
      <c r="L350">
        <v>389.26</v>
      </c>
      <c r="M350" t="s">
        <v>48</v>
      </c>
      <c r="N350" t="s">
        <v>71</v>
      </c>
      <c r="O350" t="s">
        <v>65</v>
      </c>
      <c r="P350" t="s">
        <v>72</v>
      </c>
      <c r="Q350" t="str">
        <f t="shared" si="35"/>
        <v>Completed</v>
      </c>
      <c r="R350" t="str">
        <f t="shared" si="36"/>
        <v>Marketplace</v>
      </c>
      <c r="S350" t="str">
        <v>Upi</v>
      </c>
      <c r="T350" t="str">
        <v>Stationery</v>
      </c>
      <c r="U350" t="str">
        <f t="shared" si="37"/>
        <v>VALID</v>
      </c>
      <c r="V350" t="str">
        <f t="shared" si="38"/>
        <v>NORMAL</v>
      </c>
      <c r="W350" t="str">
        <f t="shared" si="39"/>
        <v>Valid</v>
      </c>
      <c r="X350">
        <f t="shared" si="41"/>
        <v>423.11</v>
      </c>
      <c r="Y350">
        <f t="shared" si="40"/>
        <v>389.26120000000003</v>
      </c>
    </row>
    <row r="351" spans="1:25" x14ac:dyDescent="0.3">
      <c r="A351" t="s">
        <v>641</v>
      </c>
      <c r="B351" s="1">
        <v>45951</v>
      </c>
      <c r="C351" t="s">
        <v>108</v>
      </c>
      <c r="D351" t="s">
        <v>38</v>
      </c>
      <c r="E351" t="s">
        <v>39</v>
      </c>
      <c r="F351" t="s">
        <v>40</v>
      </c>
      <c r="G351" t="s">
        <v>32</v>
      </c>
      <c r="H351" t="s">
        <v>47</v>
      </c>
      <c r="I351">
        <v>3</v>
      </c>
      <c r="J351">
        <v>1628.78</v>
      </c>
      <c r="K351">
        <v>0.1</v>
      </c>
      <c r="L351">
        <v>4397.71</v>
      </c>
      <c r="M351" t="s">
        <v>76</v>
      </c>
      <c r="N351" t="s">
        <v>34</v>
      </c>
      <c r="O351" t="s">
        <v>65</v>
      </c>
      <c r="P351" t="s">
        <v>111</v>
      </c>
      <c r="Q351" t="str">
        <f t="shared" si="35"/>
        <v>Completed</v>
      </c>
      <c r="R351" t="str">
        <f t="shared" si="36"/>
        <v>Store</v>
      </c>
      <c r="S351" t="str">
        <v>Cash On Delivery</v>
      </c>
      <c r="T351" t="str">
        <v>Furniture</v>
      </c>
      <c r="U351" t="str">
        <f t="shared" si="37"/>
        <v>VALID</v>
      </c>
      <c r="V351" t="str">
        <f t="shared" si="38"/>
        <v>NORMAL</v>
      </c>
      <c r="W351" t="str">
        <f t="shared" si="39"/>
        <v>Valid</v>
      </c>
      <c r="X351">
        <f t="shared" si="41"/>
        <v>4886.34</v>
      </c>
      <c r="Y351">
        <f t="shared" si="40"/>
        <v>4397.7060000000001</v>
      </c>
    </row>
    <row r="352" spans="1:25" x14ac:dyDescent="0.3">
      <c r="A352" t="s">
        <v>642</v>
      </c>
      <c r="B352" s="1">
        <v>45332</v>
      </c>
      <c r="C352" t="s">
        <v>643</v>
      </c>
      <c r="D352" t="s">
        <v>170</v>
      </c>
      <c r="E352" t="s">
        <v>171</v>
      </c>
      <c r="F352" t="s">
        <v>31</v>
      </c>
      <c r="G352" t="s">
        <v>81</v>
      </c>
      <c r="H352" t="s">
        <v>135</v>
      </c>
      <c r="I352">
        <v>3</v>
      </c>
      <c r="J352">
        <v>68747.600000000006</v>
      </c>
      <c r="K352">
        <v>0.1</v>
      </c>
      <c r="L352">
        <v>185618.52</v>
      </c>
      <c r="M352" t="s">
        <v>76</v>
      </c>
      <c r="N352" t="s">
        <v>24</v>
      </c>
      <c r="O352" t="s">
        <v>65</v>
      </c>
      <c r="P352" t="s">
        <v>72</v>
      </c>
      <c r="Q352" t="str">
        <f t="shared" si="35"/>
        <v>Completed</v>
      </c>
      <c r="R352" t="str">
        <f t="shared" si="36"/>
        <v>Store</v>
      </c>
      <c r="S352" t="str">
        <v>Debit Card</v>
      </c>
      <c r="T352" t="str">
        <v>Electronics</v>
      </c>
      <c r="U352" t="str">
        <f t="shared" si="37"/>
        <v>VALID</v>
      </c>
      <c r="V352" t="str">
        <f t="shared" si="38"/>
        <v>NORMAL</v>
      </c>
      <c r="W352" t="str">
        <f t="shared" si="39"/>
        <v>Valid</v>
      </c>
      <c r="X352">
        <f t="shared" si="41"/>
        <v>206242.80000000002</v>
      </c>
      <c r="Y352">
        <f t="shared" si="40"/>
        <v>185618.52000000002</v>
      </c>
    </row>
    <row r="353" spans="1:25" x14ac:dyDescent="0.3">
      <c r="A353" t="s">
        <v>644</v>
      </c>
      <c r="B353" s="1">
        <v>45463</v>
      </c>
      <c r="C353" t="s">
        <v>424</v>
      </c>
      <c r="D353" t="s">
        <v>62</v>
      </c>
      <c r="E353" t="s">
        <v>63</v>
      </c>
      <c r="F353" t="s">
        <v>31</v>
      </c>
      <c r="G353" t="s">
        <v>56</v>
      </c>
      <c r="H353" t="s">
        <v>64</v>
      </c>
      <c r="I353">
        <v>4</v>
      </c>
      <c r="J353">
        <v>2667.55</v>
      </c>
      <c r="K353">
        <v>0.1</v>
      </c>
      <c r="L353">
        <v>9603.18</v>
      </c>
      <c r="M353" t="s">
        <v>76</v>
      </c>
      <c r="N353" t="s">
        <v>34</v>
      </c>
      <c r="O353" t="s">
        <v>35</v>
      </c>
      <c r="P353" t="s">
        <v>111</v>
      </c>
      <c r="Q353" t="str">
        <f t="shared" si="35"/>
        <v>Cancelled</v>
      </c>
      <c r="R353" t="str">
        <f t="shared" si="36"/>
        <v>Store</v>
      </c>
      <c r="S353" t="str">
        <v>Cash On Delivery</v>
      </c>
      <c r="T353" t="str">
        <v>Electronics</v>
      </c>
      <c r="U353" t="str">
        <f t="shared" si="37"/>
        <v>VALID</v>
      </c>
      <c r="V353" t="str">
        <f t="shared" si="38"/>
        <v>NORMAL</v>
      </c>
      <c r="W353" t="str">
        <f t="shared" si="39"/>
        <v>Valid</v>
      </c>
      <c r="X353">
        <f t="shared" si="41"/>
        <v>10670.2</v>
      </c>
      <c r="Y353">
        <f t="shared" si="40"/>
        <v>9603.18</v>
      </c>
    </row>
    <row r="354" spans="1:25" x14ac:dyDescent="0.3">
      <c r="A354" t="s">
        <v>645</v>
      </c>
      <c r="B354" s="1">
        <v>45367</v>
      </c>
      <c r="C354" t="s">
        <v>457</v>
      </c>
      <c r="D354" t="s">
        <v>45</v>
      </c>
      <c r="E354" t="s">
        <v>46</v>
      </c>
      <c r="F354" t="s">
        <v>31</v>
      </c>
      <c r="G354" t="s">
        <v>56</v>
      </c>
      <c r="H354" t="s">
        <v>101</v>
      </c>
      <c r="I354">
        <v>2</v>
      </c>
      <c r="J354">
        <v>1859.96</v>
      </c>
      <c r="K354">
        <v>0.03</v>
      </c>
      <c r="L354">
        <v>3608.32</v>
      </c>
      <c r="M354" t="s">
        <v>76</v>
      </c>
      <c r="N354" t="s">
        <v>58</v>
      </c>
      <c r="O354" t="s">
        <v>65</v>
      </c>
      <c r="P354" t="s">
        <v>116</v>
      </c>
      <c r="Q354" t="str">
        <f t="shared" si="35"/>
        <v>Completed</v>
      </c>
      <c r="R354" t="str">
        <f t="shared" si="36"/>
        <v>Store</v>
      </c>
      <c r="S354" t="str">
        <v>Credit Card</v>
      </c>
      <c r="T354" t="str">
        <v>Electronics</v>
      </c>
      <c r="U354" t="str">
        <f t="shared" si="37"/>
        <v>VALID</v>
      </c>
      <c r="V354" t="str">
        <f t="shared" si="38"/>
        <v>NORMAL</v>
      </c>
      <c r="W354" t="str">
        <f t="shared" si="39"/>
        <v>Valid</v>
      </c>
      <c r="X354">
        <f t="shared" si="41"/>
        <v>3719.92</v>
      </c>
      <c r="Y354">
        <f t="shared" si="40"/>
        <v>3608.3224</v>
      </c>
    </row>
    <row r="355" spans="1:25" x14ac:dyDescent="0.3">
      <c r="A355" t="s">
        <v>646</v>
      </c>
      <c r="B355" s="1">
        <v>45564</v>
      </c>
      <c r="C355" t="s">
        <v>283</v>
      </c>
      <c r="D355" t="s">
        <v>29</v>
      </c>
      <c r="E355" t="s">
        <v>30</v>
      </c>
      <c r="F355" t="s">
        <v>31</v>
      </c>
      <c r="G355" t="s">
        <v>81</v>
      </c>
      <c r="H355" t="s">
        <v>98</v>
      </c>
      <c r="I355">
        <v>1</v>
      </c>
      <c r="J355">
        <v>2966.11</v>
      </c>
      <c r="K355">
        <v>0.15</v>
      </c>
      <c r="L355">
        <v>2521.19</v>
      </c>
      <c r="M355" t="s">
        <v>48</v>
      </c>
      <c r="N355" t="s">
        <v>49</v>
      </c>
      <c r="O355" t="s">
        <v>25</v>
      </c>
      <c r="P355" t="s">
        <v>102</v>
      </c>
      <c r="Q355" t="str">
        <f t="shared" si="35"/>
        <v>Returned</v>
      </c>
      <c r="R355" t="str">
        <f t="shared" si="36"/>
        <v>Marketplace</v>
      </c>
      <c r="S355" t="str">
        <v>Net Banking</v>
      </c>
      <c r="T355" t="str">
        <v>Electronics</v>
      </c>
      <c r="U355" t="str">
        <f t="shared" si="37"/>
        <v>VALID</v>
      </c>
      <c r="V355" t="str">
        <f t="shared" si="38"/>
        <v>NORMAL</v>
      </c>
      <c r="W355" t="str">
        <f t="shared" si="39"/>
        <v>Valid</v>
      </c>
      <c r="X355">
        <f t="shared" si="41"/>
        <v>2966.11</v>
      </c>
      <c r="Y355">
        <f t="shared" si="40"/>
        <v>2521.1935000000003</v>
      </c>
    </row>
    <row r="356" spans="1:25" x14ac:dyDescent="0.3">
      <c r="A356" t="s">
        <v>647</v>
      </c>
      <c r="B356" s="1">
        <v>45577</v>
      </c>
      <c r="C356" t="s">
        <v>648</v>
      </c>
      <c r="D356" t="s">
        <v>18</v>
      </c>
      <c r="E356" t="s">
        <v>19</v>
      </c>
      <c r="F356" t="s">
        <v>20</v>
      </c>
      <c r="G356" t="s">
        <v>81</v>
      </c>
      <c r="H356" t="s">
        <v>98</v>
      </c>
      <c r="I356">
        <v>3</v>
      </c>
      <c r="J356">
        <v>841.31</v>
      </c>
      <c r="K356">
        <v>0.03</v>
      </c>
      <c r="L356">
        <v>2448.21</v>
      </c>
      <c r="M356" t="s">
        <v>23</v>
      </c>
      <c r="N356" t="s">
        <v>49</v>
      </c>
      <c r="O356" t="s">
        <v>65</v>
      </c>
      <c r="P356" t="s">
        <v>116</v>
      </c>
      <c r="Q356" t="str">
        <f t="shared" si="35"/>
        <v>Completed</v>
      </c>
      <c r="R356" t="str">
        <f t="shared" si="36"/>
        <v>Online</v>
      </c>
      <c r="S356" t="str">
        <v>Net Banking</v>
      </c>
      <c r="T356" t="str">
        <v>Accessories</v>
      </c>
      <c r="U356" t="str">
        <f t="shared" si="37"/>
        <v>VALID</v>
      </c>
      <c r="V356" t="str">
        <f t="shared" si="38"/>
        <v>NORMAL</v>
      </c>
      <c r="W356" t="str">
        <f t="shared" si="39"/>
        <v>Valid</v>
      </c>
      <c r="X356">
        <f t="shared" si="41"/>
        <v>2523.9299999999998</v>
      </c>
      <c r="Y356">
        <f t="shared" si="40"/>
        <v>2448.2120999999997</v>
      </c>
    </row>
    <row r="357" spans="1:25" x14ac:dyDescent="0.3">
      <c r="A357" t="s">
        <v>649</v>
      </c>
      <c r="B357" s="1">
        <v>45685</v>
      </c>
      <c r="C357" t="s">
        <v>406</v>
      </c>
      <c r="D357" t="s">
        <v>131</v>
      </c>
      <c r="E357" t="s">
        <v>132</v>
      </c>
      <c r="F357" t="s">
        <v>40</v>
      </c>
      <c r="G357" t="s">
        <v>21</v>
      </c>
      <c r="H357" t="s">
        <v>22</v>
      </c>
      <c r="I357">
        <v>4</v>
      </c>
      <c r="J357">
        <v>10252.41</v>
      </c>
      <c r="K357">
        <v>0.2</v>
      </c>
      <c r="L357">
        <v>32807.71</v>
      </c>
      <c r="M357" t="s">
        <v>76</v>
      </c>
      <c r="N357" t="s">
        <v>58</v>
      </c>
      <c r="O357" t="s">
        <v>65</v>
      </c>
      <c r="P357" t="s">
        <v>50</v>
      </c>
      <c r="Q357" t="str">
        <f t="shared" si="35"/>
        <v>Completed</v>
      </c>
      <c r="R357" t="str">
        <f t="shared" si="36"/>
        <v>Store</v>
      </c>
      <c r="S357" t="str">
        <v>Credit Card</v>
      </c>
      <c r="T357" t="str">
        <v>Furniture</v>
      </c>
      <c r="U357" t="str">
        <f t="shared" si="37"/>
        <v>VALID</v>
      </c>
      <c r="V357" t="str">
        <f t="shared" si="38"/>
        <v>NORMAL</v>
      </c>
      <c r="W357" t="str">
        <f t="shared" si="39"/>
        <v>Valid</v>
      </c>
      <c r="X357">
        <f t="shared" si="41"/>
        <v>41009.64</v>
      </c>
      <c r="Y357">
        <f t="shared" si="40"/>
        <v>32807.712</v>
      </c>
    </row>
    <row r="358" spans="1:25" x14ac:dyDescent="0.3">
      <c r="A358" t="s">
        <v>650</v>
      </c>
      <c r="B358" s="1">
        <v>45987</v>
      </c>
      <c r="C358" t="s">
        <v>651</v>
      </c>
      <c r="D358" t="s">
        <v>105</v>
      </c>
      <c r="E358" t="s">
        <v>106</v>
      </c>
      <c r="F358" t="s">
        <v>40</v>
      </c>
      <c r="G358" t="s">
        <v>81</v>
      </c>
      <c r="H358" t="s">
        <v>135</v>
      </c>
      <c r="I358">
        <v>2</v>
      </c>
      <c r="J358">
        <v>7504.22</v>
      </c>
      <c r="K358">
        <v>0.03</v>
      </c>
      <c r="L358">
        <v>14558.19</v>
      </c>
      <c r="M358" t="s">
        <v>76</v>
      </c>
      <c r="N358" t="s">
        <v>49</v>
      </c>
      <c r="O358" t="s">
        <v>25</v>
      </c>
      <c r="P358" t="s">
        <v>111</v>
      </c>
      <c r="Q358" t="str">
        <f t="shared" si="35"/>
        <v>Returned</v>
      </c>
      <c r="R358" t="str">
        <f t="shared" si="36"/>
        <v>Store</v>
      </c>
      <c r="S358" t="str">
        <v>Net Banking</v>
      </c>
      <c r="T358" t="str">
        <v>Furniture</v>
      </c>
      <c r="U358" t="str">
        <f t="shared" si="37"/>
        <v>VALID</v>
      </c>
      <c r="V358" t="str">
        <f t="shared" si="38"/>
        <v>NORMAL</v>
      </c>
      <c r="W358" t="str">
        <f t="shared" si="39"/>
        <v>Valid</v>
      </c>
      <c r="X358">
        <f t="shared" si="41"/>
        <v>15008.44</v>
      </c>
      <c r="Y358">
        <f t="shared" si="40"/>
        <v>14558.186800000001</v>
      </c>
    </row>
    <row r="359" spans="1:25" x14ac:dyDescent="0.3">
      <c r="A359" t="s">
        <v>652</v>
      </c>
      <c r="B359" s="1">
        <v>45321</v>
      </c>
      <c r="C359" t="s">
        <v>293</v>
      </c>
      <c r="D359" t="s">
        <v>89</v>
      </c>
      <c r="E359" t="s">
        <v>90</v>
      </c>
      <c r="F359" t="s">
        <v>20</v>
      </c>
      <c r="G359" t="s">
        <v>81</v>
      </c>
      <c r="H359" t="s">
        <v>87</v>
      </c>
      <c r="I359">
        <v>1</v>
      </c>
      <c r="J359">
        <v>652.99</v>
      </c>
      <c r="K359">
        <v>0.05</v>
      </c>
      <c r="L359">
        <v>620.34</v>
      </c>
      <c r="M359" t="s">
        <v>76</v>
      </c>
      <c r="N359" t="s">
        <v>34</v>
      </c>
      <c r="O359" t="s">
        <v>65</v>
      </c>
      <c r="P359" t="s">
        <v>50</v>
      </c>
      <c r="Q359" t="str">
        <f t="shared" si="35"/>
        <v>Completed</v>
      </c>
      <c r="R359" t="str">
        <f t="shared" si="36"/>
        <v>Store</v>
      </c>
      <c r="S359" t="str">
        <v>Cash On Delivery</v>
      </c>
      <c r="T359" t="str">
        <v>Accessories</v>
      </c>
      <c r="U359" t="str">
        <f t="shared" si="37"/>
        <v>VALID</v>
      </c>
      <c r="V359" t="str">
        <f t="shared" si="38"/>
        <v>NORMAL</v>
      </c>
      <c r="W359" t="str">
        <f t="shared" si="39"/>
        <v>Valid</v>
      </c>
      <c r="X359">
        <f t="shared" si="41"/>
        <v>652.99</v>
      </c>
      <c r="Y359">
        <f t="shared" si="40"/>
        <v>620.34050000000002</v>
      </c>
    </row>
    <row r="360" spans="1:25" x14ac:dyDescent="0.3">
      <c r="A360" t="s">
        <v>653</v>
      </c>
      <c r="B360" s="1">
        <v>45403</v>
      </c>
      <c r="D360" t="s">
        <v>45</v>
      </c>
      <c r="E360" t="s">
        <v>46</v>
      </c>
      <c r="F360" t="s">
        <v>31</v>
      </c>
      <c r="G360" t="s">
        <v>81</v>
      </c>
      <c r="H360" t="s">
        <v>98</v>
      </c>
      <c r="I360">
        <v>3</v>
      </c>
      <c r="J360">
        <v>1823.17</v>
      </c>
      <c r="K360">
        <v>0.05</v>
      </c>
      <c r="L360">
        <v>5196.03</v>
      </c>
      <c r="M360" t="s">
        <v>76</v>
      </c>
      <c r="N360" t="s">
        <v>58</v>
      </c>
      <c r="O360" t="s">
        <v>35</v>
      </c>
      <c r="P360" t="s">
        <v>42</v>
      </c>
      <c r="Q360" t="str">
        <f t="shared" si="35"/>
        <v>Cancelled</v>
      </c>
      <c r="R360" t="str">
        <f t="shared" si="36"/>
        <v>Store</v>
      </c>
      <c r="S360" t="str">
        <v>Credit Card</v>
      </c>
      <c r="T360" t="str">
        <v>Electronics</v>
      </c>
      <c r="U360" t="str">
        <f t="shared" si="37"/>
        <v>VALID</v>
      </c>
      <c r="V360" t="str">
        <f t="shared" si="38"/>
        <v>NORMAL</v>
      </c>
      <c r="W360" t="str">
        <f t="shared" si="39"/>
        <v>Valid</v>
      </c>
      <c r="X360">
        <f t="shared" si="41"/>
        <v>5469.51</v>
      </c>
      <c r="Y360">
        <f t="shared" si="40"/>
        <v>5196.0344999999998</v>
      </c>
    </row>
    <row r="361" spans="1:25" x14ac:dyDescent="0.3">
      <c r="A361" t="s">
        <v>654</v>
      </c>
      <c r="B361" s="1">
        <v>45418</v>
      </c>
      <c r="C361" t="s">
        <v>67</v>
      </c>
      <c r="D361" t="s">
        <v>18</v>
      </c>
      <c r="E361" t="s">
        <v>19</v>
      </c>
      <c r="F361" t="s">
        <v>20</v>
      </c>
      <c r="G361" t="s">
        <v>56</v>
      </c>
      <c r="I361">
        <v>1</v>
      </c>
      <c r="J361">
        <v>900.08</v>
      </c>
      <c r="K361">
        <v>0.1</v>
      </c>
      <c r="L361">
        <v>810.07</v>
      </c>
      <c r="M361" t="s">
        <v>76</v>
      </c>
      <c r="N361" t="s">
        <v>24</v>
      </c>
      <c r="O361" t="s">
        <v>65</v>
      </c>
      <c r="P361" t="s">
        <v>72</v>
      </c>
      <c r="Q361" t="str">
        <f t="shared" si="35"/>
        <v>Completed</v>
      </c>
      <c r="R361" t="str">
        <f t="shared" si="36"/>
        <v>Store</v>
      </c>
      <c r="S361" t="str">
        <v>Debit Card</v>
      </c>
      <c r="T361" t="str">
        <v>Accessories</v>
      </c>
      <c r="U361" t="str">
        <f t="shared" si="37"/>
        <v>VALID</v>
      </c>
      <c r="V361" t="str">
        <f t="shared" si="38"/>
        <v>NORMAL</v>
      </c>
      <c r="W361" t="str">
        <f t="shared" si="39"/>
        <v>Valid</v>
      </c>
      <c r="X361">
        <f t="shared" si="41"/>
        <v>900.08</v>
      </c>
      <c r="Y361">
        <f t="shared" si="40"/>
        <v>810.072</v>
      </c>
    </row>
    <row r="362" spans="1:25" x14ac:dyDescent="0.3">
      <c r="A362" t="s">
        <v>655</v>
      </c>
      <c r="B362" s="1">
        <v>45588</v>
      </c>
      <c r="C362" t="s">
        <v>130</v>
      </c>
      <c r="D362" t="s">
        <v>45</v>
      </c>
      <c r="E362" t="s">
        <v>46</v>
      </c>
      <c r="F362" t="s">
        <v>31</v>
      </c>
      <c r="G362" t="s">
        <v>21</v>
      </c>
      <c r="H362" t="s">
        <v>22</v>
      </c>
      <c r="I362">
        <v>1</v>
      </c>
      <c r="J362">
        <v>1738.96</v>
      </c>
      <c r="K362">
        <v>0.08</v>
      </c>
      <c r="L362">
        <v>1599.84</v>
      </c>
      <c r="M362" t="s">
        <v>48</v>
      </c>
      <c r="N362" t="s">
        <v>71</v>
      </c>
      <c r="O362" t="s">
        <v>65</v>
      </c>
      <c r="P362" t="s">
        <v>102</v>
      </c>
      <c r="Q362" t="str">
        <f t="shared" si="35"/>
        <v>Completed</v>
      </c>
      <c r="R362" t="str">
        <f t="shared" si="36"/>
        <v>Marketplace</v>
      </c>
      <c r="S362" t="str">
        <v>Upi</v>
      </c>
      <c r="T362" t="str">
        <v>Electronics</v>
      </c>
      <c r="U362" t="str">
        <f t="shared" si="37"/>
        <v>VALID</v>
      </c>
      <c r="V362" t="str">
        <f t="shared" si="38"/>
        <v>NORMAL</v>
      </c>
      <c r="W362" t="str">
        <f t="shared" si="39"/>
        <v>Valid</v>
      </c>
      <c r="X362">
        <f t="shared" si="41"/>
        <v>1738.96</v>
      </c>
      <c r="Y362">
        <f t="shared" si="40"/>
        <v>1599.8432</v>
      </c>
    </row>
    <row r="363" spans="1:25" x14ac:dyDescent="0.3">
      <c r="A363" t="s">
        <v>656</v>
      </c>
      <c r="B363" s="1">
        <v>46078</v>
      </c>
      <c r="C363" t="s">
        <v>657</v>
      </c>
      <c r="D363" t="s">
        <v>29</v>
      </c>
      <c r="E363" t="s">
        <v>30</v>
      </c>
      <c r="F363" t="s">
        <v>31</v>
      </c>
      <c r="G363" t="s">
        <v>32</v>
      </c>
      <c r="H363" t="s">
        <v>68</v>
      </c>
      <c r="I363">
        <v>1</v>
      </c>
      <c r="J363">
        <v>2956.16</v>
      </c>
      <c r="K363">
        <v>0</v>
      </c>
      <c r="L363">
        <v>2956.16</v>
      </c>
      <c r="M363" t="s">
        <v>76</v>
      </c>
      <c r="N363" t="s">
        <v>34</v>
      </c>
      <c r="O363" t="s">
        <v>35</v>
      </c>
      <c r="P363" t="s">
        <v>50</v>
      </c>
      <c r="Q363" t="str">
        <f t="shared" si="35"/>
        <v>Cancelled</v>
      </c>
      <c r="R363" t="str">
        <f t="shared" si="36"/>
        <v>Store</v>
      </c>
      <c r="S363" t="str">
        <v>Cash On Delivery</v>
      </c>
      <c r="T363" t="str">
        <v>Electronics</v>
      </c>
      <c r="U363" t="str">
        <f t="shared" si="37"/>
        <v>VALID</v>
      </c>
      <c r="V363" t="str">
        <f t="shared" si="38"/>
        <v>NORMAL</v>
      </c>
      <c r="W363" t="str">
        <f t="shared" si="39"/>
        <v>Valid</v>
      </c>
      <c r="X363">
        <f t="shared" si="41"/>
        <v>2956.16</v>
      </c>
      <c r="Y363">
        <f t="shared" si="40"/>
        <v>2956.16</v>
      </c>
    </row>
    <row r="364" spans="1:25" x14ac:dyDescent="0.3">
      <c r="A364" t="s">
        <v>658</v>
      </c>
      <c r="B364" s="1">
        <v>45720</v>
      </c>
      <c r="C364" t="s">
        <v>269</v>
      </c>
      <c r="D364" t="s">
        <v>85</v>
      </c>
      <c r="E364" t="s">
        <v>86</v>
      </c>
      <c r="F364" t="s">
        <v>20</v>
      </c>
      <c r="G364" t="s">
        <v>32</v>
      </c>
      <c r="H364" t="s">
        <v>68</v>
      </c>
      <c r="I364">
        <v>3</v>
      </c>
      <c r="J364">
        <v>1796.8</v>
      </c>
      <c r="K364">
        <v>0.03</v>
      </c>
      <c r="L364">
        <v>5228.6899999999996</v>
      </c>
      <c r="M364" t="s">
        <v>76</v>
      </c>
      <c r="N364" t="s">
        <v>34</v>
      </c>
      <c r="O364" t="s">
        <v>25</v>
      </c>
      <c r="P364" t="s">
        <v>59</v>
      </c>
      <c r="Q364" t="str">
        <f t="shared" si="35"/>
        <v>Returned</v>
      </c>
      <c r="R364" t="str">
        <f t="shared" si="36"/>
        <v>Store</v>
      </c>
      <c r="S364" t="str">
        <v>Cash On Delivery</v>
      </c>
      <c r="T364" t="str">
        <v>Accessories</v>
      </c>
      <c r="U364" t="str">
        <f t="shared" si="37"/>
        <v>VALID</v>
      </c>
      <c r="V364" t="str">
        <f t="shared" si="38"/>
        <v>NORMAL</v>
      </c>
      <c r="W364" t="str">
        <f t="shared" si="39"/>
        <v>Valid</v>
      </c>
      <c r="X364">
        <f t="shared" si="41"/>
        <v>5390.4</v>
      </c>
      <c r="Y364">
        <f t="shared" si="40"/>
        <v>5228.6880000000001</v>
      </c>
    </row>
    <row r="365" spans="1:25" x14ac:dyDescent="0.3">
      <c r="A365" t="s">
        <v>659</v>
      </c>
      <c r="B365" s="1">
        <v>45428</v>
      </c>
      <c r="C365" t="s">
        <v>422</v>
      </c>
      <c r="D365" t="s">
        <v>85</v>
      </c>
      <c r="E365" t="s">
        <v>86</v>
      </c>
      <c r="F365" t="s">
        <v>20</v>
      </c>
      <c r="G365" t="s">
        <v>32</v>
      </c>
      <c r="H365" t="s">
        <v>47</v>
      </c>
      <c r="I365">
        <v>5</v>
      </c>
      <c r="J365">
        <v>1793.56</v>
      </c>
      <c r="K365">
        <v>0</v>
      </c>
      <c r="L365">
        <v>8967.7999999999993</v>
      </c>
      <c r="M365" t="s">
        <v>23</v>
      </c>
      <c r="N365" t="s">
        <v>49</v>
      </c>
      <c r="O365" t="s">
        <v>25</v>
      </c>
      <c r="P365" t="s">
        <v>26</v>
      </c>
      <c r="Q365" t="str">
        <f t="shared" si="35"/>
        <v>Returned</v>
      </c>
      <c r="R365" t="str">
        <f t="shared" si="36"/>
        <v>Online</v>
      </c>
      <c r="S365" t="str">
        <v>Net Banking</v>
      </c>
      <c r="T365" t="str">
        <v>Accessories</v>
      </c>
      <c r="U365" t="str">
        <f t="shared" si="37"/>
        <v>VALID</v>
      </c>
      <c r="V365" t="str">
        <f t="shared" si="38"/>
        <v>NORMAL</v>
      </c>
      <c r="W365" t="str">
        <f t="shared" si="39"/>
        <v>Valid</v>
      </c>
      <c r="X365">
        <f t="shared" si="41"/>
        <v>8967.7999999999993</v>
      </c>
      <c r="Y365">
        <f t="shared" si="40"/>
        <v>8967.7999999999993</v>
      </c>
    </row>
    <row r="366" spans="1:25" x14ac:dyDescent="0.3">
      <c r="A366" t="s">
        <v>660</v>
      </c>
      <c r="B366" s="1">
        <v>45988</v>
      </c>
      <c r="C366" t="s">
        <v>181</v>
      </c>
      <c r="D366" t="s">
        <v>79</v>
      </c>
      <c r="E366" t="s">
        <v>80</v>
      </c>
      <c r="F366" t="s">
        <v>31</v>
      </c>
      <c r="G366" t="s">
        <v>32</v>
      </c>
      <c r="H366" t="s">
        <v>33</v>
      </c>
      <c r="I366">
        <v>3</v>
      </c>
      <c r="J366">
        <v>12542.89</v>
      </c>
      <c r="K366">
        <v>0</v>
      </c>
      <c r="L366">
        <v>37628.67</v>
      </c>
      <c r="M366" t="s">
        <v>76</v>
      </c>
      <c r="N366" t="s">
        <v>24</v>
      </c>
      <c r="O366" t="s">
        <v>65</v>
      </c>
      <c r="P366" t="s">
        <v>26</v>
      </c>
      <c r="Q366" t="str">
        <f t="shared" si="35"/>
        <v>Completed</v>
      </c>
      <c r="R366" t="str">
        <f t="shared" si="36"/>
        <v>Store</v>
      </c>
      <c r="S366" t="str">
        <v>Debit Card</v>
      </c>
      <c r="T366" t="str">
        <v>Electronics</v>
      </c>
      <c r="U366" t="str">
        <f t="shared" si="37"/>
        <v>VALID</v>
      </c>
      <c r="V366" t="str">
        <f t="shared" si="38"/>
        <v>NORMAL</v>
      </c>
      <c r="W366" t="str">
        <f t="shared" si="39"/>
        <v>Valid</v>
      </c>
      <c r="X366">
        <f t="shared" si="41"/>
        <v>37628.67</v>
      </c>
      <c r="Y366">
        <f t="shared" si="40"/>
        <v>37628.67</v>
      </c>
    </row>
    <row r="367" spans="1:25" x14ac:dyDescent="0.3">
      <c r="A367" t="s">
        <v>661</v>
      </c>
      <c r="B367" s="1">
        <v>45570</v>
      </c>
      <c r="C367" t="s">
        <v>556</v>
      </c>
      <c r="D367" t="s">
        <v>18</v>
      </c>
      <c r="E367" t="s">
        <v>19</v>
      </c>
      <c r="F367" t="s">
        <v>20</v>
      </c>
      <c r="G367" t="s">
        <v>56</v>
      </c>
      <c r="H367" t="s">
        <v>57</v>
      </c>
      <c r="I367">
        <v>5</v>
      </c>
      <c r="J367">
        <v>802.39</v>
      </c>
      <c r="K367">
        <v>0.05</v>
      </c>
      <c r="L367">
        <v>3811.35</v>
      </c>
      <c r="M367" t="s">
        <v>23</v>
      </c>
      <c r="N367" t="s">
        <v>49</v>
      </c>
      <c r="O367" t="s">
        <v>65</v>
      </c>
      <c r="P367" t="s">
        <v>50</v>
      </c>
      <c r="Q367" t="str">
        <f t="shared" si="35"/>
        <v>Completed</v>
      </c>
      <c r="R367" t="str">
        <f t="shared" si="36"/>
        <v>Online</v>
      </c>
      <c r="S367" t="str">
        <v>Net Banking</v>
      </c>
      <c r="T367" t="str">
        <v>Accessories</v>
      </c>
      <c r="U367" t="str">
        <f t="shared" si="37"/>
        <v>VALID</v>
      </c>
      <c r="V367" t="str">
        <f t="shared" si="38"/>
        <v>NORMAL</v>
      </c>
      <c r="W367" t="str">
        <f t="shared" si="39"/>
        <v>Valid</v>
      </c>
      <c r="X367">
        <f t="shared" si="41"/>
        <v>4011.95</v>
      </c>
      <c r="Y367">
        <f t="shared" si="40"/>
        <v>3811.3525</v>
      </c>
    </row>
    <row r="368" spans="1:25" x14ac:dyDescent="0.3">
      <c r="A368" t="s">
        <v>662</v>
      </c>
      <c r="B368" s="1">
        <v>45704</v>
      </c>
      <c r="C368" t="s">
        <v>663</v>
      </c>
      <c r="D368" t="s">
        <v>29</v>
      </c>
      <c r="E368" t="s">
        <v>30</v>
      </c>
      <c r="F368" t="s">
        <v>31</v>
      </c>
      <c r="G368" t="s">
        <v>32</v>
      </c>
      <c r="H368" t="s">
        <v>75</v>
      </c>
      <c r="I368">
        <v>5</v>
      </c>
      <c r="J368">
        <v>3021.11</v>
      </c>
      <c r="K368">
        <v>0</v>
      </c>
      <c r="L368">
        <v>15105.55</v>
      </c>
      <c r="M368" t="s">
        <v>23</v>
      </c>
      <c r="N368" t="s">
        <v>71</v>
      </c>
      <c r="O368" t="s">
        <v>65</v>
      </c>
      <c r="P368" t="s">
        <v>42</v>
      </c>
      <c r="Q368" t="str">
        <f t="shared" si="35"/>
        <v>Completed</v>
      </c>
      <c r="R368" t="str">
        <f t="shared" si="36"/>
        <v>Online</v>
      </c>
      <c r="S368" t="str">
        <v>Upi</v>
      </c>
      <c r="T368" t="str">
        <v>Electronics</v>
      </c>
      <c r="U368" t="str">
        <f t="shared" si="37"/>
        <v>VALID</v>
      </c>
      <c r="V368" t="str">
        <f t="shared" si="38"/>
        <v>NORMAL</v>
      </c>
      <c r="W368" t="str">
        <f t="shared" si="39"/>
        <v>Valid</v>
      </c>
      <c r="X368">
        <f t="shared" si="41"/>
        <v>15105.550000000001</v>
      </c>
      <c r="Y368">
        <f t="shared" si="40"/>
        <v>15105.550000000001</v>
      </c>
    </row>
    <row r="369" spans="1:25" x14ac:dyDescent="0.3">
      <c r="A369" t="s">
        <v>664</v>
      </c>
      <c r="B369" s="1">
        <v>45987</v>
      </c>
      <c r="C369" t="s">
        <v>552</v>
      </c>
      <c r="D369" t="s">
        <v>45</v>
      </c>
      <c r="E369" t="s">
        <v>46</v>
      </c>
      <c r="F369" t="s">
        <v>31</v>
      </c>
      <c r="G369" t="s">
        <v>32</v>
      </c>
      <c r="H369" t="s">
        <v>68</v>
      </c>
      <c r="I369">
        <v>2</v>
      </c>
      <c r="J369">
        <v>1871.44</v>
      </c>
      <c r="K369">
        <v>0</v>
      </c>
      <c r="L369">
        <v>3742.88</v>
      </c>
      <c r="M369" t="s">
        <v>48</v>
      </c>
      <c r="N369" t="s">
        <v>24</v>
      </c>
      <c r="O369" t="s">
        <v>65</v>
      </c>
      <c r="P369" t="s">
        <v>111</v>
      </c>
      <c r="Q369" t="str">
        <f t="shared" si="35"/>
        <v>Completed</v>
      </c>
      <c r="R369" t="str">
        <f t="shared" si="36"/>
        <v>Marketplace</v>
      </c>
      <c r="S369" t="str">
        <v>Debit Card</v>
      </c>
      <c r="T369" t="str">
        <v>Electronics</v>
      </c>
      <c r="U369" t="str">
        <f t="shared" si="37"/>
        <v>VALID</v>
      </c>
      <c r="V369" t="str">
        <f t="shared" si="38"/>
        <v>NORMAL</v>
      </c>
      <c r="W369" t="str">
        <f t="shared" si="39"/>
        <v>Valid</v>
      </c>
      <c r="X369">
        <f t="shared" si="41"/>
        <v>3742.88</v>
      </c>
      <c r="Y369">
        <f t="shared" si="40"/>
        <v>3742.88</v>
      </c>
    </row>
    <row r="370" spans="1:25" x14ac:dyDescent="0.3">
      <c r="A370" t="s">
        <v>665</v>
      </c>
      <c r="B370" s="1">
        <v>46062</v>
      </c>
      <c r="C370" t="s">
        <v>319</v>
      </c>
      <c r="D370" t="s">
        <v>105</v>
      </c>
      <c r="E370" t="s">
        <v>106</v>
      </c>
      <c r="F370" t="s">
        <v>40</v>
      </c>
      <c r="G370" t="s">
        <v>21</v>
      </c>
      <c r="H370" t="s">
        <v>41</v>
      </c>
      <c r="I370">
        <v>1</v>
      </c>
      <c r="J370">
        <v>7765.91</v>
      </c>
      <c r="K370">
        <v>0.05</v>
      </c>
      <c r="L370">
        <v>7377.61</v>
      </c>
      <c r="M370" t="s">
        <v>23</v>
      </c>
      <c r="N370" t="s">
        <v>58</v>
      </c>
      <c r="O370" t="s">
        <v>65</v>
      </c>
      <c r="P370" t="s">
        <v>116</v>
      </c>
      <c r="Q370" t="str">
        <f t="shared" si="35"/>
        <v>Completed</v>
      </c>
      <c r="R370" t="str">
        <f t="shared" si="36"/>
        <v>Online</v>
      </c>
      <c r="S370" t="str">
        <v>Credit Card</v>
      </c>
      <c r="T370" t="str">
        <v>Furniture</v>
      </c>
      <c r="U370" t="str">
        <f t="shared" si="37"/>
        <v>VALID</v>
      </c>
      <c r="V370" t="str">
        <f t="shared" si="38"/>
        <v>NORMAL</v>
      </c>
      <c r="W370" t="str">
        <f t="shared" si="39"/>
        <v>Valid</v>
      </c>
      <c r="X370">
        <f t="shared" si="41"/>
        <v>7765.91</v>
      </c>
      <c r="Y370">
        <f t="shared" si="40"/>
        <v>7377.6144999999997</v>
      </c>
    </row>
    <row r="371" spans="1:25" x14ac:dyDescent="0.3">
      <c r="A371" t="s">
        <v>666</v>
      </c>
      <c r="B371" s="1">
        <v>45405</v>
      </c>
      <c r="C371" t="s">
        <v>424</v>
      </c>
      <c r="D371" t="s">
        <v>105</v>
      </c>
      <c r="E371" t="s">
        <v>106</v>
      </c>
      <c r="F371" t="s">
        <v>40</v>
      </c>
      <c r="G371" t="s">
        <v>21</v>
      </c>
      <c r="H371" t="s">
        <v>41</v>
      </c>
      <c r="I371">
        <v>4</v>
      </c>
      <c r="J371">
        <v>7536.7</v>
      </c>
      <c r="K371">
        <v>0.1</v>
      </c>
      <c r="L371">
        <v>27132.12</v>
      </c>
      <c r="M371" t="s">
        <v>76</v>
      </c>
      <c r="N371" t="s">
        <v>34</v>
      </c>
      <c r="O371" t="s">
        <v>65</v>
      </c>
      <c r="P371" t="s">
        <v>111</v>
      </c>
      <c r="Q371" t="str">
        <f t="shared" si="35"/>
        <v>Completed</v>
      </c>
      <c r="R371" t="str">
        <f t="shared" si="36"/>
        <v>Store</v>
      </c>
      <c r="S371" t="str">
        <v>Cash On Delivery</v>
      </c>
      <c r="T371" t="str">
        <v>Furniture</v>
      </c>
      <c r="U371" t="str">
        <f t="shared" si="37"/>
        <v>VALID</v>
      </c>
      <c r="V371" t="str">
        <f t="shared" si="38"/>
        <v>NORMAL</v>
      </c>
      <c r="W371" t="str">
        <f t="shared" si="39"/>
        <v>Valid</v>
      </c>
      <c r="X371">
        <f t="shared" si="41"/>
        <v>30146.799999999999</v>
      </c>
      <c r="Y371">
        <f t="shared" si="40"/>
        <v>27132.12</v>
      </c>
    </row>
    <row r="372" spans="1:25" x14ac:dyDescent="0.3">
      <c r="A372" t="s">
        <v>667</v>
      </c>
      <c r="B372" s="1">
        <v>45477</v>
      </c>
      <c r="D372" t="s">
        <v>79</v>
      </c>
      <c r="E372" t="s">
        <v>80</v>
      </c>
      <c r="F372" t="s">
        <v>31</v>
      </c>
      <c r="G372" t="s">
        <v>21</v>
      </c>
      <c r="H372" t="s">
        <v>126</v>
      </c>
      <c r="I372">
        <v>3</v>
      </c>
      <c r="J372">
        <v>12159.57</v>
      </c>
      <c r="K372">
        <v>0.15</v>
      </c>
      <c r="L372">
        <v>31006.9</v>
      </c>
      <c r="M372" t="s">
        <v>48</v>
      </c>
      <c r="N372" t="s">
        <v>24</v>
      </c>
      <c r="O372" t="s">
        <v>35</v>
      </c>
      <c r="P372" t="s">
        <v>102</v>
      </c>
      <c r="Q372" t="str">
        <f t="shared" si="35"/>
        <v>Cancelled</v>
      </c>
      <c r="R372" t="str">
        <f t="shared" si="36"/>
        <v>Marketplace</v>
      </c>
      <c r="S372" t="str">
        <v>Debit Card</v>
      </c>
      <c r="T372" t="str">
        <v>Electronics</v>
      </c>
      <c r="U372" t="str">
        <f t="shared" si="37"/>
        <v>VALID</v>
      </c>
      <c r="V372" t="str">
        <f t="shared" si="38"/>
        <v>NORMAL</v>
      </c>
      <c r="W372" t="str">
        <f t="shared" si="39"/>
        <v>Valid</v>
      </c>
      <c r="X372">
        <f t="shared" si="41"/>
        <v>36478.71</v>
      </c>
      <c r="Y372">
        <f t="shared" si="40"/>
        <v>31006.9035</v>
      </c>
    </row>
    <row r="373" spans="1:25" x14ac:dyDescent="0.3">
      <c r="A373" t="s">
        <v>668</v>
      </c>
      <c r="B373" s="1">
        <v>46180</v>
      </c>
      <c r="C373" t="s">
        <v>313</v>
      </c>
      <c r="D373" t="s">
        <v>53</v>
      </c>
      <c r="E373" t="s">
        <v>54</v>
      </c>
      <c r="F373" t="s">
        <v>55</v>
      </c>
      <c r="G373" t="s">
        <v>56</v>
      </c>
      <c r="H373" t="s">
        <v>64</v>
      </c>
      <c r="I373">
        <v>1</v>
      </c>
      <c r="J373">
        <v>219.55</v>
      </c>
      <c r="K373">
        <v>0.08</v>
      </c>
      <c r="L373">
        <v>201.99</v>
      </c>
      <c r="M373" t="s">
        <v>76</v>
      </c>
      <c r="N373" t="s">
        <v>58</v>
      </c>
      <c r="O373" t="s">
        <v>25</v>
      </c>
      <c r="P373" t="s">
        <v>116</v>
      </c>
      <c r="Q373" t="str">
        <f t="shared" si="35"/>
        <v>Returned</v>
      </c>
      <c r="R373" t="str">
        <f t="shared" si="36"/>
        <v>Store</v>
      </c>
      <c r="S373" t="str">
        <v>Credit Card</v>
      </c>
      <c r="T373" t="str">
        <v>Stationery</v>
      </c>
      <c r="U373" t="str">
        <f t="shared" si="37"/>
        <v>VALID</v>
      </c>
      <c r="V373" t="str">
        <f t="shared" si="38"/>
        <v>NORMAL</v>
      </c>
      <c r="W373" t="str">
        <f t="shared" si="39"/>
        <v>Valid</v>
      </c>
      <c r="X373">
        <f t="shared" si="41"/>
        <v>219.55</v>
      </c>
      <c r="Y373">
        <f t="shared" si="40"/>
        <v>201.98600000000002</v>
      </c>
    </row>
    <row r="374" spans="1:25" x14ac:dyDescent="0.3">
      <c r="A374" t="s">
        <v>669</v>
      </c>
      <c r="B374" s="1">
        <v>45416</v>
      </c>
      <c r="C374" t="s">
        <v>587</v>
      </c>
      <c r="D374" t="s">
        <v>96</v>
      </c>
      <c r="E374" t="s">
        <v>97</v>
      </c>
      <c r="F374" t="s">
        <v>31</v>
      </c>
      <c r="G374" t="s">
        <v>32</v>
      </c>
      <c r="H374" t="s">
        <v>47</v>
      </c>
      <c r="I374">
        <v>5</v>
      </c>
      <c r="J374">
        <v>1142.01</v>
      </c>
      <c r="K374">
        <v>0.15</v>
      </c>
      <c r="L374">
        <v>4853.54</v>
      </c>
      <c r="M374" t="s">
        <v>48</v>
      </c>
      <c r="N374" t="s">
        <v>34</v>
      </c>
      <c r="O374" t="s">
        <v>65</v>
      </c>
      <c r="P374" t="s">
        <v>50</v>
      </c>
      <c r="Q374" t="str">
        <f t="shared" si="35"/>
        <v>Completed</v>
      </c>
      <c r="R374" t="str">
        <f t="shared" si="36"/>
        <v>Marketplace</v>
      </c>
      <c r="S374" t="str">
        <v>Cash On Delivery</v>
      </c>
      <c r="T374" t="str">
        <v>Electronics</v>
      </c>
      <c r="U374" t="str">
        <f t="shared" si="37"/>
        <v>VALID</v>
      </c>
      <c r="V374" t="str">
        <f t="shared" si="38"/>
        <v>NORMAL</v>
      </c>
      <c r="W374" t="str">
        <f t="shared" si="39"/>
        <v>Valid</v>
      </c>
      <c r="X374">
        <f t="shared" si="41"/>
        <v>5710.05</v>
      </c>
      <c r="Y374">
        <f t="shared" si="40"/>
        <v>4853.5425000000005</v>
      </c>
    </row>
    <row r="375" spans="1:25" x14ac:dyDescent="0.3">
      <c r="A375" t="s">
        <v>670</v>
      </c>
      <c r="B375" s="1">
        <v>46113</v>
      </c>
      <c r="C375" t="s">
        <v>194</v>
      </c>
      <c r="D375" t="s">
        <v>62</v>
      </c>
      <c r="E375" t="s">
        <v>63</v>
      </c>
      <c r="F375" t="s">
        <v>31</v>
      </c>
      <c r="G375" t="s">
        <v>21</v>
      </c>
      <c r="H375" t="s">
        <v>126</v>
      </c>
      <c r="I375">
        <v>1</v>
      </c>
      <c r="J375">
        <v>2885.95</v>
      </c>
      <c r="K375">
        <v>0</v>
      </c>
      <c r="L375">
        <v>2885.95</v>
      </c>
      <c r="M375" t="s">
        <v>23</v>
      </c>
      <c r="N375" t="s">
        <v>49</v>
      </c>
      <c r="O375" t="s">
        <v>65</v>
      </c>
      <c r="P375" t="s">
        <v>111</v>
      </c>
      <c r="Q375" t="str">
        <f t="shared" si="35"/>
        <v>Completed</v>
      </c>
      <c r="R375" t="str">
        <f t="shared" si="36"/>
        <v>Online</v>
      </c>
      <c r="S375" t="str">
        <v>Net Banking</v>
      </c>
      <c r="T375" t="str">
        <v>Electronics</v>
      </c>
      <c r="U375" t="str">
        <f t="shared" si="37"/>
        <v>VALID</v>
      </c>
      <c r="V375" t="str">
        <f t="shared" si="38"/>
        <v>NORMAL</v>
      </c>
      <c r="W375" t="str">
        <f t="shared" si="39"/>
        <v>Valid</v>
      </c>
      <c r="X375">
        <f t="shared" si="41"/>
        <v>2885.95</v>
      </c>
      <c r="Y375">
        <f t="shared" si="40"/>
        <v>2885.95</v>
      </c>
    </row>
    <row r="376" spans="1:25" x14ac:dyDescent="0.3">
      <c r="A376" t="s">
        <v>671</v>
      </c>
      <c r="B376" s="1">
        <v>46105</v>
      </c>
      <c r="C376" t="s">
        <v>672</v>
      </c>
      <c r="D376" t="s">
        <v>29</v>
      </c>
      <c r="E376" t="s">
        <v>30</v>
      </c>
      <c r="F376" t="s">
        <v>31</v>
      </c>
      <c r="G376" t="s">
        <v>32</v>
      </c>
      <c r="H376" t="s">
        <v>68</v>
      </c>
      <c r="I376">
        <v>3</v>
      </c>
      <c r="J376">
        <v>3301</v>
      </c>
      <c r="K376">
        <v>0.08</v>
      </c>
      <c r="L376">
        <v>9110.76</v>
      </c>
      <c r="M376" t="s">
        <v>48</v>
      </c>
      <c r="N376" t="s">
        <v>71</v>
      </c>
      <c r="O376" t="s">
        <v>65</v>
      </c>
      <c r="P376" t="s">
        <v>50</v>
      </c>
      <c r="Q376" t="str">
        <f t="shared" si="35"/>
        <v>Completed</v>
      </c>
      <c r="R376" t="str">
        <f t="shared" si="36"/>
        <v>Marketplace</v>
      </c>
      <c r="S376" t="str">
        <v>Upi</v>
      </c>
      <c r="T376" t="str">
        <v>Electronics</v>
      </c>
      <c r="U376" t="str">
        <f t="shared" si="37"/>
        <v>VALID</v>
      </c>
      <c r="V376" t="str">
        <f t="shared" si="38"/>
        <v>NORMAL</v>
      </c>
      <c r="W376" t="str">
        <f t="shared" si="39"/>
        <v>Valid</v>
      </c>
      <c r="X376">
        <f t="shared" si="41"/>
        <v>9903</v>
      </c>
      <c r="Y376">
        <f t="shared" si="40"/>
        <v>9110.76</v>
      </c>
    </row>
    <row r="377" spans="1:25" x14ac:dyDescent="0.3">
      <c r="A377" t="s">
        <v>673</v>
      </c>
      <c r="B377" s="1">
        <v>45897</v>
      </c>
      <c r="C377" t="s">
        <v>623</v>
      </c>
      <c r="D377" t="s">
        <v>121</v>
      </c>
      <c r="E377" t="s">
        <v>122</v>
      </c>
      <c r="F377" t="s">
        <v>55</v>
      </c>
      <c r="G377" t="s">
        <v>56</v>
      </c>
      <c r="H377" t="s">
        <v>64</v>
      </c>
      <c r="I377">
        <v>4</v>
      </c>
      <c r="J377">
        <v>485.83</v>
      </c>
      <c r="K377">
        <v>0.15</v>
      </c>
      <c r="L377">
        <v>1651.82</v>
      </c>
      <c r="M377" t="s">
        <v>23</v>
      </c>
      <c r="N377" t="s">
        <v>58</v>
      </c>
      <c r="O377" t="s">
        <v>35</v>
      </c>
      <c r="P377" t="s">
        <v>116</v>
      </c>
      <c r="Q377" t="str">
        <f t="shared" si="35"/>
        <v>Cancelled</v>
      </c>
      <c r="R377" t="str">
        <f t="shared" si="36"/>
        <v>Online</v>
      </c>
      <c r="S377" t="str">
        <v>Credit Card</v>
      </c>
      <c r="T377" t="str">
        <v>Stationery</v>
      </c>
      <c r="U377" t="str">
        <f t="shared" si="37"/>
        <v>VALID</v>
      </c>
      <c r="V377" t="str">
        <f t="shared" si="38"/>
        <v>NORMAL</v>
      </c>
      <c r="W377" t="str">
        <f t="shared" si="39"/>
        <v>Valid</v>
      </c>
      <c r="X377">
        <f t="shared" si="41"/>
        <v>1943.32</v>
      </c>
      <c r="Y377">
        <f t="shared" si="40"/>
        <v>1651.8219999999999</v>
      </c>
    </row>
    <row r="378" spans="1:25" x14ac:dyDescent="0.3">
      <c r="A378" t="s">
        <v>674</v>
      </c>
      <c r="B378" s="1">
        <v>45600</v>
      </c>
      <c r="C378" t="s">
        <v>675</v>
      </c>
      <c r="D378" t="s">
        <v>53</v>
      </c>
      <c r="E378" t="s">
        <v>54</v>
      </c>
      <c r="F378" t="s">
        <v>55</v>
      </c>
      <c r="G378" t="s">
        <v>32</v>
      </c>
      <c r="H378" t="s">
        <v>47</v>
      </c>
      <c r="I378">
        <v>3</v>
      </c>
      <c r="J378">
        <v>216.63</v>
      </c>
      <c r="K378">
        <v>0</v>
      </c>
      <c r="L378">
        <v>649.89</v>
      </c>
      <c r="M378" t="s">
        <v>76</v>
      </c>
      <c r="N378" t="s">
        <v>49</v>
      </c>
      <c r="O378" t="s">
        <v>65</v>
      </c>
      <c r="P378" t="s">
        <v>42</v>
      </c>
      <c r="Q378" t="str">
        <f t="shared" si="35"/>
        <v>Completed</v>
      </c>
      <c r="R378" t="str">
        <f t="shared" si="36"/>
        <v>Store</v>
      </c>
      <c r="S378" t="str">
        <v>Net Banking</v>
      </c>
      <c r="T378" t="str">
        <v>Stationery</v>
      </c>
      <c r="U378" t="str">
        <f t="shared" si="37"/>
        <v>VALID</v>
      </c>
      <c r="V378" t="str">
        <f t="shared" si="38"/>
        <v>NORMAL</v>
      </c>
      <c r="W378" t="str">
        <f t="shared" si="39"/>
        <v>Valid</v>
      </c>
      <c r="X378">
        <f t="shared" si="41"/>
        <v>649.89</v>
      </c>
      <c r="Y378">
        <f t="shared" si="40"/>
        <v>649.89</v>
      </c>
    </row>
    <row r="379" spans="1:25" x14ac:dyDescent="0.3">
      <c r="A379" t="s">
        <v>676</v>
      </c>
      <c r="B379" s="1">
        <v>45891</v>
      </c>
      <c r="C379" t="s">
        <v>394</v>
      </c>
      <c r="D379" t="s">
        <v>176</v>
      </c>
      <c r="E379" t="s">
        <v>177</v>
      </c>
      <c r="F379" t="s">
        <v>31</v>
      </c>
      <c r="G379" t="s">
        <v>21</v>
      </c>
      <c r="H379" t="s">
        <v>126</v>
      </c>
      <c r="I379">
        <v>1</v>
      </c>
      <c r="J379">
        <v>2302.17</v>
      </c>
      <c r="K379">
        <v>0.1</v>
      </c>
      <c r="L379">
        <v>2071.9499999999998</v>
      </c>
      <c r="M379" t="s">
        <v>48</v>
      </c>
      <c r="N379" t="s">
        <v>24</v>
      </c>
      <c r="O379" t="s">
        <v>65</v>
      </c>
      <c r="P379" t="s">
        <v>116</v>
      </c>
      <c r="Q379" t="str">
        <f t="shared" si="35"/>
        <v>Completed</v>
      </c>
      <c r="R379" t="str">
        <f t="shared" si="36"/>
        <v>Marketplace</v>
      </c>
      <c r="S379" t="str">
        <v>Debit Card</v>
      </c>
      <c r="T379" t="str">
        <v>Electronics</v>
      </c>
      <c r="U379" t="str">
        <f t="shared" si="37"/>
        <v>VALID</v>
      </c>
      <c r="V379" t="str">
        <f t="shared" si="38"/>
        <v>NORMAL</v>
      </c>
      <c r="W379" t="str">
        <f t="shared" si="39"/>
        <v>Valid</v>
      </c>
      <c r="X379">
        <f t="shared" si="41"/>
        <v>2302.17</v>
      </c>
      <c r="Y379">
        <f t="shared" si="40"/>
        <v>2071.953</v>
      </c>
    </row>
    <row r="380" spans="1:25" x14ac:dyDescent="0.3">
      <c r="A380" t="s">
        <v>677</v>
      </c>
      <c r="B380" s="1">
        <v>46001</v>
      </c>
      <c r="C380" t="s">
        <v>516</v>
      </c>
      <c r="D380" t="s">
        <v>96</v>
      </c>
      <c r="E380" t="s">
        <v>97</v>
      </c>
      <c r="F380" t="s">
        <v>31</v>
      </c>
      <c r="G380" t="s">
        <v>81</v>
      </c>
      <c r="H380" t="s">
        <v>82</v>
      </c>
      <c r="I380">
        <v>2</v>
      </c>
      <c r="J380">
        <v>1271.6099999999999</v>
      </c>
      <c r="K380">
        <v>0.15</v>
      </c>
      <c r="L380">
        <v>2161.7399999999998</v>
      </c>
      <c r="M380" t="s">
        <v>48</v>
      </c>
      <c r="N380" t="s">
        <v>58</v>
      </c>
      <c r="O380" t="s">
        <v>65</v>
      </c>
      <c r="P380" t="s">
        <v>59</v>
      </c>
      <c r="Q380" t="str">
        <f t="shared" si="35"/>
        <v>Completed</v>
      </c>
      <c r="R380" t="str">
        <f t="shared" si="36"/>
        <v>Marketplace</v>
      </c>
      <c r="S380" t="str">
        <v>Credit Card</v>
      </c>
      <c r="T380" t="str">
        <v>Electronics</v>
      </c>
      <c r="U380" t="str">
        <f t="shared" si="37"/>
        <v>VALID</v>
      </c>
      <c r="V380" t="str">
        <f t="shared" si="38"/>
        <v>NORMAL</v>
      </c>
      <c r="W380" t="str">
        <f t="shared" si="39"/>
        <v>Valid</v>
      </c>
      <c r="X380">
        <f t="shared" si="41"/>
        <v>2543.2199999999998</v>
      </c>
      <c r="Y380">
        <f t="shared" si="40"/>
        <v>2161.7370000000001</v>
      </c>
    </row>
    <row r="381" spans="1:25" x14ac:dyDescent="0.3">
      <c r="A381" t="s">
        <v>678</v>
      </c>
      <c r="B381" s="1">
        <v>45832</v>
      </c>
      <c r="C381" t="s">
        <v>334</v>
      </c>
      <c r="D381" t="s">
        <v>45</v>
      </c>
      <c r="E381" t="s">
        <v>46</v>
      </c>
      <c r="F381" t="s">
        <v>31</v>
      </c>
      <c r="G381" t="s">
        <v>81</v>
      </c>
      <c r="H381" t="s">
        <v>82</v>
      </c>
      <c r="I381">
        <v>1</v>
      </c>
      <c r="J381">
        <v>1894.3</v>
      </c>
      <c r="K381">
        <v>0.15</v>
      </c>
      <c r="L381">
        <v>1610.15</v>
      </c>
      <c r="M381" t="s">
        <v>48</v>
      </c>
      <c r="N381" t="s">
        <v>24</v>
      </c>
      <c r="O381" t="s">
        <v>65</v>
      </c>
      <c r="P381" t="s">
        <v>42</v>
      </c>
      <c r="Q381" t="str">
        <f t="shared" si="35"/>
        <v>Completed</v>
      </c>
      <c r="R381" t="str">
        <f t="shared" si="36"/>
        <v>Marketplace</v>
      </c>
      <c r="S381" t="str">
        <v>Debit Card</v>
      </c>
      <c r="T381" t="str">
        <v>Electronics</v>
      </c>
      <c r="U381" t="str">
        <f t="shared" si="37"/>
        <v>VALID</v>
      </c>
      <c r="V381" t="str">
        <f t="shared" si="38"/>
        <v>NORMAL</v>
      </c>
      <c r="W381" t="str">
        <f t="shared" si="39"/>
        <v>Valid</v>
      </c>
      <c r="X381">
        <f t="shared" si="41"/>
        <v>1894.3</v>
      </c>
      <c r="Y381">
        <f t="shared" si="40"/>
        <v>1610.155</v>
      </c>
    </row>
    <row r="382" spans="1:25" x14ac:dyDescent="0.3">
      <c r="A382" t="s">
        <v>679</v>
      </c>
      <c r="B382" s="1">
        <v>45955</v>
      </c>
      <c r="C382" t="s">
        <v>323</v>
      </c>
      <c r="D382" t="s">
        <v>121</v>
      </c>
      <c r="E382" t="s">
        <v>122</v>
      </c>
      <c r="F382" t="s">
        <v>55</v>
      </c>
      <c r="G382" t="s">
        <v>32</v>
      </c>
      <c r="H382" t="s">
        <v>33</v>
      </c>
      <c r="I382">
        <v>5</v>
      </c>
      <c r="J382">
        <v>451.42</v>
      </c>
      <c r="K382">
        <v>0</v>
      </c>
      <c r="L382">
        <v>2257.1</v>
      </c>
      <c r="M382" t="s">
        <v>76</v>
      </c>
      <c r="N382" t="s">
        <v>58</v>
      </c>
      <c r="O382" t="s">
        <v>65</v>
      </c>
      <c r="P382" t="s">
        <v>111</v>
      </c>
      <c r="Q382" t="str">
        <f t="shared" si="35"/>
        <v>Completed</v>
      </c>
      <c r="R382" t="str">
        <f t="shared" si="36"/>
        <v>Store</v>
      </c>
      <c r="S382" t="str">
        <v>Credit Card</v>
      </c>
      <c r="T382" t="str">
        <v>Stationery</v>
      </c>
      <c r="U382" t="str">
        <f t="shared" si="37"/>
        <v>VALID</v>
      </c>
      <c r="V382" t="str">
        <f t="shared" si="38"/>
        <v>NORMAL</v>
      </c>
      <c r="W382" t="str">
        <f t="shared" si="39"/>
        <v>Valid</v>
      </c>
      <c r="X382">
        <f t="shared" si="41"/>
        <v>2257.1</v>
      </c>
      <c r="Y382">
        <f t="shared" si="40"/>
        <v>2257.1</v>
      </c>
    </row>
    <row r="383" spans="1:25" x14ac:dyDescent="0.3">
      <c r="A383" t="s">
        <v>680</v>
      </c>
      <c r="B383" s="1">
        <v>45422</v>
      </c>
      <c r="D383" t="s">
        <v>105</v>
      </c>
      <c r="E383" t="s">
        <v>106</v>
      </c>
      <c r="F383" t="s">
        <v>40</v>
      </c>
      <c r="G383" t="s">
        <v>81</v>
      </c>
      <c r="H383" t="s">
        <v>82</v>
      </c>
      <c r="I383">
        <v>1</v>
      </c>
      <c r="J383">
        <v>7711.65</v>
      </c>
      <c r="K383">
        <v>0.05</v>
      </c>
      <c r="L383">
        <v>7326.07</v>
      </c>
      <c r="M383" t="s">
        <v>48</v>
      </c>
      <c r="N383" t="s">
        <v>58</v>
      </c>
      <c r="O383" t="s">
        <v>25</v>
      </c>
      <c r="P383" t="s">
        <v>72</v>
      </c>
      <c r="Q383" t="str">
        <f t="shared" si="35"/>
        <v>Returned</v>
      </c>
      <c r="R383" t="str">
        <f t="shared" si="36"/>
        <v>Marketplace</v>
      </c>
      <c r="S383" t="str">
        <v>Credit Card</v>
      </c>
      <c r="T383" t="str">
        <v>Furniture</v>
      </c>
      <c r="U383" t="str">
        <f t="shared" si="37"/>
        <v>VALID</v>
      </c>
      <c r="V383" t="str">
        <f t="shared" si="38"/>
        <v>NORMAL</v>
      </c>
      <c r="W383" t="str">
        <f t="shared" si="39"/>
        <v>Valid</v>
      </c>
      <c r="X383">
        <f t="shared" si="41"/>
        <v>7711.65</v>
      </c>
      <c r="Y383">
        <f t="shared" si="40"/>
        <v>7326.0674999999992</v>
      </c>
    </row>
    <row r="384" spans="1:25" x14ac:dyDescent="0.3">
      <c r="A384" t="s">
        <v>681</v>
      </c>
      <c r="B384" s="1">
        <v>45497</v>
      </c>
      <c r="C384" t="s">
        <v>100</v>
      </c>
      <c r="D384" t="s">
        <v>105</v>
      </c>
      <c r="E384" t="s">
        <v>106</v>
      </c>
      <c r="F384" t="s">
        <v>40</v>
      </c>
      <c r="G384" t="s">
        <v>81</v>
      </c>
      <c r="H384" t="s">
        <v>135</v>
      </c>
      <c r="I384">
        <v>5</v>
      </c>
      <c r="J384">
        <v>7513.93</v>
      </c>
      <c r="K384">
        <v>0.15</v>
      </c>
      <c r="L384">
        <v>31934.2</v>
      </c>
      <c r="M384" t="s">
        <v>48</v>
      </c>
      <c r="N384" t="s">
        <v>24</v>
      </c>
      <c r="O384" t="s">
        <v>65</v>
      </c>
      <c r="P384" t="s">
        <v>102</v>
      </c>
      <c r="Q384" t="str">
        <f t="shared" si="35"/>
        <v>Completed</v>
      </c>
      <c r="R384" t="str">
        <f t="shared" si="36"/>
        <v>Marketplace</v>
      </c>
      <c r="S384" t="str">
        <v>Debit Card</v>
      </c>
      <c r="T384" t="str">
        <v>Furniture</v>
      </c>
      <c r="U384" t="str">
        <f t="shared" si="37"/>
        <v>VALID</v>
      </c>
      <c r="V384" t="str">
        <f t="shared" si="38"/>
        <v>NORMAL</v>
      </c>
      <c r="W384" t="str">
        <f t="shared" si="39"/>
        <v>Valid</v>
      </c>
      <c r="X384">
        <f t="shared" si="41"/>
        <v>37569.65</v>
      </c>
      <c r="Y384">
        <f t="shared" si="40"/>
        <v>31934.202499999999</v>
      </c>
    </row>
    <row r="385" spans="1:25" x14ac:dyDescent="0.3">
      <c r="A385" t="s">
        <v>682</v>
      </c>
      <c r="B385" s="1">
        <v>45847</v>
      </c>
      <c r="C385" t="s">
        <v>683</v>
      </c>
      <c r="D385" t="s">
        <v>62</v>
      </c>
      <c r="E385" t="s">
        <v>63</v>
      </c>
      <c r="F385" t="s">
        <v>31</v>
      </c>
      <c r="G385" t="s">
        <v>32</v>
      </c>
      <c r="H385" t="s">
        <v>47</v>
      </c>
      <c r="I385">
        <v>1</v>
      </c>
      <c r="J385">
        <v>2598.8200000000002</v>
      </c>
      <c r="K385">
        <v>0.05</v>
      </c>
      <c r="L385">
        <v>2468.88</v>
      </c>
      <c r="M385" t="s">
        <v>48</v>
      </c>
      <c r="N385" t="s">
        <v>34</v>
      </c>
      <c r="O385" t="s">
        <v>65</v>
      </c>
      <c r="P385" t="s">
        <v>116</v>
      </c>
      <c r="Q385" t="str">
        <f t="shared" si="35"/>
        <v>Completed</v>
      </c>
      <c r="R385" t="str">
        <f t="shared" si="36"/>
        <v>Marketplace</v>
      </c>
      <c r="S385" t="str">
        <v>Cash On Delivery</v>
      </c>
      <c r="T385" t="str">
        <v>Electronics</v>
      </c>
      <c r="U385" t="str">
        <f t="shared" si="37"/>
        <v>VALID</v>
      </c>
      <c r="V385" t="str">
        <f t="shared" si="38"/>
        <v>NORMAL</v>
      </c>
      <c r="W385" t="str">
        <f t="shared" si="39"/>
        <v>Valid</v>
      </c>
      <c r="X385">
        <f t="shared" si="41"/>
        <v>2598.8200000000002</v>
      </c>
      <c r="Y385">
        <f t="shared" si="40"/>
        <v>2468.8790000000004</v>
      </c>
    </row>
    <row r="386" spans="1:25" x14ac:dyDescent="0.3">
      <c r="A386" t="s">
        <v>684</v>
      </c>
      <c r="B386" s="1">
        <v>46196</v>
      </c>
      <c r="C386" t="s">
        <v>685</v>
      </c>
      <c r="D386" t="s">
        <v>85</v>
      </c>
      <c r="E386" t="s">
        <v>86</v>
      </c>
      <c r="F386" t="s">
        <v>20</v>
      </c>
      <c r="G386" t="s">
        <v>21</v>
      </c>
      <c r="H386" t="s">
        <v>22</v>
      </c>
      <c r="I386">
        <v>2</v>
      </c>
      <c r="J386">
        <v>1799.6</v>
      </c>
      <c r="K386">
        <v>0.15</v>
      </c>
      <c r="L386">
        <v>3059.32</v>
      </c>
      <c r="M386" t="s">
        <v>23</v>
      </c>
      <c r="N386" t="s">
        <v>49</v>
      </c>
      <c r="O386" t="s">
        <v>35</v>
      </c>
      <c r="P386" t="s">
        <v>111</v>
      </c>
      <c r="Q386" t="str">
        <f t="shared" si="35"/>
        <v>Cancelled</v>
      </c>
      <c r="R386" t="str">
        <f t="shared" si="36"/>
        <v>Online</v>
      </c>
      <c r="S386" t="str">
        <v>Net Banking</v>
      </c>
      <c r="T386" t="str">
        <v>Accessories</v>
      </c>
      <c r="U386" t="str">
        <f t="shared" si="37"/>
        <v>VALID</v>
      </c>
      <c r="V386" t="str">
        <f t="shared" si="38"/>
        <v>NORMAL</v>
      </c>
      <c r="W386" t="str">
        <f t="shared" si="39"/>
        <v>Valid</v>
      </c>
      <c r="X386">
        <f t="shared" si="41"/>
        <v>3599.2</v>
      </c>
      <c r="Y386">
        <f t="shared" si="40"/>
        <v>3059.3199999999997</v>
      </c>
    </row>
    <row r="387" spans="1:25" x14ac:dyDescent="0.3">
      <c r="A387" t="s">
        <v>686</v>
      </c>
      <c r="B387" s="1">
        <v>46158</v>
      </c>
      <c r="C387" t="s">
        <v>687</v>
      </c>
      <c r="D387" t="s">
        <v>53</v>
      </c>
      <c r="E387" t="s">
        <v>54</v>
      </c>
      <c r="F387" t="s">
        <v>55</v>
      </c>
      <c r="G387" t="s">
        <v>32</v>
      </c>
      <c r="H387" t="s">
        <v>47</v>
      </c>
      <c r="I387">
        <v>4</v>
      </c>
      <c r="J387">
        <v>204.28</v>
      </c>
      <c r="K387">
        <v>0.03</v>
      </c>
      <c r="L387">
        <v>792.61</v>
      </c>
      <c r="M387" t="s">
        <v>76</v>
      </c>
      <c r="N387" t="s">
        <v>34</v>
      </c>
      <c r="O387" t="s">
        <v>65</v>
      </c>
      <c r="P387" t="s">
        <v>116</v>
      </c>
      <c r="Q387" t="str">
        <f t="shared" ref="Q387:Q450" si="42">PROPER(O387)</f>
        <v>Completed</v>
      </c>
      <c r="R387" t="str">
        <f t="shared" ref="R387:R450" si="43">PROPER(M387)</f>
        <v>Store</v>
      </c>
      <c r="S387" t="str">
        <v>Cash On Delivery</v>
      </c>
      <c r="T387" t="str">
        <v>Stationery</v>
      </c>
      <c r="U387" t="str">
        <f t="shared" ref="U387:U450" si="44">IF(I387&lt;=0,"INVALID","VALID")</f>
        <v>VALID</v>
      </c>
      <c r="V387" t="str">
        <f t="shared" ref="V387:V450" si="45">IF(I387&gt;100,"REVIEW","NORMAL")</f>
        <v>NORMAL</v>
      </c>
      <c r="W387" t="str">
        <f t="shared" ref="W387:W450" si="46">IF(OR(K387&lt;0,K387&gt;1),"Invalid","Valid")</f>
        <v>Valid</v>
      </c>
      <c r="X387">
        <f t="shared" si="41"/>
        <v>817.12</v>
      </c>
      <c r="Y387">
        <f t="shared" ref="Y387:Y450" si="47">I387*J387-(I387*J387*K387)</f>
        <v>792.60640000000001</v>
      </c>
    </row>
    <row r="388" spans="1:25" x14ac:dyDescent="0.3">
      <c r="A388" t="s">
        <v>688</v>
      </c>
      <c r="B388" s="1">
        <v>46003</v>
      </c>
      <c r="C388" t="s">
        <v>419</v>
      </c>
      <c r="D388" t="s">
        <v>176</v>
      </c>
      <c r="E388" t="s">
        <v>177</v>
      </c>
      <c r="F388" t="s">
        <v>31</v>
      </c>
      <c r="G388" t="s">
        <v>32</v>
      </c>
      <c r="H388" t="s">
        <v>33</v>
      </c>
      <c r="I388">
        <v>3</v>
      </c>
      <c r="J388">
        <v>2066.0500000000002</v>
      </c>
      <c r="L388">
        <v>5578.34</v>
      </c>
      <c r="M388" t="s">
        <v>23</v>
      </c>
      <c r="N388" t="s">
        <v>49</v>
      </c>
      <c r="O388" t="s">
        <v>65</v>
      </c>
      <c r="P388" t="s">
        <v>42</v>
      </c>
      <c r="Q388" t="str">
        <f t="shared" si="42"/>
        <v>Completed</v>
      </c>
      <c r="R388" t="str">
        <f t="shared" si="43"/>
        <v>Online</v>
      </c>
      <c r="S388" t="str">
        <v>Net Banking</v>
      </c>
      <c r="T388" t="str">
        <v>Electronics</v>
      </c>
      <c r="U388" t="str">
        <f t="shared" si="44"/>
        <v>VALID</v>
      </c>
      <c r="V388" t="str">
        <f t="shared" si="45"/>
        <v>NORMAL</v>
      </c>
      <c r="W388" t="str">
        <f t="shared" si="46"/>
        <v>Valid</v>
      </c>
      <c r="X388">
        <f t="shared" ref="X388:X451" si="48">I388*J388</f>
        <v>6198.1500000000005</v>
      </c>
      <c r="Y388">
        <f t="shared" si="47"/>
        <v>6198.1500000000005</v>
      </c>
    </row>
    <row r="389" spans="1:25" x14ac:dyDescent="0.3">
      <c r="A389" t="s">
        <v>689</v>
      </c>
      <c r="B389" s="1">
        <v>46055</v>
      </c>
      <c r="C389" t="s">
        <v>558</v>
      </c>
      <c r="D389" t="s">
        <v>105</v>
      </c>
      <c r="E389" t="s">
        <v>106</v>
      </c>
      <c r="F389" t="s">
        <v>40</v>
      </c>
      <c r="G389" t="s">
        <v>81</v>
      </c>
      <c r="H389" t="s">
        <v>98</v>
      </c>
      <c r="I389">
        <v>1</v>
      </c>
      <c r="J389">
        <v>7256</v>
      </c>
      <c r="K389">
        <v>0.03</v>
      </c>
      <c r="L389">
        <v>7038.32</v>
      </c>
      <c r="M389" t="s">
        <v>76</v>
      </c>
      <c r="N389" t="s">
        <v>71</v>
      </c>
      <c r="O389" t="s">
        <v>65</v>
      </c>
      <c r="P389" t="s">
        <v>116</v>
      </c>
      <c r="Q389" t="str">
        <f t="shared" si="42"/>
        <v>Completed</v>
      </c>
      <c r="R389" t="str">
        <f t="shared" si="43"/>
        <v>Store</v>
      </c>
      <c r="S389" t="str">
        <v>Upi</v>
      </c>
      <c r="T389" t="str">
        <v>Furniture</v>
      </c>
      <c r="U389" t="str">
        <f t="shared" si="44"/>
        <v>VALID</v>
      </c>
      <c r="V389" t="str">
        <f t="shared" si="45"/>
        <v>NORMAL</v>
      </c>
      <c r="W389" t="str">
        <f t="shared" si="46"/>
        <v>Valid</v>
      </c>
      <c r="X389">
        <f t="shared" si="48"/>
        <v>7256</v>
      </c>
      <c r="Y389">
        <f t="shared" si="47"/>
        <v>7038.32</v>
      </c>
    </row>
    <row r="390" spans="1:25" x14ac:dyDescent="0.3">
      <c r="A390" t="s">
        <v>690</v>
      </c>
      <c r="B390" s="1">
        <v>46029</v>
      </c>
      <c r="C390" t="s">
        <v>377</v>
      </c>
      <c r="D390" t="s">
        <v>105</v>
      </c>
      <c r="E390" t="s">
        <v>106</v>
      </c>
      <c r="F390" t="s">
        <v>40</v>
      </c>
      <c r="G390" t="s">
        <v>32</v>
      </c>
      <c r="H390" t="s">
        <v>47</v>
      </c>
      <c r="I390">
        <v>4</v>
      </c>
      <c r="J390">
        <v>6797.94</v>
      </c>
      <c r="K390">
        <v>0.05</v>
      </c>
      <c r="L390">
        <v>25832.17</v>
      </c>
      <c r="M390" t="s">
        <v>48</v>
      </c>
      <c r="N390" t="s">
        <v>71</v>
      </c>
      <c r="O390" t="s">
        <v>25</v>
      </c>
      <c r="P390" t="s">
        <v>102</v>
      </c>
      <c r="Q390" t="str">
        <f t="shared" si="42"/>
        <v>Returned</v>
      </c>
      <c r="R390" t="str">
        <f t="shared" si="43"/>
        <v>Marketplace</v>
      </c>
      <c r="S390" t="str">
        <v>Upi</v>
      </c>
      <c r="T390" t="str">
        <v>Furniture</v>
      </c>
      <c r="U390" t="str">
        <f t="shared" si="44"/>
        <v>VALID</v>
      </c>
      <c r="V390" t="str">
        <f t="shared" si="45"/>
        <v>NORMAL</v>
      </c>
      <c r="W390" t="str">
        <f t="shared" si="46"/>
        <v>Valid</v>
      </c>
      <c r="X390">
        <f t="shared" si="48"/>
        <v>27191.759999999998</v>
      </c>
      <c r="Y390">
        <f t="shared" si="47"/>
        <v>25832.171999999999</v>
      </c>
    </row>
    <row r="391" spans="1:25" x14ac:dyDescent="0.3">
      <c r="A391" t="s">
        <v>691</v>
      </c>
      <c r="B391" s="1">
        <v>46048</v>
      </c>
      <c r="C391" t="s">
        <v>137</v>
      </c>
      <c r="D391" t="s">
        <v>79</v>
      </c>
      <c r="E391" t="s">
        <v>80</v>
      </c>
      <c r="F391" t="s">
        <v>31</v>
      </c>
      <c r="G391" t="s">
        <v>21</v>
      </c>
      <c r="H391" t="s">
        <v>126</v>
      </c>
      <c r="I391">
        <v>3</v>
      </c>
      <c r="J391">
        <v>12778.43</v>
      </c>
      <c r="K391">
        <v>0.1</v>
      </c>
      <c r="L391">
        <v>34501.760000000002</v>
      </c>
      <c r="M391" t="s">
        <v>76</v>
      </c>
      <c r="N391" t="s">
        <v>71</v>
      </c>
      <c r="O391" t="s">
        <v>65</v>
      </c>
      <c r="P391" t="s">
        <v>102</v>
      </c>
      <c r="Q391" t="str">
        <f t="shared" si="42"/>
        <v>Completed</v>
      </c>
      <c r="R391" t="str">
        <f t="shared" si="43"/>
        <v>Store</v>
      </c>
      <c r="S391" t="str">
        <v>Upi</v>
      </c>
      <c r="T391" t="str">
        <v>Electronics</v>
      </c>
      <c r="U391" t="str">
        <f t="shared" si="44"/>
        <v>VALID</v>
      </c>
      <c r="V391" t="str">
        <f t="shared" si="45"/>
        <v>NORMAL</v>
      </c>
      <c r="W391" t="str">
        <f t="shared" si="46"/>
        <v>Valid</v>
      </c>
      <c r="X391">
        <f t="shared" si="48"/>
        <v>38335.29</v>
      </c>
      <c r="Y391">
        <f t="shared" si="47"/>
        <v>34501.760999999999</v>
      </c>
    </row>
    <row r="392" spans="1:25" x14ac:dyDescent="0.3">
      <c r="A392" t="s">
        <v>692</v>
      </c>
      <c r="B392" s="1">
        <v>46121</v>
      </c>
      <c r="C392" t="s">
        <v>334</v>
      </c>
      <c r="D392" t="s">
        <v>85</v>
      </c>
      <c r="E392" t="s">
        <v>86</v>
      </c>
      <c r="F392" t="s">
        <v>20</v>
      </c>
      <c r="G392" t="s">
        <v>81</v>
      </c>
      <c r="H392" t="s">
        <v>135</v>
      </c>
      <c r="I392">
        <v>4</v>
      </c>
      <c r="J392">
        <v>1659.57</v>
      </c>
      <c r="K392">
        <v>0.03</v>
      </c>
      <c r="L392">
        <v>6439.13</v>
      </c>
      <c r="M392" t="s">
        <v>76</v>
      </c>
      <c r="N392" t="s">
        <v>58</v>
      </c>
      <c r="O392" t="s">
        <v>65</v>
      </c>
      <c r="P392" t="s">
        <v>72</v>
      </c>
      <c r="Q392" t="str">
        <f t="shared" si="42"/>
        <v>Completed</v>
      </c>
      <c r="R392" t="str">
        <f t="shared" si="43"/>
        <v>Store</v>
      </c>
      <c r="S392" t="str">
        <v>Credit Card</v>
      </c>
      <c r="T392" t="str">
        <v>Accessories</v>
      </c>
      <c r="U392" t="str">
        <f t="shared" si="44"/>
        <v>VALID</v>
      </c>
      <c r="V392" t="str">
        <f t="shared" si="45"/>
        <v>NORMAL</v>
      </c>
      <c r="W392" t="str">
        <f t="shared" si="46"/>
        <v>Valid</v>
      </c>
      <c r="X392">
        <f t="shared" si="48"/>
        <v>6638.28</v>
      </c>
      <c r="Y392">
        <f t="shared" si="47"/>
        <v>6439.1315999999997</v>
      </c>
    </row>
    <row r="393" spans="1:25" x14ac:dyDescent="0.3">
      <c r="A393" t="s">
        <v>693</v>
      </c>
      <c r="B393" s="1">
        <v>45690</v>
      </c>
      <c r="C393" t="s">
        <v>657</v>
      </c>
      <c r="D393" t="s">
        <v>53</v>
      </c>
      <c r="E393" t="s">
        <v>54</v>
      </c>
      <c r="F393" t="s">
        <v>55</v>
      </c>
      <c r="G393" t="s">
        <v>56</v>
      </c>
      <c r="H393" t="s">
        <v>123</v>
      </c>
      <c r="I393">
        <v>5</v>
      </c>
      <c r="J393">
        <v>220.97</v>
      </c>
      <c r="K393">
        <v>0.03</v>
      </c>
      <c r="L393">
        <v>1071.7</v>
      </c>
      <c r="M393" t="s">
        <v>23</v>
      </c>
      <c r="N393" t="s">
        <v>34</v>
      </c>
      <c r="O393" t="s">
        <v>65</v>
      </c>
      <c r="P393" t="s">
        <v>50</v>
      </c>
      <c r="Q393" t="str">
        <f t="shared" si="42"/>
        <v>Completed</v>
      </c>
      <c r="R393" t="str">
        <f t="shared" si="43"/>
        <v>Online</v>
      </c>
      <c r="S393" t="str">
        <v>Cash On Delivery</v>
      </c>
      <c r="T393" t="str">
        <v>Stationery</v>
      </c>
      <c r="U393" t="str">
        <f t="shared" si="44"/>
        <v>VALID</v>
      </c>
      <c r="V393" t="str">
        <f t="shared" si="45"/>
        <v>NORMAL</v>
      </c>
      <c r="W393" t="str">
        <f t="shared" si="46"/>
        <v>Valid</v>
      </c>
      <c r="X393">
        <f t="shared" si="48"/>
        <v>1104.8499999999999</v>
      </c>
      <c r="Y393">
        <f t="shared" si="47"/>
        <v>1071.7044999999998</v>
      </c>
    </row>
    <row r="394" spans="1:25" x14ac:dyDescent="0.3">
      <c r="A394" t="s">
        <v>694</v>
      </c>
      <c r="B394" s="1">
        <v>45853</v>
      </c>
      <c r="C394" t="s">
        <v>695</v>
      </c>
      <c r="D394" t="s">
        <v>131</v>
      </c>
      <c r="E394" t="s">
        <v>132</v>
      </c>
      <c r="F394" t="s">
        <v>40</v>
      </c>
      <c r="G394" t="s">
        <v>32</v>
      </c>
      <c r="H394" t="s">
        <v>68</v>
      </c>
      <c r="I394">
        <v>2</v>
      </c>
      <c r="J394">
        <v>9498.91</v>
      </c>
      <c r="K394">
        <v>0.08</v>
      </c>
      <c r="L394">
        <v>17477.990000000002</v>
      </c>
      <c r="M394" t="s">
        <v>76</v>
      </c>
      <c r="N394" t="s">
        <v>49</v>
      </c>
      <c r="O394" t="s">
        <v>25</v>
      </c>
      <c r="P394" t="s">
        <v>42</v>
      </c>
      <c r="Q394" t="str">
        <f t="shared" si="42"/>
        <v>Returned</v>
      </c>
      <c r="R394" t="str">
        <f t="shared" si="43"/>
        <v>Store</v>
      </c>
      <c r="S394" t="str">
        <v>Net Banking</v>
      </c>
      <c r="T394" t="str">
        <v>Furniture</v>
      </c>
      <c r="U394" t="str">
        <f t="shared" si="44"/>
        <v>VALID</v>
      </c>
      <c r="V394" t="str">
        <f t="shared" si="45"/>
        <v>NORMAL</v>
      </c>
      <c r="W394" t="str">
        <f t="shared" si="46"/>
        <v>Valid</v>
      </c>
      <c r="X394">
        <f t="shared" si="48"/>
        <v>18997.82</v>
      </c>
      <c r="Y394">
        <f t="shared" si="47"/>
        <v>17477.9944</v>
      </c>
    </row>
    <row r="395" spans="1:25" x14ac:dyDescent="0.3">
      <c r="A395" t="s">
        <v>696</v>
      </c>
      <c r="B395" s="1">
        <v>45552</v>
      </c>
      <c r="C395" t="s">
        <v>289</v>
      </c>
      <c r="D395" t="s">
        <v>85</v>
      </c>
      <c r="E395" t="s">
        <v>86</v>
      </c>
      <c r="F395" t="s">
        <v>20</v>
      </c>
      <c r="G395" t="s">
        <v>21</v>
      </c>
      <c r="H395" t="s">
        <v>93</v>
      </c>
      <c r="I395">
        <v>5</v>
      </c>
      <c r="J395">
        <v>1731.57</v>
      </c>
      <c r="K395">
        <v>0</v>
      </c>
      <c r="L395">
        <v>8657.85</v>
      </c>
      <c r="M395" t="s">
        <v>48</v>
      </c>
      <c r="N395" t="s">
        <v>71</v>
      </c>
      <c r="O395" t="s">
        <v>35</v>
      </c>
      <c r="P395" t="s">
        <v>116</v>
      </c>
      <c r="Q395" t="str">
        <f t="shared" si="42"/>
        <v>Cancelled</v>
      </c>
      <c r="R395" t="str">
        <f t="shared" si="43"/>
        <v>Marketplace</v>
      </c>
      <c r="S395" t="str">
        <v>Upi</v>
      </c>
      <c r="T395" t="str">
        <v>Accessories</v>
      </c>
      <c r="U395" t="str">
        <f t="shared" si="44"/>
        <v>VALID</v>
      </c>
      <c r="V395" t="str">
        <f t="shared" si="45"/>
        <v>NORMAL</v>
      </c>
      <c r="W395" t="str">
        <f t="shared" si="46"/>
        <v>Valid</v>
      </c>
      <c r="X395">
        <f t="shared" si="48"/>
        <v>8657.85</v>
      </c>
      <c r="Y395">
        <f t="shared" si="47"/>
        <v>8657.85</v>
      </c>
    </row>
    <row r="396" spans="1:25" x14ac:dyDescent="0.3">
      <c r="A396" t="s">
        <v>697</v>
      </c>
      <c r="B396" s="1">
        <v>45853</v>
      </c>
      <c r="C396" t="s">
        <v>698</v>
      </c>
      <c r="D396" t="s">
        <v>29</v>
      </c>
      <c r="E396" t="s">
        <v>30</v>
      </c>
      <c r="F396" t="s">
        <v>31</v>
      </c>
      <c r="G396" t="s">
        <v>81</v>
      </c>
      <c r="H396" t="s">
        <v>87</v>
      </c>
      <c r="I396">
        <v>4</v>
      </c>
      <c r="J396">
        <v>3253.22</v>
      </c>
      <c r="K396">
        <v>0.03</v>
      </c>
      <c r="L396">
        <v>12622.49</v>
      </c>
      <c r="M396" t="s">
        <v>76</v>
      </c>
      <c r="N396" t="s">
        <v>24</v>
      </c>
      <c r="O396" t="s">
        <v>65</v>
      </c>
      <c r="P396" t="s">
        <v>26</v>
      </c>
      <c r="Q396" t="str">
        <f t="shared" si="42"/>
        <v>Completed</v>
      </c>
      <c r="R396" t="str">
        <f t="shared" si="43"/>
        <v>Store</v>
      </c>
      <c r="S396" t="str">
        <v>Debit Card</v>
      </c>
      <c r="T396" t="str">
        <v>Electronics</v>
      </c>
      <c r="U396" t="str">
        <f t="shared" si="44"/>
        <v>VALID</v>
      </c>
      <c r="V396" t="str">
        <f t="shared" si="45"/>
        <v>NORMAL</v>
      </c>
      <c r="W396" t="str">
        <f t="shared" si="46"/>
        <v>Valid</v>
      </c>
      <c r="X396">
        <f t="shared" si="48"/>
        <v>13012.88</v>
      </c>
      <c r="Y396">
        <f t="shared" si="47"/>
        <v>12622.4936</v>
      </c>
    </row>
    <row r="397" spans="1:25" x14ac:dyDescent="0.3">
      <c r="A397" t="s">
        <v>699</v>
      </c>
      <c r="B397" s="1">
        <v>45383</v>
      </c>
      <c r="C397" t="s">
        <v>115</v>
      </c>
      <c r="D397" t="s">
        <v>121</v>
      </c>
      <c r="E397" t="s">
        <v>122</v>
      </c>
      <c r="F397" t="s">
        <v>55</v>
      </c>
      <c r="G397" t="s">
        <v>21</v>
      </c>
      <c r="H397" t="s">
        <v>126</v>
      </c>
      <c r="I397">
        <v>1</v>
      </c>
      <c r="J397">
        <v>415.14</v>
      </c>
      <c r="K397">
        <v>0.2</v>
      </c>
      <c r="L397">
        <v>332.11</v>
      </c>
      <c r="M397" t="s">
        <v>76</v>
      </c>
      <c r="N397" t="s">
        <v>49</v>
      </c>
      <c r="O397" t="s">
        <v>65</v>
      </c>
      <c r="P397" t="s">
        <v>111</v>
      </c>
      <c r="Q397" t="str">
        <f t="shared" si="42"/>
        <v>Completed</v>
      </c>
      <c r="R397" t="str">
        <f t="shared" si="43"/>
        <v>Store</v>
      </c>
      <c r="S397" t="str">
        <v>Net Banking</v>
      </c>
      <c r="T397" t="str">
        <v>Stationery</v>
      </c>
      <c r="U397" t="str">
        <f t="shared" si="44"/>
        <v>VALID</v>
      </c>
      <c r="V397" t="str">
        <f t="shared" si="45"/>
        <v>NORMAL</v>
      </c>
      <c r="W397" t="str">
        <f t="shared" si="46"/>
        <v>Valid</v>
      </c>
      <c r="X397">
        <f t="shared" si="48"/>
        <v>415.14</v>
      </c>
      <c r="Y397">
        <f t="shared" si="47"/>
        <v>332.11199999999997</v>
      </c>
    </row>
    <row r="398" spans="1:25" x14ac:dyDescent="0.3">
      <c r="A398" t="s">
        <v>700</v>
      </c>
      <c r="B398" s="1">
        <v>45629</v>
      </c>
      <c r="C398" t="s">
        <v>373</v>
      </c>
      <c r="D398" t="s">
        <v>85</v>
      </c>
      <c r="E398" t="s">
        <v>86</v>
      </c>
      <c r="F398" t="s">
        <v>20</v>
      </c>
      <c r="G398" t="s">
        <v>81</v>
      </c>
      <c r="H398" t="s">
        <v>135</v>
      </c>
      <c r="I398">
        <v>4</v>
      </c>
      <c r="J398">
        <v>1903.38</v>
      </c>
      <c r="K398">
        <v>0.03</v>
      </c>
      <c r="L398">
        <v>7385.11</v>
      </c>
      <c r="M398" t="s">
        <v>23</v>
      </c>
      <c r="N398" t="s">
        <v>71</v>
      </c>
      <c r="O398" t="s">
        <v>25</v>
      </c>
      <c r="P398" t="s">
        <v>59</v>
      </c>
      <c r="Q398" t="str">
        <f t="shared" si="42"/>
        <v>Returned</v>
      </c>
      <c r="R398" t="str">
        <f t="shared" si="43"/>
        <v>Online</v>
      </c>
      <c r="S398" t="str">
        <v>Upi</v>
      </c>
      <c r="T398" t="str">
        <v>Accessories</v>
      </c>
      <c r="U398" t="str">
        <f t="shared" si="44"/>
        <v>VALID</v>
      </c>
      <c r="V398" t="str">
        <f t="shared" si="45"/>
        <v>NORMAL</v>
      </c>
      <c r="W398" t="str">
        <f t="shared" si="46"/>
        <v>Valid</v>
      </c>
      <c r="X398">
        <f t="shared" si="48"/>
        <v>7613.52</v>
      </c>
      <c r="Y398">
        <f t="shared" si="47"/>
        <v>7385.1144000000004</v>
      </c>
    </row>
    <row r="399" spans="1:25" x14ac:dyDescent="0.3">
      <c r="A399" t="s">
        <v>701</v>
      </c>
      <c r="B399" s="1">
        <v>45315</v>
      </c>
      <c r="C399" t="s">
        <v>572</v>
      </c>
      <c r="D399" t="s">
        <v>131</v>
      </c>
      <c r="E399" t="s">
        <v>132</v>
      </c>
      <c r="F399" t="s">
        <v>40</v>
      </c>
      <c r="G399" t="s">
        <v>32</v>
      </c>
      <c r="H399" t="s">
        <v>68</v>
      </c>
      <c r="I399">
        <v>2</v>
      </c>
      <c r="J399">
        <v>9035.83</v>
      </c>
      <c r="K399">
        <v>0</v>
      </c>
      <c r="L399">
        <v>18071.66</v>
      </c>
      <c r="M399" t="s">
        <v>76</v>
      </c>
      <c r="N399" t="s">
        <v>24</v>
      </c>
      <c r="O399" t="s">
        <v>25</v>
      </c>
      <c r="P399" t="s">
        <v>42</v>
      </c>
      <c r="Q399" t="str">
        <f t="shared" si="42"/>
        <v>Returned</v>
      </c>
      <c r="R399" t="str">
        <f t="shared" si="43"/>
        <v>Store</v>
      </c>
      <c r="S399" t="str">
        <v>Debit Card</v>
      </c>
      <c r="T399" t="str">
        <v>Furniture</v>
      </c>
      <c r="U399" t="str">
        <f t="shared" si="44"/>
        <v>VALID</v>
      </c>
      <c r="V399" t="str">
        <f t="shared" si="45"/>
        <v>NORMAL</v>
      </c>
      <c r="W399" t="str">
        <f t="shared" si="46"/>
        <v>Valid</v>
      </c>
      <c r="X399">
        <f t="shared" si="48"/>
        <v>18071.66</v>
      </c>
      <c r="Y399">
        <f t="shared" si="47"/>
        <v>18071.66</v>
      </c>
    </row>
    <row r="400" spans="1:25" x14ac:dyDescent="0.3">
      <c r="A400" t="s">
        <v>702</v>
      </c>
      <c r="B400" s="1">
        <v>45478</v>
      </c>
      <c r="C400" t="s">
        <v>225</v>
      </c>
      <c r="D400" t="s">
        <v>45</v>
      </c>
      <c r="E400" t="s">
        <v>46</v>
      </c>
      <c r="F400" t="s">
        <v>31</v>
      </c>
      <c r="G400" t="s">
        <v>81</v>
      </c>
      <c r="H400" t="s">
        <v>82</v>
      </c>
      <c r="I400">
        <v>3</v>
      </c>
      <c r="J400">
        <v>1877.09</v>
      </c>
      <c r="K400">
        <v>0</v>
      </c>
      <c r="L400">
        <v>5631.27</v>
      </c>
      <c r="M400" t="s">
        <v>48</v>
      </c>
      <c r="N400" t="s">
        <v>49</v>
      </c>
      <c r="O400" t="s">
        <v>65</v>
      </c>
      <c r="P400" t="s">
        <v>111</v>
      </c>
      <c r="Q400" t="str">
        <f t="shared" si="42"/>
        <v>Completed</v>
      </c>
      <c r="R400" t="str">
        <f t="shared" si="43"/>
        <v>Marketplace</v>
      </c>
      <c r="S400" t="str">
        <v>Net Banking</v>
      </c>
      <c r="T400" t="str">
        <v>Electronics</v>
      </c>
      <c r="U400" t="str">
        <f t="shared" si="44"/>
        <v>VALID</v>
      </c>
      <c r="V400" t="str">
        <f t="shared" si="45"/>
        <v>NORMAL</v>
      </c>
      <c r="W400" t="str">
        <f t="shared" si="46"/>
        <v>Valid</v>
      </c>
      <c r="X400">
        <f t="shared" si="48"/>
        <v>5631.2699999999995</v>
      </c>
      <c r="Y400">
        <f t="shared" si="47"/>
        <v>5631.2699999999995</v>
      </c>
    </row>
    <row r="401" spans="1:25" x14ac:dyDescent="0.3">
      <c r="A401" t="s">
        <v>703</v>
      </c>
      <c r="B401" s="1">
        <v>45405</v>
      </c>
      <c r="C401" t="s">
        <v>476</v>
      </c>
      <c r="D401" t="s">
        <v>38</v>
      </c>
      <c r="E401" t="s">
        <v>39</v>
      </c>
      <c r="F401" t="s">
        <v>40</v>
      </c>
      <c r="G401" t="s">
        <v>56</v>
      </c>
      <c r="H401" t="s">
        <v>123</v>
      </c>
      <c r="I401">
        <v>4</v>
      </c>
      <c r="J401">
        <v>1494.72</v>
      </c>
      <c r="K401">
        <v>0.2</v>
      </c>
      <c r="L401">
        <v>4783.1000000000004</v>
      </c>
      <c r="M401" t="s">
        <v>48</v>
      </c>
      <c r="N401" t="s">
        <v>34</v>
      </c>
      <c r="O401" t="s">
        <v>65</v>
      </c>
      <c r="P401" t="s">
        <v>102</v>
      </c>
      <c r="Q401" t="str">
        <f t="shared" si="42"/>
        <v>Completed</v>
      </c>
      <c r="R401" t="str">
        <f t="shared" si="43"/>
        <v>Marketplace</v>
      </c>
      <c r="S401" t="str">
        <v>Cash On Delivery</v>
      </c>
      <c r="T401" t="str">
        <v>Furniture</v>
      </c>
      <c r="U401" t="str">
        <f t="shared" si="44"/>
        <v>VALID</v>
      </c>
      <c r="V401" t="str">
        <f t="shared" si="45"/>
        <v>NORMAL</v>
      </c>
      <c r="W401" t="str">
        <f t="shared" si="46"/>
        <v>Valid</v>
      </c>
      <c r="X401">
        <f t="shared" si="48"/>
        <v>5978.88</v>
      </c>
      <c r="Y401">
        <f t="shared" si="47"/>
        <v>4783.1040000000003</v>
      </c>
    </row>
    <row r="402" spans="1:25" x14ac:dyDescent="0.3">
      <c r="A402" t="s">
        <v>704</v>
      </c>
      <c r="B402" s="1">
        <v>45689</v>
      </c>
      <c r="C402" t="s">
        <v>309</v>
      </c>
      <c r="D402" t="s">
        <v>121</v>
      </c>
      <c r="E402" t="s">
        <v>122</v>
      </c>
      <c r="F402" t="s">
        <v>55</v>
      </c>
      <c r="G402" t="s">
        <v>32</v>
      </c>
      <c r="H402" t="s">
        <v>33</v>
      </c>
      <c r="I402">
        <v>4</v>
      </c>
      <c r="J402">
        <v>468.25</v>
      </c>
      <c r="K402">
        <v>0.08</v>
      </c>
      <c r="L402">
        <v>1723.16</v>
      </c>
      <c r="M402" t="s">
        <v>23</v>
      </c>
      <c r="N402" t="s">
        <v>71</v>
      </c>
      <c r="O402" t="s">
        <v>65</v>
      </c>
      <c r="P402" t="s">
        <v>59</v>
      </c>
      <c r="Q402" t="str">
        <f t="shared" si="42"/>
        <v>Completed</v>
      </c>
      <c r="R402" t="str">
        <f t="shared" si="43"/>
        <v>Online</v>
      </c>
      <c r="S402" t="str">
        <v>Upi</v>
      </c>
      <c r="T402" t="str">
        <v>Stationery</v>
      </c>
      <c r="U402" t="str">
        <f t="shared" si="44"/>
        <v>VALID</v>
      </c>
      <c r="V402" t="str">
        <f t="shared" si="45"/>
        <v>NORMAL</v>
      </c>
      <c r="W402" t="str">
        <f t="shared" si="46"/>
        <v>Valid</v>
      </c>
      <c r="X402">
        <f t="shared" si="48"/>
        <v>1873</v>
      </c>
      <c r="Y402">
        <f t="shared" si="47"/>
        <v>1723.16</v>
      </c>
    </row>
    <row r="403" spans="1:25" x14ac:dyDescent="0.3">
      <c r="A403" t="s">
        <v>705</v>
      </c>
      <c r="B403" s="1">
        <v>45852</v>
      </c>
      <c r="C403" t="s">
        <v>128</v>
      </c>
      <c r="D403" t="s">
        <v>38</v>
      </c>
      <c r="E403" t="s">
        <v>39</v>
      </c>
      <c r="F403" t="s">
        <v>40</v>
      </c>
      <c r="G403" t="s">
        <v>81</v>
      </c>
      <c r="H403" t="s">
        <v>135</v>
      </c>
      <c r="I403">
        <v>4</v>
      </c>
      <c r="J403">
        <v>1561.91</v>
      </c>
      <c r="K403">
        <v>0.1</v>
      </c>
      <c r="L403">
        <v>5622.88</v>
      </c>
      <c r="M403" t="s">
        <v>48</v>
      </c>
      <c r="N403" t="s">
        <v>34</v>
      </c>
      <c r="O403" t="s">
        <v>65</v>
      </c>
      <c r="P403" t="s">
        <v>59</v>
      </c>
      <c r="Q403" t="str">
        <f t="shared" si="42"/>
        <v>Completed</v>
      </c>
      <c r="R403" t="str">
        <f t="shared" si="43"/>
        <v>Marketplace</v>
      </c>
      <c r="S403" t="str">
        <v>Cash On Delivery</v>
      </c>
      <c r="T403" t="str">
        <v>Furniture</v>
      </c>
      <c r="U403" t="str">
        <f t="shared" si="44"/>
        <v>VALID</v>
      </c>
      <c r="V403" t="str">
        <f t="shared" si="45"/>
        <v>NORMAL</v>
      </c>
      <c r="W403" t="str">
        <f t="shared" si="46"/>
        <v>Valid</v>
      </c>
      <c r="X403">
        <f t="shared" si="48"/>
        <v>6247.64</v>
      </c>
      <c r="Y403">
        <f t="shared" si="47"/>
        <v>5622.8760000000002</v>
      </c>
    </row>
    <row r="404" spans="1:25" x14ac:dyDescent="0.3">
      <c r="A404" t="s">
        <v>706</v>
      </c>
      <c r="B404" s="1">
        <v>45576</v>
      </c>
      <c r="C404" t="s">
        <v>104</v>
      </c>
      <c r="D404" t="s">
        <v>18</v>
      </c>
      <c r="E404" t="s">
        <v>19</v>
      </c>
      <c r="F404" t="s">
        <v>20</v>
      </c>
      <c r="G404" t="s">
        <v>81</v>
      </c>
      <c r="H404" t="s">
        <v>87</v>
      </c>
      <c r="I404">
        <v>2</v>
      </c>
      <c r="J404">
        <v>808.86</v>
      </c>
      <c r="K404">
        <v>0</v>
      </c>
      <c r="L404">
        <v>1617.72</v>
      </c>
      <c r="M404" t="s">
        <v>48</v>
      </c>
      <c r="N404" t="s">
        <v>24</v>
      </c>
      <c r="O404" t="s">
        <v>35</v>
      </c>
      <c r="P404" t="s">
        <v>102</v>
      </c>
      <c r="Q404" t="str">
        <f t="shared" si="42"/>
        <v>Cancelled</v>
      </c>
      <c r="R404" t="str">
        <f t="shared" si="43"/>
        <v>Marketplace</v>
      </c>
      <c r="S404" t="str">
        <v>Debit Card</v>
      </c>
      <c r="T404" t="str">
        <v>Accessories</v>
      </c>
      <c r="U404" t="str">
        <f t="shared" si="44"/>
        <v>VALID</v>
      </c>
      <c r="V404" t="str">
        <f t="shared" si="45"/>
        <v>NORMAL</v>
      </c>
      <c r="W404" t="str">
        <f t="shared" si="46"/>
        <v>Valid</v>
      </c>
      <c r="X404">
        <f t="shared" si="48"/>
        <v>1617.72</v>
      </c>
      <c r="Y404">
        <f t="shared" si="47"/>
        <v>1617.72</v>
      </c>
    </row>
    <row r="405" spans="1:25" x14ac:dyDescent="0.3">
      <c r="A405" t="s">
        <v>707</v>
      </c>
      <c r="B405" s="1">
        <v>46114</v>
      </c>
      <c r="C405" t="s">
        <v>118</v>
      </c>
      <c r="D405" t="s">
        <v>105</v>
      </c>
      <c r="E405" t="s">
        <v>106</v>
      </c>
      <c r="F405" t="s">
        <v>40</v>
      </c>
      <c r="G405" t="s">
        <v>32</v>
      </c>
      <c r="H405" t="s">
        <v>47</v>
      </c>
      <c r="I405">
        <v>5</v>
      </c>
      <c r="J405">
        <v>6887.04</v>
      </c>
      <c r="K405">
        <v>0.2</v>
      </c>
      <c r="L405">
        <v>27548.16</v>
      </c>
      <c r="M405" t="s">
        <v>48</v>
      </c>
      <c r="N405" t="s">
        <v>24</v>
      </c>
      <c r="O405" t="s">
        <v>65</v>
      </c>
      <c r="P405" t="s">
        <v>59</v>
      </c>
      <c r="Q405" t="str">
        <f t="shared" si="42"/>
        <v>Completed</v>
      </c>
      <c r="R405" t="str">
        <f t="shared" si="43"/>
        <v>Marketplace</v>
      </c>
      <c r="S405" t="str">
        <v>Debit Card</v>
      </c>
      <c r="T405" t="str">
        <v>Furniture</v>
      </c>
      <c r="U405" t="str">
        <f t="shared" si="44"/>
        <v>VALID</v>
      </c>
      <c r="V405" t="str">
        <f t="shared" si="45"/>
        <v>NORMAL</v>
      </c>
      <c r="W405" t="str">
        <f t="shared" si="46"/>
        <v>Valid</v>
      </c>
      <c r="X405">
        <f t="shared" si="48"/>
        <v>34435.199999999997</v>
      </c>
      <c r="Y405">
        <f t="shared" si="47"/>
        <v>27548.159999999996</v>
      </c>
    </row>
    <row r="406" spans="1:25" x14ac:dyDescent="0.3">
      <c r="A406" t="s">
        <v>708</v>
      </c>
      <c r="B406" s="1">
        <v>45943</v>
      </c>
      <c r="C406" t="s">
        <v>409</v>
      </c>
      <c r="D406" t="s">
        <v>85</v>
      </c>
      <c r="E406" t="s">
        <v>86</v>
      </c>
      <c r="F406" t="s">
        <v>20</v>
      </c>
      <c r="G406" t="s">
        <v>56</v>
      </c>
      <c r="H406" t="s">
        <v>57</v>
      </c>
      <c r="I406">
        <v>2</v>
      </c>
      <c r="J406">
        <v>1725.5</v>
      </c>
      <c r="K406">
        <v>0</v>
      </c>
      <c r="L406">
        <v>3451</v>
      </c>
      <c r="M406" t="s">
        <v>23</v>
      </c>
      <c r="N406" t="s">
        <v>24</v>
      </c>
      <c r="O406" t="s">
        <v>65</v>
      </c>
      <c r="P406" t="s">
        <v>111</v>
      </c>
      <c r="Q406" t="str">
        <f t="shared" si="42"/>
        <v>Completed</v>
      </c>
      <c r="R406" t="str">
        <f t="shared" si="43"/>
        <v>Online</v>
      </c>
      <c r="S406" t="str">
        <v>Debit Card</v>
      </c>
      <c r="T406" t="str">
        <v>Accessories</v>
      </c>
      <c r="U406" t="str">
        <f t="shared" si="44"/>
        <v>VALID</v>
      </c>
      <c r="V406" t="str">
        <f t="shared" si="45"/>
        <v>NORMAL</v>
      </c>
      <c r="W406" t="str">
        <f t="shared" si="46"/>
        <v>Valid</v>
      </c>
      <c r="X406">
        <f t="shared" si="48"/>
        <v>3451</v>
      </c>
      <c r="Y406">
        <f t="shared" si="47"/>
        <v>3451</v>
      </c>
    </row>
    <row r="407" spans="1:25" x14ac:dyDescent="0.3">
      <c r="A407" t="s">
        <v>709</v>
      </c>
      <c r="B407" s="1">
        <v>46101</v>
      </c>
      <c r="C407" t="s">
        <v>173</v>
      </c>
      <c r="D407" t="s">
        <v>85</v>
      </c>
      <c r="E407" t="s">
        <v>86</v>
      </c>
      <c r="F407" t="s">
        <v>20</v>
      </c>
      <c r="G407" t="s">
        <v>21</v>
      </c>
      <c r="H407" t="s">
        <v>93</v>
      </c>
      <c r="I407">
        <v>4</v>
      </c>
      <c r="J407">
        <v>1779.43</v>
      </c>
      <c r="K407">
        <v>0.08</v>
      </c>
      <c r="L407">
        <v>6548.3</v>
      </c>
      <c r="M407" t="s">
        <v>76</v>
      </c>
      <c r="N407" t="s">
        <v>58</v>
      </c>
      <c r="O407" t="s">
        <v>65</v>
      </c>
      <c r="P407" t="s">
        <v>111</v>
      </c>
      <c r="Q407" t="str">
        <f t="shared" si="42"/>
        <v>Completed</v>
      </c>
      <c r="R407" t="str">
        <f t="shared" si="43"/>
        <v>Store</v>
      </c>
      <c r="S407" t="str">
        <v>Credit Card</v>
      </c>
      <c r="T407" t="str">
        <v>Accessories</v>
      </c>
      <c r="U407" t="str">
        <f t="shared" si="44"/>
        <v>VALID</v>
      </c>
      <c r="V407" t="str">
        <f t="shared" si="45"/>
        <v>NORMAL</v>
      </c>
      <c r="W407" t="str">
        <f t="shared" si="46"/>
        <v>Valid</v>
      </c>
      <c r="X407">
        <f t="shared" si="48"/>
        <v>7117.72</v>
      </c>
      <c r="Y407">
        <f t="shared" si="47"/>
        <v>6548.3024000000005</v>
      </c>
    </row>
    <row r="408" spans="1:25" x14ac:dyDescent="0.3">
      <c r="A408" t="s">
        <v>710</v>
      </c>
      <c r="B408" s="1">
        <v>45636</v>
      </c>
      <c r="C408" t="s">
        <v>480</v>
      </c>
      <c r="D408" t="s">
        <v>45</v>
      </c>
      <c r="E408" t="s">
        <v>46</v>
      </c>
      <c r="F408" t="s">
        <v>31</v>
      </c>
      <c r="G408" t="s">
        <v>21</v>
      </c>
      <c r="H408" t="s">
        <v>93</v>
      </c>
      <c r="I408">
        <v>4</v>
      </c>
      <c r="J408">
        <v>1821.56</v>
      </c>
      <c r="K408">
        <v>0.15</v>
      </c>
      <c r="L408">
        <v>6193.3</v>
      </c>
      <c r="M408" t="s">
        <v>48</v>
      </c>
      <c r="N408" t="s">
        <v>58</v>
      </c>
      <c r="O408" t="s">
        <v>65</v>
      </c>
      <c r="P408" t="s">
        <v>111</v>
      </c>
      <c r="Q408" t="str">
        <f t="shared" si="42"/>
        <v>Completed</v>
      </c>
      <c r="R408" t="str">
        <f t="shared" si="43"/>
        <v>Marketplace</v>
      </c>
      <c r="S408" t="str">
        <v>Credit Card</v>
      </c>
      <c r="T408" t="str">
        <v>Electronics</v>
      </c>
      <c r="U408" t="str">
        <f t="shared" si="44"/>
        <v>VALID</v>
      </c>
      <c r="V408" t="str">
        <f t="shared" si="45"/>
        <v>NORMAL</v>
      </c>
      <c r="W408" t="str">
        <f t="shared" si="46"/>
        <v>Valid</v>
      </c>
      <c r="X408">
        <f t="shared" si="48"/>
        <v>7286.24</v>
      </c>
      <c r="Y408">
        <f t="shared" si="47"/>
        <v>6193.3040000000001</v>
      </c>
    </row>
    <row r="409" spans="1:25" x14ac:dyDescent="0.3">
      <c r="A409" t="s">
        <v>711</v>
      </c>
      <c r="B409" s="1">
        <v>46096</v>
      </c>
      <c r="C409" t="s">
        <v>416</v>
      </c>
      <c r="D409" t="s">
        <v>105</v>
      </c>
      <c r="E409" t="s">
        <v>106</v>
      </c>
      <c r="F409" t="s">
        <v>40</v>
      </c>
      <c r="G409" t="s">
        <v>21</v>
      </c>
      <c r="H409" t="s">
        <v>41</v>
      </c>
      <c r="I409">
        <v>5</v>
      </c>
      <c r="J409">
        <v>7389.6</v>
      </c>
      <c r="K409">
        <v>0.15</v>
      </c>
      <c r="L409">
        <v>31405.8</v>
      </c>
      <c r="M409" t="s">
        <v>23</v>
      </c>
      <c r="N409" t="s">
        <v>34</v>
      </c>
      <c r="O409" t="s">
        <v>65</v>
      </c>
      <c r="P409" t="s">
        <v>59</v>
      </c>
      <c r="Q409" t="str">
        <f t="shared" si="42"/>
        <v>Completed</v>
      </c>
      <c r="R409" t="str">
        <f t="shared" si="43"/>
        <v>Online</v>
      </c>
      <c r="S409" t="str">
        <v>Cash On Delivery</v>
      </c>
      <c r="T409" t="str">
        <v>Furniture</v>
      </c>
      <c r="U409" t="str">
        <f t="shared" si="44"/>
        <v>VALID</v>
      </c>
      <c r="V409" t="str">
        <f t="shared" si="45"/>
        <v>NORMAL</v>
      </c>
      <c r="W409" t="str">
        <f t="shared" si="46"/>
        <v>Valid</v>
      </c>
      <c r="X409">
        <f t="shared" si="48"/>
        <v>36948</v>
      </c>
      <c r="Y409">
        <f t="shared" si="47"/>
        <v>31405.8</v>
      </c>
    </row>
    <row r="410" spans="1:25" x14ac:dyDescent="0.3">
      <c r="A410" t="s">
        <v>712</v>
      </c>
      <c r="B410" s="1">
        <v>45505</v>
      </c>
      <c r="C410" t="s">
        <v>357</v>
      </c>
      <c r="D410" t="s">
        <v>38</v>
      </c>
      <c r="E410" t="s">
        <v>39</v>
      </c>
      <c r="F410" t="s">
        <v>40</v>
      </c>
      <c r="G410" t="s">
        <v>56</v>
      </c>
      <c r="H410" t="s">
        <v>64</v>
      </c>
      <c r="I410">
        <v>4</v>
      </c>
      <c r="J410">
        <v>1709.3</v>
      </c>
      <c r="K410">
        <v>0</v>
      </c>
      <c r="L410">
        <v>6837.2</v>
      </c>
      <c r="M410" t="s">
        <v>76</v>
      </c>
      <c r="N410" t="s">
        <v>24</v>
      </c>
      <c r="O410" t="s">
        <v>65</v>
      </c>
      <c r="P410" t="s">
        <v>116</v>
      </c>
      <c r="Q410" t="str">
        <f t="shared" si="42"/>
        <v>Completed</v>
      </c>
      <c r="R410" t="str">
        <f t="shared" si="43"/>
        <v>Store</v>
      </c>
      <c r="S410" t="str">
        <v>Debit Card</v>
      </c>
      <c r="T410" t="str">
        <v>Furniture</v>
      </c>
      <c r="U410" t="str">
        <f t="shared" si="44"/>
        <v>VALID</v>
      </c>
      <c r="V410" t="str">
        <f t="shared" si="45"/>
        <v>NORMAL</v>
      </c>
      <c r="W410" t="str">
        <f t="shared" si="46"/>
        <v>Valid</v>
      </c>
      <c r="X410">
        <f t="shared" si="48"/>
        <v>6837.2</v>
      </c>
      <c r="Y410">
        <f t="shared" si="47"/>
        <v>6837.2</v>
      </c>
    </row>
    <row r="411" spans="1:25" x14ac:dyDescent="0.3">
      <c r="A411" t="s">
        <v>713</v>
      </c>
      <c r="B411" s="1">
        <v>45388</v>
      </c>
      <c r="C411" t="s">
        <v>377</v>
      </c>
      <c r="D411" t="s">
        <v>18</v>
      </c>
      <c r="E411" t="s">
        <v>19</v>
      </c>
      <c r="F411" t="s">
        <v>20</v>
      </c>
      <c r="G411" t="s">
        <v>81</v>
      </c>
      <c r="H411" t="s">
        <v>87</v>
      </c>
      <c r="I411">
        <v>2</v>
      </c>
      <c r="J411">
        <v>835.93</v>
      </c>
      <c r="K411">
        <v>0.15</v>
      </c>
      <c r="L411">
        <v>1421.08</v>
      </c>
      <c r="M411" t="s">
        <v>76</v>
      </c>
      <c r="N411" t="s">
        <v>58</v>
      </c>
      <c r="O411" t="s">
        <v>65</v>
      </c>
      <c r="P411" t="s">
        <v>59</v>
      </c>
      <c r="Q411" t="str">
        <f t="shared" si="42"/>
        <v>Completed</v>
      </c>
      <c r="R411" t="str">
        <f t="shared" si="43"/>
        <v>Store</v>
      </c>
      <c r="S411" t="str">
        <v>Credit Card</v>
      </c>
      <c r="T411" t="str">
        <v>Accessories</v>
      </c>
      <c r="U411" t="str">
        <f t="shared" si="44"/>
        <v>VALID</v>
      </c>
      <c r="V411" t="str">
        <f t="shared" si="45"/>
        <v>NORMAL</v>
      </c>
      <c r="W411" t="str">
        <f t="shared" si="46"/>
        <v>Valid</v>
      </c>
      <c r="X411">
        <f t="shared" si="48"/>
        <v>1671.86</v>
      </c>
      <c r="Y411">
        <f t="shared" si="47"/>
        <v>1421.0809999999999</v>
      </c>
    </row>
    <row r="412" spans="1:25" x14ac:dyDescent="0.3">
      <c r="A412" t="s">
        <v>714</v>
      </c>
      <c r="B412" s="1">
        <v>45805</v>
      </c>
      <c r="C412" t="s">
        <v>715</v>
      </c>
      <c r="D412" t="s">
        <v>38</v>
      </c>
      <c r="E412" t="s">
        <v>39</v>
      </c>
      <c r="F412" t="s">
        <v>40</v>
      </c>
      <c r="G412" t="s">
        <v>56</v>
      </c>
      <c r="H412" t="s">
        <v>123</v>
      </c>
      <c r="I412">
        <v>5</v>
      </c>
      <c r="J412">
        <v>1619.15</v>
      </c>
      <c r="K412">
        <v>0.1</v>
      </c>
      <c r="L412">
        <v>7286.18</v>
      </c>
      <c r="M412" t="s">
        <v>76</v>
      </c>
      <c r="N412" t="s">
        <v>58</v>
      </c>
      <c r="O412" t="s">
        <v>65</v>
      </c>
      <c r="P412" t="s">
        <v>116</v>
      </c>
      <c r="Q412" t="str">
        <f t="shared" si="42"/>
        <v>Completed</v>
      </c>
      <c r="R412" t="str">
        <f t="shared" si="43"/>
        <v>Store</v>
      </c>
      <c r="S412" t="str">
        <v>Credit Card</v>
      </c>
      <c r="T412" t="str">
        <v>Furniture</v>
      </c>
      <c r="U412" t="str">
        <f t="shared" si="44"/>
        <v>VALID</v>
      </c>
      <c r="V412" t="str">
        <f t="shared" si="45"/>
        <v>NORMAL</v>
      </c>
      <c r="W412" t="str">
        <f t="shared" si="46"/>
        <v>Valid</v>
      </c>
      <c r="X412">
        <f t="shared" si="48"/>
        <v>8095.75</v>
      </c>
      <c r="Y412">
        <f t="shared" si="47"/>
        <v>7286.1750000000002</v>
      </c>
    </row>
    <row r="413" spans="1:25" x14ac:dyDescent="0.3">
      <c r="A413" t="s">
        <v>716</v>
      </c>
      <c r="B413" s="1">
        <v>45699</v>
      </c>
      <c r="C413" t="s">
        <v>493</v>
      </c>
      <c r="D413" t="s">
        <v>131</v>
      </c>
      <c r="E413" t="s">
        <v>132</v>
      </c>
      <c r="F413" t="s">
        <v>40</v>
      </c>
      <c r="G413" t="s">
        <v>56</v>
      </c>
      <c r="H413" t="s">
        <v>101</v>
      </c>
      <c r="I413">
        <v>3</v>
      </c>
      <c r="J413">
        <v>9624.64</v>
      </c>
      <c r="K413">
        <v>0.08</v>
      </c>
      <c r="L413">
        <v>26564.01</v>
      </c>
      <c r="M413" t="s">
        <v>23</v>
      </c>
      <c r="N413" t="s">
        <v>24</v>
      </c>
      <c r="O413" t="s">
        <v>35</v>
      </c>
      <c r="P413" t="s">
        <v>111</v>
      </c>
      <c r="Q413" t="str">
        <f t="shared" si="42"/>
        <v>Cancelled</v>
      </c>
      <c r="R413" t="str">
        <f t="shared" si="43"/>
        <v>Online</v>
      </c>
      <c r="S413" t="str">
        <v>Debit Card</v>
      </c>
      <c r="T413" t="str">
        <v>Furniture</v>
      </c>
      <c r="U413" t="str">
        <f t="shared" si="44"/>
        <v>VALID</v>
      </c>
      <c r="V413" t="str">
        <f t="shared" si="45"/>
        <v>NORMAL</v>
      </c>
      <c r="W413" t="str">
        <f t="shared" si="46"/>
        <v>Valid</v>
      </c>
      <c r="X413">
        <f t="shared" si="48"/>
        <v>28873.919999999998</v>
      </c>
      <c r="Y413">
        <f t="shared" si="47"/>
        <v>26564.006399999998</v>
      </c>
    </row>
    <row r="414" spans="1:25" x14ac:dyDescent="0.3">
      <c r="A414" t="s">
        <v>717</v>
      </c>
      <c r="B414" s="1">
        <v>45925</v>
      </c>
      <c r="C414" t="s">
        <v>243</v>
      </c>
      <c r="D414" t="s">
        <v>18</v>
      </c>
      <c r="E414" t="s">
        <v>19</v>
      </c>
      <c r="F414" t="s">
        <v>20</v>
      </c>
      <c r="G414" t="s">
        <v>81</v>
      </c>
      <c r="H414" t="s">
        <v>87</v>
      </c>
      <c r="I414">
        <v>2</v>
      </c>
      <c r="J414">
        <v>898.1</v>
      </c>
      <c r="K414">
        <v>0.1</v>
      </c>
      <c r="L414">
        <v>1616.58</v>
      </c>
      <c r="M414" t="s">
        <v>23</v>
      </c>
      <c r="N414" t="s">
        <v>71</v>
      </c>
      <c r="O414" t="s">
        <v>65</v>
      </c>
      <c r="P414" t="s">
        <v>26</v>
      </c>
      <c r="Q414" t="str">
        <f t="shared" si="42"/>
        <v>Completed</v>
      </c>
      <c r="R414" t="str">
        <f t="shared" si="43"/>
        <v>Online</v>
      </c>
      <c r="S414" t="str">
        <v>Upi</v>
      </c>
      <c r="T414" t="str">
        <v>Accessories</v>
      </c>
      <c r="U414" t="str">
        <f t="shared" si="44"/>
        <v>VALID</v>
      </c>
      <c r="V414" t="str">
        <f t="shared" si="45"/>
        <v>NORMAL</v>
      </c>
      <c r="W414" t="str">
        <f t="shared" si="46"/>
        <v>Valid</v>
      </c>
      <c r="X414">
        <f t="shared" si="48"/>
        <v>1796.2</v>
      </c>
      <c r="Y414">
        <f t="shared" si="47"/>
        <v>1616.58</v>
      </c>
    </row>
    <row r="415" spans="1:25" x14ac:dyDescent="0.3">
      <c r="A415" t="s">
        <v>718</v>
      </c>
      <c r="B415" s="1">
        <v>45552</v>
      </c>
      <c r="C415" t="s">
        <v>416</v>
      </c>
      <c r="D415" t="s">
        <v>18</v>
      </c>
      <c r="E415" t="s">
        <v>19</v>
      </c>
      <c r="F415" t="s">
        <v>20</v>
      </c>
      <c r="G415" t="s">
        <v>21</v>
      </c>
      <c r="H415" t="s">
        <v>93</v>
      </c>
      <c r="I415">
        <v>2</v>
      </c>
      <c r="J415">
        <v>873.31</v>
      </c>
      <c r="K415">
        <v>0.03</v>
      </c>
      <c r="L415">
        <v>1694.22</v>
      </c>
      <c r="M415" t="s">
        <v>76</v>
      </c>
      <c r="N415" t="s">
        <v>24</v>
      </c>
      <c r="O415" t="s">
        <v>65</v>
      </c>
      <c r="P415" t="s">
        <v>102</v>
      </c>
      <c r="Q415" t="str">
        <f t="shared" si="42"/>
        <v>Completed</v>
      </c>
      <c r="R415" t="str">
        <f t="shared" si="43"/>
        <v>Store</v>
      </c>
      <c r="S415" t="str">
        <v>Debit Card</v>
      </c>
      <c r="T415" t="str">
        <v>Accessories</v>
      </c>
      <c r="U415" t="str">
        <f t="shared" si="44"/>
        <v>VALID</v>
      </c>
      <c r="V415" t="str">
        <f t="shared" si="45"/>
        <v>NORMAL</v>
      </c>
      <c r="W415" t="str">
        <f t="shared" si="46"/>
        <v>Valid</v>
      </c>
      <c r="X415">
        <f t="shared" si="48"/>
        <v>1746.62</v>
      </c>
      <c r="Y415">
        <f t="shared" si="47"/>
        <v>1694.2213999999999</v>
      </c>
    </row>
    <row r="416" spans="1:25" x14ac:dyDescent="0.3">
      <c r="A416" t="s">
        <v>719</v>
      </c>
      <c r="B416" s="1">
        <v>45646</v>
      </c>
      <c r="C416" t="s">
        <v>499</v>
      </c>
      <c r="D416" t="s">
        <v>105</v>
      </c>
      <c r="E416" t="s">
        <v>106</v>
      </c>
      <c r="F416" t="s">
        <v>40</v>
      </c>
      <c r="G416" t="s">
        <v>81</v>
      </c>
      <c r="H416" t="s">
        <v>98</v>
      </c>
      <c r="I416">
        <v>5</v>
      </c>
      <c r="J416">
        <v>7631.83</v>
      </c>
      <c r="K416">
        <v>0.03</v>
      </c>
      <c r="L416">
        <v>37014.379999999997</v>
      </c>
      <c r="M416" t="s">
        <v>23</v>
      </c>
      <c r="N416" t="s">
        <v>34</v>
      </c>
      <c r="O416" t="s">
        <v>35</v>
      </c>
      <c r="Q416" t="str">
        <f t="shared" si="42"/>
        <v>Cancelled</v>
      </c>
      <c r="R416" t="str">
        <f t="shared" si="43"/>
        <v>Online</v>
      </c>
      <c r="S416" t="str">
        <v>Cash On Delivery</v>
      </c>
      <c r="T416" t="str">
        <v>Furniture</v>
      </c>
      <c r="U416" t="str">
        <f t="shared" si="44"/>
        <v>VALID</v>
      </c>
      <c r="V416" t="str">
        <f t="shared" si="45"/>
        <v>NORMAL</v>
      </c>
      <c r="W416" t="str">
        <f t="shared" si="46"/>
        <v>Valid</v>
      </c>
      <c r="X416">
        <f t="shared" si="48"/>
        <v>38159.15</v>
      </c>
      <c r="Y416">
        <f t="shared" si="47"/>
        <v>37014.375500000002</v>
      </c>
    </row>
    <row r="417" spans="1:25" x14ac:dyDescent="0.3">
      <c r="A417" t="s">
        <v>720</v>
      </c>
      <c r="B417" s="1">
        <v>45321</v>
      </c>
      <c r="C417" t="s">
        <v>379</v>
      </c>
      <c r="D417" t="s">
        <v>89</v>
      </c>
      <c r="E417" t="s">
        <v>90</v>
      </c>
      <c r="F417" t="s">
        <v>20</v>
      </c>
      <c r="G417" t="s">
        <v>56</v>
      </c>
      <c r="H417" t="s">
        <v>101</v>
      </c>
      <c r="I417">
        <v>5</v>
      </c>
      <c r="J417">
        <v>721.14</v>
      </c>
      <c r="K417">
        <v>0.2</v>
      </c>
      <c r="L417">
        <v>2884.56</v>
      </c>
      <c r="M417" t="s">
        <v>23</v>
      </c>
      <c r="N417" t="s">
        <v>58</v>
      </c>
      <c r="O417" t="s">
        <v>35</v>
      </c>
      <c r="P417" t="s">
        <v>111</v>
      </c>
      <c r="Q417" t="str">
        <f t="shared" si="42"/>
        <v>Cancelled</v>
      </c>
      <c r="R417" t="str">
        <f t="shared" si="43"/>
        <v>Online</v>
      </c>
      <c r="S417" t="str">
        <v>Credit Card</v>
      </c>
      <c r="T417" t="str">
        <v>Accessories</v>
      </c>
      <c r="U417" t="str">
        <f t="shared" si="44"/>
        <v>VALID</v>
      </c>
      <c r="V417" t="str">
        <f t="shared" si="45"/>
        <v>NORMAL</v>
      </c>
      <c r="W417" t="str">
        <f t="shared" si="46"/>
        <v>Valid</v>
      </c>
      <c r="X417">
        <f t="shared" si="48"/>
        <v>3605.7</v>
      </c>
      <c r="Y417">
        <f t="shared" si="47"/>
        <v>2884.56</v>
      </c>
    </row>
    <row r="418" spans="1:25" x14ac:dyDescent="0.3">
      <c r="A418" t="s">
        <v>721</v>
      </c>
      <c r="B418" s="1">
        <v>45802</v>
      </c>
      <c r="C418" t="s">
        <v>352</v>
      </c>
      <c r="D418" t="s">
        <v>29</v>
      </c>
      <c r="E418" t="s">
        <v>30</v>
      </c>
      <c r="F418" t="s">
        <v>31</v>
      </c>
      <c r="G418" t="s">
        <v>81</v>
      </c>
      <c r="H418" t="s">
        <v>87</v>
      </c>
      <c r="I418">
        <v>3</v>
      </c>
      <c r="J418">
        <v>3061.73</v>
      </c>
      <c r="K418">
        <v>0.08</v>
      </c>
      <c r="L418">
        <v>8450.3700000000008</v>
      </c>
      <c r="M418" t="s">
        <v>23</v>
      </c>
      <c r="N418" t="s">
        <v>24</v>
      </c>
      <c r="O418" t="s">
        <v>65</v>
      </c>
      <c r="P418" t="s">
        <v>111</v>
      </c>
      <c r="Q418" t="str">
        <f t="shared" si="42"/>
        <v>Completed</v>
      </c>
      <c r="R418" t="str">
        <f t="shared" si="43"/>
        <v>Online</v>
      </c>
      <c r="S418" t="str">
        <v>Debit Card</v>
      </c>
      <c r="T418" t="str">
        <v>Electronics</v>
      </c>
      <c r="U418" t="str">
        <f t="shared" si="44"/>
        <v>VALID</v>
      </c>
      <c r="V418" t="str">
        <f t="shared" si="45"/>
        <v>NORMAL</v>
      </c>
      <c r="W418" t="str">
        <f t="shared" si="46"/>
        <v>Valid</v>
      </c>
      <c r="X418">
        <f t="shared" si="48"/>
        <v>9185.19</v>
      </c>
      <c r="Y418">
        <f t="shared" si="47"/>
        <v>8450.3748000000014</v>
      </c>
    </row>
    <row r="419" spans="1:25" x14ac:dyDescent="0.3">
      <c r="A419" t="s">
        <v>722</v>
      </c>
      <c r="B419" s="1">
        <v>46178</v>
      </c>
      <c r="C419" t="s">
        <v>723</v>
      </c>
      <c r="D419" t="s">
        <v>96</v>
      </c>
      <c r="E419" t="s">
        <v>97</v>
      </c>
      <c r="F419" t="s">
        <v>31</v>
      </c>
      <c r="G419" t="s">
        <v>81</v>
      </c>
      <c r="H419" t="s">
        <v>135</v>
      </c>
      <c r="I419">
        <v>2</v>
      </c>
      <c r="J419">
        <v>1130.78</v>
      </c>
      <c r="K419">
        <v>0.03</v>
      </c>
      <c r="L419">
        <v>2193.71</v>
      </c>
      <c r="M419" t="s">
        <v>48</v>
      </c>
      <c r="N419" t="s">
        <v>58</v>
      </c>
      <c r="O419" t="s">
        <v>65</v>
      </c>
      <c r="P419" t="s">
        <v>116</v>
      </c>
      <c r="Q419" t="str">
        <f t="shared" si="42"/>
        <v>Completed</v>
      </c>
      <c r="R419" t="str">
        <f t="shared" si="43"/>
        <v>Marketplace</v>
      </c>
      <c r="S419" t="str">
        <v>Credit Card</v>
      </c>
      <c r="T419" t="str">
        <v>Electronics</v>
      </c>
      <c r="U419" t="str">
        <f t="shared" si="44"/>
        <v>VALID</v>
      </c>
      <c r="V419" t="str">
        <f t="shared" si="45"/>
        <v>NORMAL</v>
      </c>
      <c r="W419" t="str">
        <f t="shared" si="46"/>
        <v>Valid</v>
      </c>
      <c r="X419">
        <f t="shared" si="48"/>
        <v>2261.56</v>
      </c>
      <c r="Y419">
        <f t="shared" si="47"/>
        <v>2193.7132000000001</v>
      </c>
    </row>
    <row r="420" spans="1:25" x14ac:dyDescent="0.3">
      <c r="A420" t="s">
        <v>724</v>
      </c>
      <c r="B420" s="1">
        <v>45771</v>
      </c>
      <c r="C420" t="s">
        <v>548</v>
      </c>
      <c r="D420" t="s">
        <v>89</v>
      </c>
      <c r="E420" t="s">
        <v>90</v>
      </c>
      <c r="F420" t="s">
        <v>20</v>
      </c>
      <c r="G420" t="s">
        <v>56</v>
      </c>
      <c r="H420" t="s">
        <v>57</v>
      </c>
      <c r="I420">
        <v>1</v>
      </c>
      <c r="J420">
        <v>701.38</v>
      </c>
      <c r="K420">
        <v>0.05</v>
      </c>
      <c r="L420">
        <v>666.31</v>
      </c>
      <c r="M420" t="s">
        <v>48</v>
      </c>
      <c r="N420" t="s">
        <v>58</v>
      </c>
      <c r="O420" t="s">
        <v>65</v>
      </c>
      <c r="P420" t="s">
        <v>26</v>
      </c>
      <c r="Q420" t="str">
        <f t="shared" si="42"/>
        <v>Completed</v>
      </c>
      <c r="R420" t="str">
        <f t="shared" si="43"/>
        <v>Marketplace</v>
      </c>
      <c r="S420" t="str">
        <v>Credit Card</v>
      </c>
      <c r="T420" t="str">
        <v>Accessories</v>
      </c>
      <c r="U420" t="str">
        <f t="shared" si="44"/>
        <v>VALID</v>
      </c>
      <c r="V420" t="str">
        <f t="shared" si="45"/>
        <v>NORMAL</v>
      </c>
      <c r="W420" t="str">
        <f t="shared" si="46"/>
        <v>Valid</v>
      </c>
      <c r="X420">
        <f t="shared" si="48"/>
        <v>701.38</v>
      </c>
      <c r="Y420">
        <f t="shared" si="47"/>
        <v>666.31100000000004</v>
      </c>
    </row>
    <row r="421" spans="1:25" x14ac:dyDescent="0.3">
      <c r="A421" t="s">
        <v>725</v>
      </c>
      <c r="B421" s="1">
        <v>45666</v>
      </c>
      <c r="C421" t="s">
        <v>134</v>
      </c>
      <c r="D421" t="s">
        <v>121</v>
      </c>
      <c r="E421" t="s">
        <v>122</v>
      </c>
      <c r="F421" t="s">
        <v>55</v>
      </c>
      <c r="G421" t="s">
        <v>81</v>
      </c>
      <c r="H421" t="s">
        <v>98</v>
      </c>
      <c r="I421">
        <v>2</v>
      </c>
      <c r="J421">
        <v>470.5</v>
      </c>
      <c r="K421">
        <v>0.15</v>
      </c>
      <c r="L421">
        <v>799.85</v>
      </c>
      <c r="M421" t="s">
        <v>23</v>
      </c>
      <c r="N421" t="s">
        <v>58</v>
      </c>
      <c r="O421" t="s">
        <v>65</v>
      </c>
      <c r="P421" t="s">
        <v>102</v>
      </c>
      <c r="Q421" t="str">
        <f t="shared" si="42"/>
        <v>Completed</v>
      </c>
      <c r="R421" t="str">
        <f t="shared" si="43"/>
        <v>Online</v>
      </c>
      <c r="S421" t="str">
        <v>Credit Card</v>
      </c>
      <c r="T421" t="str">
        <v>Stationery</v>
      </c>
      <c r="U421" t="str">
        <f t="shared" si="44"/>
        <v>VALID</v>
      </c>
      <c r="V421" t="str">
        <f t="shared" si="45"/>
        <v>NORMAL</v>
      </c>
      <c r="W421" t="str">
        <f t="shared" si="46"/>
        <v>Valid</v>
      </c>
      <c r="X421">
        <f t="shared" si="48"/>
        <v>941</v>
      </c>
      <c r="Y421">
        <f t="shared" si="47"/>
        <v>799.85</v>
      </c>
    </row>
    <row r="422" spans="1:25" x14ac:dyDescent="0.3">
      <c r="A422" t="s">
        <v>726</v>
      </c>
      <c r="B422" s="1">
        <v>46111</v>
      </c>
      <c r="C422" t="s">
        <v>548</v>
      </c>
      <c r="D422" t="s">
        <v>170</v>
      </c>
      <c r="E422" t="s">
        <v>171</v>
      </c>
      <c r="F422" t="s">
        <v>31</v>
      </c>
      <c r="G422" t="s">
        <v>21</v>
      </c>
      <c r="H422" t="s">
        <v>126</v>
      </c>
      <c r="I422">
        <v>2</v>
      </c>
      <c r="J422">
        <v>63274.58</v>
      </c>
      <c r="K422">
        <v>0.03</v>
      </c>
      <c r="L422">
        <v>122752.69</v>
      </c>
      <c r="M422" t="s">
        <v>23</v>
      </c>
      <c r="N422" t="s">
        <v>24</v>
      </c>
      <c r="O422" t="s">
        <v>65</v>
      </c>
      <c r="P422" t="s">
        <v>111</v>
      </c>
      <c r="Q422" t="str">
        <f t="shared" si="42"/>
        <v>Completed</v>
      </c>
      <c r="R422" t="str">
        <f t="shared" si="43"/>
        <v>Online</v>
      </c>
      <c r="S422" t="str">
        <v>Debit Card</v>
      </c>
      <c r="T422" t="str">
        <v>Electronics</v>
      </c>
      <c r="U422" t="str">
        <f t="shared" si="44"/>
        <v>VALID</v>
      </c>
      <c r="V422" t="str">
        <f t="shared" si="45"/>
        <v>NORMAL</v>
      </c>
      <c r="W422" t="str">
        <f t="shared" si="46"/>
        <v>Valid</v>
      </c>
      <c r="X422">
        <f t="shared" si="48"/>
        <v>126549.16</v>
      </c>
      <c r="Y422">
        <f t="shared" si="47"/>
        <v>122752.68520000001</v>
      </c>
    </row>
    <row r="423" spans="1:25" x14ac:dyDescent="0.3">
      <c r="A423" t="s">
        <v>727</v>
      </c>
      <c r="B423" s="1">
        <v>45457</v>
      </c>
      <c r="C423" t="s">
        <v>453</v>
      </c>
      <c r="D423" t="s">
        <v>170</v>
      </c>
      <c r="E423" t="s">
        <v>171</v>
      </c>
      <c r="F423" t="s">
        <v>31</v>
      </c>
      <c r="G423" t="s">
        <v>21</v>
      </c>
      <c r="H423" t="s">
        <v>22</v>
      </c>
      <c r="I423">
        <v>2</v>
      </c>
      <c r="J423">
        <v>65783.070000000007</v>
      </c>
      <c r="K423">
        <v>0.1</v>
      </c>
      <c r="L423">
        <v>118409.53</v>
      </c>
      <c r="M423" t="s">
        <v>23</v>
      </c>
      <c r="N423" t="s">
        <v>34</v>
      </c>
      <c r="O423" t="s">
        <v>65</v>
      </c>
      <c r="P423" t="s">
        <v>50</v>
      </c>
      <c r="Q423" t="str">
        <f t="shared" si="42"/>
        <v>Completed</v>
      </c>
      <c r="R423" t="str">
        <f t="shared" si="43"/>
        <v>Online</v>
      </c>
      <c r="S423" t="str">
        <v>Cash On Delivery</v>
      </c>
      <c r="T423" t="str">
        <v>Electronics</v>
      </c>
      <c r="U423" t="str">
        <f t="shared" si="44"/>
        <v>VALID</v>
      </c>
      <c r="V423" t="str">
        <f t="shared" si="45"/>
        <v>NORMAL</v>
      </c>
      <c r="W423" t="str">
        <f t="shared" si="46"/>
        <v>Valid</v>
      </c>
      <c r="X423">
        <f t="shared" si="48"/>
        <v>131566.14000000001</v>
      </c>
      <c r="Y423">
        <f t="shared" si="47"/>
        <v>118409.52600000001</v>
      </c>
    </row>
    <row r="424" spans="1:25" x14ac:dyDescent="0.3">
      <c r="A424" t="s">
        <v>728</v>
      </c>
      <c r="B424" s="1">
        <v>45486</v>
      </c>
      <c r="C424" t="s">
        <v>483</v>
      </c>
      <c r="D424" t="s">
        <v>18</v>
      </c>
      <c r="E424" t="s">
        <v>19</v>
      </c>
      <c r="F424" t="s">
        <v>20</v>
      </c>
      <c r="G424" t="s">
        <v>32</v>
      </c>
      <c r="H424" t="s">
        <v>47</v>
      </c>
      <c r="I424">
        <v>2</v>
      </c>
      <c r="J424">
        <v>810.05</v>
      </c>
      <c r="K424">
        <v>0.08</v>
      </c>
      <c r="L424">
        <v>1490.49</v>
      </c>
      <c r="M424" t="s">
        <v>23</v>
      </c>
      <c r="N424" t="s">
        <v>49</v>
      </c>
      <c r="O424" t="s">
        <v>65</v>
      </c>
      <c r="P424" t="s">
        <v>102</v>
      </c>
      <c r="Q424" t="str">
        <f t="shared" si="42"/>
        <v>Completed</v>
      </c>
      <c r="R424" t="str">
        <f t="shared" si="43"/>
        <v>Online</v>
      </c>
      <c r="S424" t="str">
        <v>Net Banking</v>
      </c>
      <c r="T424" t="str">
        <v>Accessories</v>
      </c>
      <c r="U424" t="str">
        <f t="shared" si="44"/>
        <v>VALID</v>
      </c>
      <c r="V424" t="str">
        <f t="shared" si="45"/>
        <v>NORMAL</v>
      </c>
      <c r="W424" t="str">
        <f t="shared" si="46"/>
        <v>Valid</v>
      </c>
      <c r="X424">
        <f t="shared" si="48"/>
        <v>1620.1</v>
      </c>
      <c r="Y424">
        <f t="shared" si="47"/>
        <v>1490.492</v>
      </c>
    </row>
    <row r="425" spans="1:25" x14ac:dyDescent="0.3">
      <c r="A425" t="s">
        <v>729</v>
      </c>
      <c r="B425" s="1">
        <v>45322</v>
      </c>
      <c r="C425" t="s">
        <v>350</v>
      </c>
      <c r="D425" t="s">
        <v>89</v>
      </c>
      <c r="E425" t="s">
        <v>90</v>
      </c>
      <c r="F425" t="s">
        <v>20</v>
      </c>
      <c r="G425" t="s">
        <v>81</v>
      </c>
      <c r="H425" t="s">
        <v>98</v>
      </c>
      <c r="I425">
        <v>1</v>
      </c>
      <c r="J425">
        <v>737.79</v>
      </c>
      <c r="K425">
        <v>0.15</v>
      </c>
      <c r="L425">
        <v>627.12</v>
      </c>
      <c r="M425" t="s">
        <v>76</v>
      </c>
      <c r="N425" t="s">
        <v>34</v>
      </c>
      <c r="O425" t="s">
        <v>65</v>
      </c>
      <c r="P425" t="s">
        <v>111</v>
      </c>
      <c r="Q425" t="str">
        <f t="shared" si="42"/>
        <v>Completed</v>
      </c>
      <c r="R425" t="str">
        <f t="shared" si="43"/>
        <v>Store</v>
      </c>
      <c r="S425" t="str">
        <v>Cash On Delivery</v>
      </c>
      <c r="T425" t="str">
        <v>Accessories</v>
      </c>
      <c r="U425" t="str">
        <f t="shared" si="44"/>
        <v>VALID</v>
      </c>
      <c r="V425" t="str">
        <f t="shared" si="45"/>
        <v>NORMAL</v>
      </c>
      <c r="W425" t="str">
        <f t="shared" si="46"/>
        <v>Valid</v>
      </c>
      <c r="X425">
        <f t="shared" si="48"/>
        <v>737.79</v>
      </c>
      <c r="Y425">
        <f t="shared" si="47"/>
        <v>627.12149999999997</v>
      </c>
    </row>
    <row r="426" spans="1:25" x14ac:dyDescent="0.3">
      <c r="A426" t="s">
        <v>730</v>
      </c>
      <c r="B426" s="1">
        <v>46118</v>
      </c>
      <c r="C426" t="s">
        <v>379</v>
      </c>
      <c r="D426" t="s">
        <v>62</v>
      </c>
      <c r="E426" t="s">
        <v>63</v>
      </c>
      <c r="F426" t="s">
        <v>31</v>
      </c>
      <c r="G426" t="s">
        <v>21</v>
      </c>
      <c r="H426" t="s">
        <v>93</v>
      </c>
      <c r="I426">
        <v>4</v>
      </c>
      <c r="J426">
        <v>2811.24</v>
      </c>
      <c r="K426">
        <v>0.08</v>
      </c>
      <c r="L426">
        <v>10345.36</v>
      </c>
      <c r="M426" t="s">
        <v>76</v>
      </c>
      <c r="N426" t="s">
        <v>49</v>
      </c>
      <c r="O426" t="s">
        <v>25</v>
      </c>
      <c r="P426" t="s">
        <v>116</v>
      </c>
      <c r="Q426" t="str">
        <f t="shared" si="42"/>
        <v>Returned</v>
      </c>
      <c r="R426" t="str">
        <f t="shared" si="43"/>
        <v>Store</v>
      </c>
      <c r="S426" t="str">
        <v>Net Banking</v>
      </c>
      <c r="T426" t="str">
        <v>Electronics</v>
      </c>
      <c r="U426" t="str">
        <f t="shared" si="44"/>
        <v>VALID</v>
      </c>
      <c r="V426" t="str">
        <f t="shared" si="45"/>
        <v>NORMAL</v>
      </c>
      <c r="W426" t="str">
        <f t="shared" si="46"/>
        <v>Valid</v>
      </c>
      <c r="X426">
        <f t="shared" si="48"/>
        <v>11244.96</v>
      </c>
      <c r="Y426">
        <f t="shared" si="47"/>
        <v>10345.3632</v>
      </c>
    </row>
    <row r="427" spans="1:25" x14ac:dyDescent="0.3">
      <c r="A427" t="s">
        <v>731</v>
      </c>
      <c r="B427" s="1">
        <v>45383</v>
      </c>
      <c r="C427" t="s">
        <v>264</v>
      </c>
      <c r="D427" t="s">
        <v>85</v>
      </c>
      <c r="E427" t="s">
        <v>86</v>
      </c>
      <c r="F427" t="s">
        <v>20</v>
      </c>
      <c r="G427" t="s">
        <v>56</v>
      </c>
      <c r="H427" t="s">
        <v>123</v>
      </c>
      <c r="I427">
        <v>1</v>
      </c>
      <c r="J427">
        <v>1928.1</v>
      </c>
      <c r="K427">
        <v>0</v>
      </c>
      <c r="L427">
        <v>1928.1</v>
      </c>
      <c r="M427" t="s">
        <v>23</v>
      </c>
      <c r="N427" t="s">
        <v>49</v>
      </c>
      <c r="O427" t="s">
        <v>65</v>
      </c>
      <c r="P427" t="s">
        <v>111</v>
      </c>
      <c r="Q427" t="str">
        <f t="shared" si="42"/>
        <v>Completed</v>
      </c>
      <c r="R427" t="str">
        <f t="shared" si="43"/>
        <v>Online</v>
      </c>
      <c r="S427" t="str">
        <v>Net Banking</v>
      </c>
      <c r="T427" t="str">
        <v>Accessories</v>
      </c>
      <c r="U427" t="str">
        <f t="shared" si="44"/>
        <v>VALID</v>
      </c>
      <c r="V427" t="str">
        <f t="shared" si="45"/>
        <v>NORMAL</v>
      </c>
      <c r="W427" t="str">
        <f t="shared" si="46"/>
        <v>Valid</v>
      </c>
      <c r="X427">
        <f t="shared" si="48"/>
        <v>1928.1</v>
      </c>
      <c r="Y427">
        <f t="shared" si="47"/>
        <v>1928.1</v>
      </c>
    </row>
    <row r="428" spans="1:25" x14ac:dyDescent="0.3">
      <c r="A428" t="s">
        <v>732</v>
      </c>
      <c r="B428" s="1">
        <v>46036</v>
      </c>
      <c r="C428" t="s">
        <v>394</v>
      </c>
      <c r="D428" t="s">
        <v>89</v>
      </c>
      <c r="E428" t="s">
        <v>90</v>
      </c>
      <c r="F428" t="s">
        <v>20</v>
      </c>
      <c r="G428" t="s">
        <v>56</v>
      </c>
      <c r="H428" t="s">
        <v>64</v>
      </c>
      <c r="I428">
        <v>1</v>
      </c>
      <c r="J428">
        <v>743.39</v>
      </c>
      <c r="K428">
        <v>0.05</v>
      </c>
      <c r="L428">
        <v>706.22</v>
      </c>
      <c r="M428" t="s">
        <v>23</v>
      </c>
      <c r="N428" t="s">
        <v>58</v>
      </c>
      <c r="O428" t="s">
        <v>35</v>
      </c>
      <c r="P428" t="s">
        <v>116</v>
      </c>
      <c r="Q428" t="str">
        <f t="shared" si="42"/>
        <v>Cancelled</v>
      </c>
      <c r="R428" t="str">
        <f t="shared" si="43"/>
        <v>Online</v>
      </c>
      <c r="S428" t="str">
        <v>Credit Card</v>
      </c>
      <c r="T428" t="str">
        <v>Accessories</v>
      </c>
      <c r="U428" t="str">
        <f t="shared" si="44"/>
        <v>VALID</v>
      </c>
      <c r="V428" t="str">
        <f t="shared" si="45"/>
        <v>NORMAL</v>
      </c>
      <c r="W428" t="str">
        <f t="shared" si="46"/>
        <v>Valid</v>
      </c>
      <c r="X428">
        <f t="shared" si="48"/>
        <v>743.39</v>
      </c>
      <c r="Y428">
        <f t="shared" si="47"/>
        <v>706.22050000000002</v>
      </c>
    </row>
    <row r="429" spans="1:25" x14ac:dyDescent="0.3">
      <c r="A429" t="s">
        <v>733</v>
      </c>
      <c r="B429" s="1">
        <v>45615</v>
      </c>
      <c r="C429" t="s">
        <v>516</v>
      </c>
      <c r="D429" t="s">
        <v>176</v>
      </c>
      <c r="E429" t="s">
        <v>177</v>
      </c>
      <c r="F429" t="s">
        <v>31</v>
      </c>
      <c r="G429" t="s">
        <v>21</v>
      </c>
      <c r="H429" t="s">
        <v>22</v>
      </c>
      <c r="I429">
        <v>3</v>
      </c>
      <c r="J429">
        <v>2115.4299999999998</v>
      </c>
      <c r="K429">
        <v>0.08</v>
      </c>
      <c r="L429">
        <v>5838.59</v>
      </c>
      <c r="M429" t="s">
        <v>76</v>
      </c>
      <c r="N429" t="s">
        <v>71</v>
      </c>
      <c r="O429" t="s">
        <v>35</v>
      </c>
      <c r="P429" t="s">
        <v>72</v>
      </c>
      <c r="Q429" t="str">
        <f t="shared" si="42"/>
        <v>Cancelled</v>
      </c>
      <c r="R429" t="str">
        <f t="shared" si="43"/>
        <v>Store</v>
      </c>
      <c r="S429" t="str">
        <v>Upi</v>
      </c>
      <c r="T429" t="str">
        <v>Electronics</v>
      </c>
      <c r="U429" t="str">
        <f t="shared" si="44"/>
        <v>VALID</v>
      </c>
      <c r="V429" t="str">
        <f t="shared" si="45"/>
        <v>NORMAL</v>
      </c>
      <c r="W429" t="str">
        <f t="shared" si="46"/>
        <v>Valid</v>
      </c>
      <c r="X429">
        <f t="shared" si="48"/>
        <v>6346.2899999999991</v>
      </c>
      <c r="Y429">
        <f t="shared" si="47"/>
        <v>5838.5867999999991</v>
      </c>
    </row>
    <row r="430" spans="1:25" x14ac:dyDescent="0.3">
      <c r="A430" t="s">
        <v>734</v>
      </c>
      <c r="B430" s="1">
        <v>45376</v>
      </c>
      <c r="C430" t="s">
        <v>643</v>
      </c>
      <c r="D430" t="s">
        <v>176</v>
      </c>
      <c r="E430" t="s">
        <v>177</v>
      </c>
      <c r="F430" t="s">
        <v>31</v>
      </c>
      <c r="G430" t="s">
        <v>81</v>
      </c>
      <c r="H430" t="s">
        <v>98</v>
      </c>
      <c r="I430">
        <v>2</v>
      </c>
      <c r="J430">
        <v>2267.54</v>
      </c>
      <c r="K430">
        <v>0.05</v>
      </c>
      <c r="L430">
        <v>4308.33</v>
      </c>
      <c r="M430" t="s">
        <v>48</v>
      </c>
      <c r="N430" t="s">
        <v>49</v>
      </c>
      <c r="O430" t="s">
        <v>65</v>
      </c>
      <c r="P430" t="s">
        <v>116</v>
      </c>
      <c r="Q430" t="str">
        <f t="shared" si="42"/>
        <v>Completed</v>
      </c>
      <c r="R430" t="str">
        <f t="shared" si="43"/>
        <v>Marketplace</v>
      </c>
      <c r="S430" t="str">
        <v>Net Banking</v>
      </c>
      <c r="T430" t="str">
        <v>Electronics</v>
      </c>
      <c r="U430" t="str">
        <f t="shared" si="44"/>
        <v>VALID</v>
      </c>
      <c r="V430" t="str">
        <f t="shared" si="45"/>
        <v>NORMAL</v>
      </c>
      <c r="W430" t="str">
        <f t="shared" si="46"/>
        <v>Valid</v>
      </c>
      <c r="X430">
        <f t="shared" si="48"/>
        <v>4535.08</v>
      </c>
      <c r="Y430">
        <f t="shared" si="47"/>
        <v>4308.326</v>
      </c>
    </row>
    <row r="431" spans="1:25" x14ac:dyDescent="0.3">
      <c r="A431" t="s">
        <v>735</v>
      </c>
      <c r="B431" s="1">
        <v>46144</v>
      </c>
      <c r="C431" t="s">
        <v>218</v>
      </c>
      <c r="D431" t="s">
        <v>121</v>
      </c>
      <c r="E431" t="s">
        <v>122</v>
      </c>
      <c r="F431" t="s">
        <v>55</v>
      </c>
      <c r="G431" t="s">
        <v>56</v>
      </c>
      <c r="H431" t="s">
        <v>101</v>
      </c>
      <c r="I431">
        <v>3</v>
      </c>
      <c r="J431">
        <v>419.41</v>
      </c>
      <c r="K431">
        <v>0.15</v>
      </c>
      <c r="L431">
        <v>1069.5</v>
      </c>
      <c r="M431" t="s">
        <v>23</v>
      </c>
      <c r="N431" t="s">
        <v>34</v>
      </c>
      <c r="O431" t="s">
        <v>35</v>
      </c>
      <c r="P431" t="s">
        <v>111</v>
      </c>
      <c r="Q431" t="str">
        <f t="shared" si="42"/>
        <v>Cancelled</v>
      </c>
      <c r="R431" t="str">
        <f t="shared" si="43"/>
        <v>Online</v>
      </c>
      <c r="S431" t="str">
        <v>Cash On Delivery</v>
      </c>
      <c r="T431" t="str">
        <v>Stationery</v>
      </c>
      <c r="U431" t="str">
        <f t="shared" si="44"/>
        <v>VALID</v>
      </c>
      <c r="V431" t="str">
        <f t="shared" si="45"/>
        <v>NORMAL</v>
      </c>
      <c r="W431" t="str">
        <f t="shared" si="46"/>
        <v>Valid</v>
      </c>
      <c r="X431">
        <f t="shared" si="48"/>
        <v>1258.23</v>
      </c>
      <c r="Y431">
        <f t="shared" si="47"/>
        <v>1069.4955</v>
      </c>
    </row>
    <row r="432" spans="1:25" x14ac:dyDescent="0.3">
      <c r="A432" t="s">
        <v>736</v>
      </c>
      <c r="B432" s="1">
        <v>45366</v>
      </c>
      <c r="C432" t="s">
        <v>572</v>
      </c>
      <c r="D432" t="s">
        <v>85</v>
      </c>
      <c r="E432" t="s">
        <v>86</v>
      </c>
      <c r="F432" t="s">
        <v>20</v>
      </c>
      <c r="G432" t="s">
        <v>21</v>
      </c>
      <c r="H432" t="s">
        <v>41</v>
      </c>
      <c r="I432">
        <v>4</v>
      </c>
      <c r="J432">
        <v>1851.69</v>
      </c>
      <c r="K432">
        <v>0.15</v>
      </c>
      <c r="L432">
        <v>6295.75</v>
      </c>
      <c r="M432" t="s">
        <v>48</v>
      </c>
      <c r="N432" t="s">
        <v>58</v>
      </c>
      <c r="O432" t="s">
        <v>25</v>
      </c>
      <c r="P432" t="s">
        <v>72</v>
      </c>
      <c r="Q432" t="str">
        <f t="shared" si="42"/>
        <v>Returned</v>
      </c>
      <c r="R432" t="str">
        <f t="shared" si="43"/>
        <v>Marketplace</v>
      </c>
      <c r="S432" t="str">
        <v>Credit Card</v>
      </c>
      <c r="T432" t="str">
        <v>Accessories</v>
      </c>
      <c r="U432" t="str">
        <f t="shared" si="44"/>
        <v>VALID</v>
      </c>
      <c r="V432" t="str">
        <f t="shared" si="45"/>
        <v>NORMAL</v>
      </c>
      <c r="W432" t="str">
        <f t="shared" si="46"/>
        <v>Valid</v>
      </c>
      <c r="X432">
        <f t="shared" si="48"/>
        <v>7406.76</v>
      </c>
      <c r="Y432">
        <f t="shared" si="47"/>
        <v>6295.7460000000001</v>
      </c>
    </row>
    <row r="433" spans="1:25" x14ac:dyDescent="0.3">
      <c r="A433" t="s">
        <v>737</v>
      </c>
      <c r="B433" s="1">
        <v>45741</v>
      </c>
      <c r="C433" t="s">
        <v>738</v>
      </c>
      <c r="D433" t="s">
        <v>176</v>
      </c>
      <c r="E433" t="s">
        <v>177</v>
      </c>
      <c r="F433" t="s">
        <v>31</v>
      </c>
      <c r="G433" t="s">
        <v>81</v>
      </c>
      <c r="H433" t="s">
        <v>98</v>
      </c>
      <c r="I433">
        <v>3</v>
      </c>
      <c r="J433">
        <v>2065.9</v>
      </c>
      <c r="K433">
        <v>0.1</v>
      </c>
      <c r="L433">
        <v>5577.93</v>
      </c>
      <c r="M433" t="s">
        <v>76</v>
      </c>
      <c r="N433" t="s">
        <v>58</v>
      </c>
      <c r="O433" t="s">
        <v>65</v>
      </c>
      <c r="P433" t="s">
        <v>26</v>
      </c>
      <c r="Q433" t="str">
        <f t="shared" si="42"/>
        <v>Completed</v>
      </c>
      <c r="R433" t="str">
        <f t="shared" si="43"/>
        <v>Store</v>
      </c>
      <c r="S433" t="str">
        <v>Credit Card</v>
      </c>
      <c r="T433" t="str">
        <v>Electronics</v>
      </c>
      <c r="U433" t="str">
        <f t="shared" si="44"/>
        <v>VALID</v>
      </c>
      <c r="V433" t="str">
        <f t="shared" si="45"/>
        <v>NORMAL</v>
      </c>
      <c r="W433" t="str">
        <f t="shared" si="46"/>
        <v>Valid</v>
      </c>
      <c r="X433">
        <f t="shared" si="48"/>
        <v>6197.7000000000007</v>
      </c>
      <c r="Y433">
        <f t="shared" si="47"/>
        <v>5577.93</v>
      </c>
    </row>
    <row r="434" spans="1:25" x14ac:dyDescent="0.3">
      <c r="A434" t="s">
        <v>739</v>
      </c>
      <c r="B434" s="1">
        <v>46019</v>
      </c>
      <c r="C434" t="s">
        <v>576</v>
      </c>
      <c r="D434" t="s">
        <v>45</v>
      </c>
      <c r="E434" t="s">
        <v>46</v>
      </c>
      <c r="F434" t="s">
        <v>31</v>
      </c>
      <c r="G434" t="s">
        <v>32</v>
      </c>
      <c r="H434" t="s">
        <v>68</v>
      </c>
      <c r="I434">
        <v>1</v>
      </c>
      <c r="J434">
        <v>1907.49</v>
      </c>
      <c r="K434">
        <v>0</v>
      </c>
      <c r="L434">
        <v>1907.49</v>
      </c>
      <c r="M434" t="s">
        <v>48</v>
      </c>
      <c r="N434" t="s">
        <v>24</v>
      </c>
      <c r="O434" t="s">
        <v>65</v>
      </c>
      <c r="P434" t="s">
        <v>59</v>
      </c>
      <c r="Q434" t="str">
        <f t="shared" si="42"/>
        <v>Completed</v>
      </c>
      <c r="R434" t="str">
        <f t="shared" si="43"/>
        <v>Marketplace</v>
      </c>
      <c r="S434" t="str">
        <v>Debit Card</v>
      </c>
      <c r="T434" t="str">
        <v>Electronics</v>
      </c>
      <c r="U434" t="str">
        <f t="shared" si="44"/>
        <v>VALID</v>
      </c>
      <c r="V434" t="str">
        <f t="shared" si="45"/>
        <v>NORMAL</v>
      </c>
      <c r="W434" t="str">
        <f t="shared" si="46"/>
        <v>Valid</v>
      </c>
      <c r="X434">
        <f t="shared" si="48"/>
        <v>1907.49</v>
      </c>
      <c r="Y434">
        <f t="shared" si="47"/>
        <v>1907.49</v>
      </c>
    </row>
    <row r="435" spans="1:25" x14ac:dyDescent="0.3">
      <c r="A435" t="s">
        <v>740</v>
      </c>
      <c r="B435" s="1">
        <v>45317</v>
      </c>
      <c r="C435" t="s">
        <v>289</v>
      </c>
      <c r="D435" t="s">
        <v>53</v>
      </c>
      <c r="E435" t="s">
        <v>54</v>
      </c>
      <c r="F435" t="s">
        <v>55</v>
      </c>
      <c r="G435" t="s">
        <v>21</v>
      </c>
      <c r="H435" t="s">
        <v>93</v>
      </c>
      <c r="I435">
        <v>3</v>
      </c>
      <c r="J435">
        <v>223.4</v>
      </c>
      <c r="K435">
        <v>0.03</v>
      </c>
      <c r="L435">
        <v>650.09</v>
      </c>
      <c r="M435" t="s">
        <v>23</v>
      </c>
      <c r="N435" t="s">
        <v>34</v>
      </c>
      <c r="O435" t="s">
        <v>35</v>
      </c>
      <c r="P435" t="s">
        <v>42</v>
      </c>
      <c r="Q435" t="str">
        <f t="shared" si="42"/>
        <v>Cancelled</v>
      </c>
      <c r="R435" t="str">
        <f t="shared" si="43"/>
        <v>Online</v>
      </c>
      <c r="S435" t="str">
        <v>Cash On Delivery</v>
      </c>
      <c r="T435" t="str">
        <v>Stationery</v>
      </c>
      <c r="U435" t="str">
        <f t="shared" si="44"/>
        <v>VALID</v>
      </c>
      <c r="V435" t="str">
        <f t="shared" si="45"/>
        <v>NORMAL</v>
      </c>
      <c r="W435" t="str">
        <f t="shared" si="46"/>
        <v>Valid</v>
      </c>
      <c r="X435">
        <f t="shared" si="48"/>
        <v>670.2</v>
      </c>
      <c r="Y435">
        <f t="shared" si="47"/>
        <v>650.09400000000005</v>
      </c>
    </row>
    <row r="436" spans="1:25" x14ac:dyDescent="0.3">
      <c r="A436" t="s">
        <v>741</v>
      </c>
      <c r="B436" s="1">
        <v>45907</v>
      </c>
      <c r="C436" t="s">
        <v>151</v>
      </c>
      <c r="D436" t="s">
        <v>29</v>
      </c>
      <c r="E436" t="s">
        <v>30</v>
      </c>
      <c r="F436" t="s">
        <v>31</v>
      </c>
      <c r="G436" t="s">
        <v>21</v>
      </c>
      <c r="H436" t="s">
        <v>41</v>
      </c>
      <c r="I436">
        <v>1</v>
      </c>
      <c r="J436">
        <v>3446.15</v>
      </c>
      <c r="K436">
        <v>0.2</v>
      </c>
      <c r="L436">
        <v>2756.92</v>
      </c>
      <c r="M436" t="s">
        <v>48</v>
      </c>
      <c r="N436" t="s">
        <v>71</v>
      </c>
      <c r="O436" t="s">
        <v>65</v>
      </c>
      <c r="P436" t="s">
        <v>50</v>
      </c>
      <c r="Q436" t="str">
        <f t="shared" si="42"/>
        <v>Completed</v>
      </c>
      <c r="R436" t="str">
        <f t="shared" si="43"/>
        <v>Marketplace</v>
      </c>
      <c r="S436" t="str">
        <v>Upi</v>
      </c>
      <c r="T436" t="str">
        <v>Electronics</v>
      </c>
      <c r="U436" t="str">
        <f t="shared" si="44"/>
        <v>VALID</v>
      </c>
      <c r="V436" t="str">
        <f t="shared" si="45"/>
        <v>NORMAL</v>
      </c>
      <c r="W436" t="str">
        <f t="shared" si="46"/>
        <v>Valid</v>
      </c>
      <c r="X436">
        <f t="shared" si="48"/>
        <v>3446.15</v>
      </c>
      <c r="Y436">
        <f t="shared" si="47"/>
        <v>2756.92</v>
      </c>
    </row>
    <row r="437" spans="1:25" x14ac:dyDescent="0.3">
      <c r="A437" t="s">
        <v>742</v>
      </c>
      <c r="B437" s="1">
        <v>45492</v>
      </c>
      <c r="C437" t="s">
        <v>17</v>
      </c>
      <c r="D437" t="s">
        <v>38</v>
      </c>
      <c r="E437" t="s">
        <v>39</v>
      </c>
      <c r="F437" t="s">
        <v>40</v>
      </c>
      <c r="G437" t="s">
        <v>32</v>
      </c>
      <c r="H437" t="s">
        <v>33</v>
      </c>
      <c r="I437">
        <v>3</v>
      </c>
      <c r="J437">
        <v>1528.82</v>
      </c>
      <c r="K437">
        <v>0.15</v>
      </c>
      <c r="L437">
        <v>3898.49</v>
      </c>
      <c r="M437" t="s">
        <v>76</v>
      </c>
      <c r="N437" t="s">
        <v>24</v>
      </c>
      <c r="O437" t="s">
        <v>65</v>
      </c>
      <c r="P437" t="s">
        <v>111</v>
      </c>
      <c r="Q437" t="str">
        <f t="shared" si="42"/>
        <v>Completed</v>
      </c>
      <c r="R437" t="str">
        <f t="shared" si="43"/>
        <v>Store</v>
      </c>
      <c r="S437" t="str">
        <v>Debit Card</v>
      </c>
      <c r="T437" t="str">
        <v>Furniture</v>
      </c>
      <c r="U437" t="str">
        <f t="shared" si="44"/>
        <v>VALID</v>
      </c>
      <c r="V437" t="str">
        <f t="shared" si="45"/>
        <v>NORMAL</v>
      </c>
      <c r="W437" t="str">
        <f t="shared" si="46"/>
        <v>Valid</v>
      </c>
      <c r="X437">
        <f t="shared" si="48"/>
        <v>4586.46</v>
      </c>
      <c r="Y437">
        <f t="shared" si="47"/>
        <v>3898.491</v>
      </c>
    </row>
    <row r="438" spans="1:25" x14ac:dyDescent="0.3">
      <c r="A438" t="s">
        <v>743</v>
      </c>
      <c r="B438" s="1">
        <v>45983</v>
      </c>
      <c r="C438" t="s">
        <v>404</v>
      </c>
      <c r="D438" t="s">
        <v>29</v>
      </c>
      <c r="E438" t="s">
        <v>30</v>
      </c>
      <c r="F438" t="s">
        <v>31</v>
      </c>
      <c r="G438" t="s">
        <v>56</v>
      </c>
      <c r="H438" t="s">
        <v>101</v>
      </c>
      <c r="I438">
        <v>4</v>
      </c>
      <c r="J438">
        <v>3082.48</v>
      </c>
      <c r="K438">
        <v>0.2</v>
      </c>
      <c r="L438">
        <v>9863.94</v>
      </c>
      <c r="M438" t="s">
        <v>76</v>
      </c>
      <c r="N438" t="s">
        <v>49</v>
      </c>
      <c r="O438" t="s">
        <v>65</v>
      </c>
      <c r="P438" t="s">
        <v>50</v>
      </c>
      <c r="Q438" t="str">
        <f t="shared" si="42"/>
        <v>Completed</v>
      </c>
      <c r="R438" t="str">
        <f t="shared" si="43"/>
        <v>Store</v>
      </c>
      <c r="S438" t="str">
        <v>Net Banking</v>
      </c>
      <c r="T438" t="str">
        <v>Electronics</v>
      </c>
      <c r="U438" t="str">
        <f t="shared" si="44"/>
        <v>VALID</v>
      </c>
      <c r="V438" t="str">
        <f t="shared" si="45"/>
        <v>NORMAL</v>
      </c>
      <c r="W438" t="str">
        <f t="shared" si="46"/>
        <v>Valid</v>
      </c>
      <c r="X438">
        <f t="shared" si="48"/>
        <v>12329.92</v>
      </c>
      <c r="Y438">
        <f t="shared" si="47"/>
        <v>9863.9359999999997</v>
      </c>
    </row>
    <row r="439" spans="1:25" x14ac:dyDescent="0.3">
      <c r="A439" t="s">
        <v>744</v>
      </c>
      <c r="B439" s="1">
        <v>46009</v>
      </c>
      <c r="C439" t="s">
        <v>480</v>
      </c>
      <c r="D439" t="s">
        <v>105</v>
      </c>
      <c r="E439" t="s">
        <v>106</v>
      </c>
      <c r="F439" t="s">
        <v>40</v>
      </c>
      <c r="G439" t="s">
        <v>56</v>
      </c>
      <c r="H439" t="s">
        <v>64</v>
      </c>
      <c r="I439">
        <v>3</v>
      </c>
      <c r="J439">
        <v>6906.65</v>
      </c>
      <c r="K439">
        <v>0.08</v>
      </c>
      <c r="L439">
        <v>19062.349999999999</v>
      </c>
      <c r="M439" t="s">
        <v>76</v>
      </c>
      <c r="N439" t="s">
        <v>24</v>
      </c>
      <c r="O439" t="s">
        <v>25</v>
      </c>
      <c r="P439" t="s">
        <v>50</v>
      </c>
      <c r="Q439" t="str">
        <f t="shared" si="42"/>
        <v>Returned</v>
      </c>
      <c r="R439" t="str">
        <f t="shared" si="43"/>
        <v>Store</v>
      </c>
      <c r="S439" t="str">
        <v>Debit Card</v>
      </c>
      <c r="T439" t="str">
        <v>Furniture</v>
      </c>
      <c r="U439" t="str">
        <f t="shared" si="44"/>
        <v>VALID</v>
      </c>
      <c r="V439" t="str">
        <f t="shared" si="45"/>
        <v>NORMAL</v>
      </c>
      <c r="W439" t="str">
        <f t="shared" si="46"/>
        <v>Valid</v>
      </c>
      <c r="X439">
        <f t="shared" si="48"/>
        <v>20719.949999999997</v>
      </c>
      <c r="Y439">
        <f t="shared" si="47"/>
        <v>19062.353999999996</v>
      </c>
    </row>
    <row r="440" spans="1:25" x14ac:dyDescent="0.3">
      <c r="A440" t="s">
        <v>745</v>
      </c>
      <c r="B440" s="1">
        <v>45827</v>
      </c>
      <c r="C440" t="s">
        <v>746</v>
      </c>
      <c r="D440" t="s">
        <v>170</v>
      </c>
      <c r="E440" t="s">
        <v>171</v>
      </c>
      <c r="F440" t="s">
        <v>31</v>
      </c>
      <c r="G440" t="s">
        <v>81</v>
      </c>
      <c r="H440" t="s">
        <v>87</v>
      </c>
      <c r="I440">
        <v>4</v>
      </c>
      <c r="J440">
        <v>63754.45</v>
      </c>
      <c r="K440">
        <v>0.15</v>
      </c>
      <c r="L440">
        <v>216765.13</v>
      </c>
      <c r="M440" t="s">
        <v>76</v>
      </c>
      <c r="N440" t="s">
        <v>58</v>
      </c>
      <c r="O440" t="s">
        <v>35</v>
      </c>
      <c r="P440" t="s">
        <v>59</v>
      </c>
      <c r="Q440" t="str">
        <f t="shared" si="42"/>
        <v>Cancelled</v>
      </c>
      <c r="R440" t="str">
        <f t="shared" si="43"/>
        <v>Store</v>
      </c>
      <c r="S440" t="str">
        <v>Credit Card</v>
      </c>
      <c r="T440" t="str">
        <v>Electronics</v>
      </c>
      <c r="U440" t="str">
        <f t="shared" si="44"/>
        <v>VALID</v>
      </c>
      <c r="V440" t="str">
        <f t="shared" si="45"/>
        <v>NORMAL</v>
      </c>
      <c r="W440" t="str">
        <f t="shared" si="46"/>
        <v>Valid</v>
      </c>
      <c r="X440">
        <f t="shared" si="48"/>
        <v>255017.8</v>
      </c>
      <c r="Y440">
        <f t="shared" si="47"/>
        <v>216765.13</v>
      </c>
    </row>
    <row r="441" spans="1:25" x14ac:dyDescent="0.3">
      <c r="A441" t="s">
        <v>747</v>
      </c>
      <c r="B441" s="1">
        <v>45584</v>
      </c>
      <c r="C441" t="s">
        <v>151</v>
      </c>
      <c r="D441" t="s">
        <v>85</v>
      </c>
      <c r="E441" t="s">
        <v>86</v>
      </c>
      <c r="F441" t="s">
        <v>20</v>
      </c>
      <c r="G441" t="s">
        <v>32</v>
      </c>
      <c r="H441" t="s">
        <v>33</v>
      </c>
      <c r="I441">
        <v>2</v>
      </c>
      <c r="J441">
        <v>1846.33</v>
      </c>
      <c r="K441">
        <v>0.2</v>
      </c>
      <c r="L441">
        <v>2954.13</v>
      </c>
      <c r="M441" t="s">
        <v>23</v>
      </c>
      <c r="N441" t="s">
        <v>49</v>
      </c>
      <c r="O441" t="s">
        <v>65</v>
      </c>
      <c r="P441" t="s">
        <v>59</v>
      </c>
      <c r="Q441" t="str">
        <f t="shared" si="42"/>
        <v>Completed</v>
      </c>
      <c r="R441" t="str">
        <f t="shared" si="43"/>
        <v>Online</v>
      </c>
      <c r="S441" t="str">
        <v>Net Banking</v>
      </c>
      <c r="T441" t="str">
        <v>Accessories</v>
      </c>
      <c r="U441" t="str">
        <f t="shared" si="44"/>
        <v>VALID</v>
      </c>
      <c r="V441" t="str">
        <f t="shared" si="45"/>
        <v>NORMAL</v>
      </c>
      <c r="W441" t="str">
        <f t="shared" si="46"/>
        <v>Valid</v>
      </c>
      <c r="X441">
        <f t="shared" si="48"/>
        <v>3692.66</v>
      </c>
      <c r="Y441">
        <f t="shared" si="47"/>
        <v>2954.1279999999997</v>
      </c>
    </row>
    <row r="442" spans="1:25" x14ac:dyDescent="0.3">
      <c r="A442" t="s">
        <v>748</v>
      </c>
      <c r="B442" s="1">
        <v>46185</v>
      </c>
      <c r="C442" t="s">
        <v>227</v>
      </c>
      <c r="D442" t="s">
        <v>121</v>
      </c>
      <c r="E442" t="s">
        <v>122</v>
      </c>
      <c r="F442" t="s">
        <v>55</v>
      </c>
      <c r="G442" t="s">
        <v>21</v>
      </c>
      <c r="H442" t="s">
        <v>93</v>
      </c>
      <c r="I442">
        <v>3</v>
      </c>
      <c r="J442">
        <v>421.51</v>
      </c>
      <c r="K442">
        <v>0.03</v>
      </c>
      <c r="L442">
        <v>1226.5899999999999</v>
      </c>
      <c r="M442" t="s">
        <v>76</v>
      </c>
      <c r="N442" t="s">
        <v>34</v>
      </c>
      <c r="O442" t="s">
        <v>65</v>
      </c>
      <c r="P442" t="s">
        <v>111</v>
      </c>
      <c r="Q442" t="str">
        <f t="shared" si="42"/>
        <v>Completed</v>
      </c>
      <c r="R442" t="str">
        <f t="shared" si="43"/>
        <v>Store</v>
      </c>
      <c r="S442" t="str">
        <v>Cash On Delivery</v>
      </c>
      <c r="T442" t="str">
        <v>Stationery</v>
      </c>
      <c r="U442" t="str">
        <f t="shared" si="44"/>
        <v>VALID</v>
      </c>
      <c r="V442" t="str">
        <f t="shared" si="45"/>
        <v>NORMAL</v>
      </c>
      <c r="W442" t="str">
        <f t="shared" si="46"/>
        <v>Valid</v>
      </c>
      <c r="X442">
        <f t="shared" si="48"/>
        <v>1264.53</v>
      </c>
      <c r="Y442">
        <f t="shared" si="47"/>
        <v>1226.5941</v>
      </c>
    </row>
    <row r="443" spans="1:25" x14ac:dyDescent="0.3">
      <c r="A443" t="s">
        <v>749</v>
      </c>
      <c r="B443" s="1">
        <v>45666</v>
      </c>
      <c r="C443" t="s">
        <v>370</v>
      </c>
      <c r="D443" t="s">
        <v>176</v>
      </c>
      <c r="E443" t="s">
        <v>177</v>
      </c>
      <c r="F443" t="s">
        <v>31</v>
      </c>
      <c r="G443" t="s">
        <v>21</v>
      </c>
      <c r="I443">
        <v>2</v>
      </c>
      <c r="J443">
        <v>2036.75</v>
      </c>
      <c r="K443">
        <v>0.2</v>
      </c>
      <c r="L443">
        <v>3258.8</v>
      </c>
      <c r="M443" t="s">
        <v>48</v>
      </c>
      <c r="N443" t="s">
        <v>24</v>
      </c>
      <c r="O443" t="s">
        <v>65</v>
      </c>
      <c r="P443" t="s">
        <v>72</v>
      </c>
      <c r="Q443" t="str">
        <f t="shared" si="42"/>
        <v>Completed</v>
      </c>
      <c r="R443" t="str">
        <f t="shared" si="43"/>
        <v>Marketplace</v>
      </c>
      <c r="S443" t="str">
        <v>Debit Card</v>
      </c>
      <c r="T443" t="str">
        <v>Electronics</v>
      </c>
      <c r="U443" t="str">
        <f t="shared" si="44"/>
        <v>VALID</v>
      </c>
      <c r="V443" t="str">
        <f t="shared" si="45"/>
        <v>NORMAL</v>
      </c>
      <c r="W443" t="str">
        <f t="shared" si="46"/>
        <v>Valid</v>
      </c>
      <c r="X443">
        <f t="shared" si="48"/>
        <v>4073.5</v>
      </c>
      <c r="Y443">
        <f t="shared" si="47"/>
        <v>3258.8</v>
      </c>
    </row>
    <row r="444" spans="1:25" x14ac:dyDescent="0.3">
      <c r="A444" t="s">
        <v>750</v>
      </c>
      <c r="B444" s="1">
        <v>45687</v>
      </c>
      <c r="C444" t="s">
        <v>643</v>
      </c>
      <c r="D444" t="s">
        <v>79</v>
      </c>
      <c r="E444" t="s">
        <v>80</v>
      </c>
      <c r="F444" t="s">
        <v>31</v>
      </c>
      <c r="G444" t="s">
        <v>32</v>
      </c>
      <c r="H444" t="s">
        <v>68</v>
      </c>
      <c r="I444">
        <v>1</v>
      </c>
      <c r="J444">
        <v>12049.14</v>
      </c>
      <c r="K444">
        <v>0.2</v>
      </c>
      <c r="L444">
        <v>9639.31</v>
      </c>
      <c r="M444" t="s">
        <v>76</v>
      </c>
      <c r="N444" t="s">
        <v>58</v>
      </c>
      <c r="O444" t="s">
        <v>65</v>
      </c>
      <c r="P444" t="s">
        <v>116</v>
      </c>
      <c r="Q444" t="str">
        <f t="shared" si="42"/>
        <v>Completed</v>
      </c>
      <c r="R444" t="str">
        <f t="shared" si="43"/>
        <v>Store</v>
      </c>
      <c r="S444" t="str">
        <v>Credit Card</v>
      </c>
      <c r="T444" t="str">
        <v>Electronics</v>
      </c>
      <c r="U444" t="str">
        <f t="shared" si="44"/>
        <v>VALID</v>
      </c>
      <c r="V444" t="str">
        <f t="shared" si="45"/>
        <v>NORMAL</v>
      </c>
      <c r="W444" t="str">
        <f t="shared" si="46"/>
        <v>Valid</v>
      </c>
      <c r="X444">
        <f t="shared" si="48"/>
        <v>12049.14</v>
      </c>
      <c r="Y444">
        <f t="shared" si="47"/>
        <v>9639.3119999999999</v>
      </c>
    </row>
    <row r="445" spans="1:25" x14ac:dyDescent="0.3">
      <c r="A445" t="s">
        <v>751</v>
      </c>
      <c r="B445" s="1">
        <v>45292</v>
      </c>
      <c r="C445" t="s">
        <v>134</v>
      </c>
      <c r="D445" t="s">
        <v>96</v>
      </c>
      <c r="E445" t="s">
        <v>97</v>
      </c>
      <c r="F445" t="s">
        <v>31</v>
      </c>
      <c r="G445" t="s">
        <v>81</v>
      </c>
      <c r="H445" t="s">
        <v>87</v>
      </c>
      <c r="I445">
        <v>1</v>
      </c>
      <c r="J445">
        <v>1209.54</v>
      </c>
      <c r="K445">
        <v>0</v>
      </c>
      <c r="L445">
        <v>1209.54</v>
      </c>
      <c r="M445" t="s">
        <v>76</v>
      </c>
      <c r="N445" t="s">
        <v>24</v>
      </c>
      <c r="O445" t="s">
        <v>65</v>
      </c>
      <c r="P445" t="s">
        <v>50</v>
      </c>
      <c r="Q445" t="str">
        <f t="shared" si="42"/>
        <v>Completed</v>
      </c>
      <c r="R445" t="str">
        <f t="shared" si="43"/>
        <v>Store</v>
      </c>
      <c r="S445" t="str">
        <v>Debit Card</v>
      </c>
      <c r="T445" t="str">
        <v>Electronics</v>
      </c>
      <c r="U445" t="str">
        <f t="shared" si="44"/>
        <v>VALID</v>
      </c>
      <c r="V445" t="str">
        <f t="shared" si="45"/>
        <v>NORMAL</v>
      </c>
      <c r="W445" t="str">
        <f t="shared" si="46"/>
        <v>Valid</v>
      </c>
      <c r="X445">
        <f t="shared" si="48"/>
        <v>1209.54</v>
      </c>
      <c r="Y445">
        <f t="shared" si="47"/>
        <v>1209.54</v>
      </c>
    </row>
    <row r="446" spans="1:25" x14ac:dyDescent="0.3">
      <c r="A446" t="s">
        <v>752</v>
      </c>
      <c r="B446" s="1">
        <v>45665</v>
      </c>
      <c r="D446" t="s">
        <v>170</v>
      </c>
      <c r="E446" t="s">
        <v>171</v>
      </c>
      <c r="F446" t="s">
        <v>31</v>
      </c>
      <c r="G446" t="s">
        <v>56</v>
      </c>
      <c r="H446" t="s">
        <v>64</v>
      </c>
      <c r="I446">
        <v>5</v>
      </c>
      <c r="J446">
        <v>61119.33</v>
      </c>
      <c r="K446">
        <v>0.05</v>
      </c>
      <c r="L446">
        <v>290316.82</v>
      </c>
      <c r="M446" t="s">
        <v>23</v>
      </c>
      <c r="N446" t="s">
        <v>34</v>
      </c>
      <c r="O446" t="s">
        <v>25</v>
      </c>
      <c r="P446" t="s">
        <v>116</v>
      </c>
      <c r="Q446" t="str">
        <f t="shared" si="42"/>
        <v>Returned</v>
      </c>
      <c r="R446" t="str">
        <f t="shared" si="43"/>
        <v>Online</v>
      </c>
      <c r="S446" t="str">
        <v>Cash On Delivery</v>
      </c>
      <c r="T446" t="str">
        <v>Electronics</v>
      </c>
      <c r="U446" t="str">
        <f t="shared" si="44"/>
        <v>VALID</v>
      </c>
      <c r="V446" t="str">
        <f t="shared" si="45"/>
        <v>NORMAL</v>
      </c>
      <c r="W446" t="str">
        <f t="shared" si="46"/>
        <v>Valid</v>
      </c>
      <c r="X446">
        <f t="shared" si="48"/>
        <v>305596.65000000002</v>
      </c>
      <c r="Y446">
        <f t="shared" si="47"/>
        <v>290316.8175</v>
      </c>
    </row>
    <row r="447" spans="1:25" x14ac:dyDescent="0.3">
      <c r="A447" t="s">
        <v>753</v>
      </c>
      <c r="B447" s="1">
        <v>45855</v>
      </c>
      <c r="C447" t="s">
        <v>389</v>
      </c>
      <c r="D447" t="s">
        <v>176</v>
      </c>
      <c r="E447" t="s">
        <v>177</v>
      </c>
      <c r="F447" t="s">
        <v>31</v>
      </c>
      <c r="G447" t="s">
        <v>21</v>
      </c>
      <c r="H447" t="s">
        <v>41</v>
      </c>
      <c r="I447">
        <v>3</v>
      </c>
      <c r="J447">
        <v>2055.13</v>
      </c>
      <c r="K447">
        <v>0.2</v>
      </c>
      <c r="L447">
        <v>4932.3100000000004</v>
      </c>
      <c r="M447" t="s">
        <v>76</v>
      </c>
      <c r="N447" t="s">
        <v>58</v>
      </c>
      <c r="O447" t="s">
        <v>25</v>
      </c>
      <c r="P447" t="s">
        <v>116</v>
      </c>
      <c r="Q447" t="str">
        <f t="shared" si="42"/>
        <v>Returned</v>
      </c>
      <c r="R447" t="str">
        <f t="shared" si="43"/>
        <v>Store</v>
      </c>
      <c r="S447" t="str">
        <v>Credit Card</v>
      </c>
      <c r="T447" t="str">
        <v>Electronics</v>
      </c>
      <c r="U447" t="str">
        <f t="shared" si="44"/>
        <v>VALID</v>
      </c>
      <c r="V447" t="str">
        <f t="shared" si="45"/>
        <v>NORMAL</v>
      </c>
      <c r="W447" t="str">
        <f t="shared" si="46"/>
        <v>Valid</v>
      </c>
      <c r="X447">
        <f t="shared" si="48"/>
        <v>6165.39</v>
      </c>
      <c r="Y447">
        <f t="shared" si="47"/>
        <v>4932.3119999999999</v>
      </c>
    </row>
    <row r="448" spans="1:25" x14ac:dyDescent="0.3">
      <c r="A448" t="s">
        <v>754</v>
      </c>
      <c r="B448" s="1">
        <v>45805</v>
      </c>
      <c r="C448" t="s">
        <v>411</v>
      </c>
      <c r="D448" t="s">
        <v>121</v>
      </c>
      <c r="E448" t="s">
        <v>122</v>
      </c>
      <c r="F448" t="s">
        <v>55</v>
      </c>
      <c r="G448" t="s">
        <v>81</v>
      </c>
      <c r="H448" t="s">
        <v>87</v>
      </c>
      <c r="I448">
        <v>2</v>
      </c>
      <c r="J448">
        <v>424.74</v>
      </c>
      <c r="K448">
        <v>0.08</v>
      </c>
      <c r="L448">
        <v>781.52</v>
      </c>
      <c r="M448" t="s">
        <v>48</v>
      </c>
      <c r="N448" t="s">
        <v>24</v>
      </c>
      <c r="O448" t="s">
        <v>65</v>
      </c>
      <c r="P448" t="s">
        <v>26</v>
      </c>
      <c r="Q448" t="str">
        <f t="shared" si="42"/>
        <v>Completed</v>
      </c>
      <c r="R448" t="str">
        <f t="shared" si="43"/>
        <v>Marketplace</v>
      </c>
      <c r="S448" t="str">
        <v>Debit Card</v>
      </c>
      <c r="T448" t="str">
        <v>Stationery</v>
      </c>
      <c r="U448" t="str">
        <f t="shared" si="44"/>
        <v>VALID</v>
      </c>
      <c r="V448" t="str">
        <f t="shared" si="45"/>
        <v>NORMAL</v>
      </c>
      <c r="W448" t="str">
        <f t="shared" si="46"/>
        <v>Valid</v>
      </c>
      <c r="X448">
        <f t="shared" si="48"/>
        <v>849.48</v>
      </c>
      <c r="Y448">
        <f t="shared" si="47"/>
        <v>781.52160000000003</v>
      </c>
    </row>
    <row r="449" spans="1:25" x14ac:dyDescent="0.3">
      <c r="A449" t="s">
        <v>755</v>
      </c>
      <c r="B449" s="1">
        <v>45883</v>
      </c>
      <c r="C449" t="s">
        <v>166</v>
      </c>
      <c r="D449" t="s">
        <v>131</v>
      </c>
      <c r="E449" t="s">
        <v>132</v>
      </c>
      <c r="F449" t="s">
        <v>40</v>
      </c>
      <c r="G449" t="s">
        <v>756</v>
      </c>
      <c r="H449" t="s">
        <v>75</v>
      </c>
      <c r="I449">
        <v>3</v>
      </c>
      <c r="J449">
        <v>10142.75</v>
      </c>
      <c r="K449">
        <v>0</v>
      </c>
      <c r="L449">
        <v>30428.25</v>
      </c>
      <c r="M449" t="s">
        <v>76</v>
      </c>
      <c r="N449" t="s">
        <v>49</v>
      </c>
      <c r="O449" t="s">
        <v>25</v>
      </c>
      <c r="P449" t="s">
        <v>50</v>
      </c>
      <c r="Q449" t="str">
        <f t="shared" si="42"/>
        <v>Returned</v>
      </c>
      <c r="R449" t="str">
        <f t="shared" si="43"/>
        <v>Store</v>
      </c>
      <c r="S449" t="str">
        <v>Net Banking</v>
      </c>
      <c r="T449" t="str">
        <v>Furniture</v>
      </c>
      <c r="U449" t="str">
        <f t="shared" si="44"/>
        <v>VALID</v>
      </c>
      <c r="V449" t="str">
        <f t="shared" si="45"/>
        <v>NORMAL</v>
      </c>
      <c r="W449" t="str">
        <f t="shared" si="46"/>
        <v>Valid</v>
      </c>
      <c r="X449">
        <f t="shared" si="48"/>
        <v>30428.25</v>
      </c>
      <c r="Y449">
        <f t="shared" si="47"/>
        <v>30428.25</v>
      </c>
    </row>
    <row r="450" spans="1:25" x14ac:dyDescent="0.3">
      <c r="A450" t="s">
        <v>757</v>
      </c>
      <c r="B450" s="1">
        <v>45763</v>
      </c>
      <c r="C450" t="s">
        <v>309</v>
      </c>
      <c r="D450" t="s">
        <v>85</v>
      </c>
      <c r="E450" t="s">
        <v>86</v>
      </c>
      <c r="F450" t="s">
        <v>20</v>
      </c>
      <c r="G450" t="s">
        <v>81</v>
      </c>
      <c r="H450" t="s">
        <v>135</v>
      </c>
      <c r="I450">
        <v>4</v>
      </c>
      <c r="J450">
        <v>1700.64</v>
      </c>
      <c r="K450">
        <v>0</v>
      </c>
      <c r="L450">
        <v>6802.56</v>
      </c>
      <c r="M450" t="s">
        <v>23</v>
      </c>
      <c r="N450" t="s">
        <v>58</v>
      </c>
      <c r="O450" t="s">
        <v>25</v>
      </c>
      <c r="P450" t="s">
        <v>102</v>
      </c>
      <c r="Q450" t="str">
        <f t="shared" si="42"/>
        <v>Returned</v>
      </c>
      <c r="R450" t="str">
        <f t="shared" si="43"/>
        <v>Online</v>
      </c>
      <c r="S450" t="str">
        <v>Credit Card</v>
      </c>
      <c r="T450" t="str">
        <v>Accessories</v>
      </c>
      <c r="U450" t="str">
        <f t="shared" si="44"/>
        <v>VALID</v>
      </c>
      <c r="V450" t="str">
        <f t="shared" si="45"/>
        <v>NORMAL</v>
      </c>
      <c r="W450" t="str">
        <f t="shared" si="46"/>
        <v>Valid</v>
      </c>
      <c r="X450">
        <f t="shared" si="48"/>
        <v>6802.56</v>
      </c>
      <c r="Y450">
        <f t="shared" si="47"/>
        <v>6802.56</v>
      </c>
    </row>
    <row r="451" spans="1:25" x14ac:dyDescent="0.3">
      <c r="A451" t="s">
        <v>758</v>
      </c>
      <c r="B451" s="1">
        <v>45323</v>
      </c>
      <c r="C451" t="s">
        <v>443</v>
      </c>
      <c r="D451" t="s">
        <v>131</v>
      </c>
      <c r="E451" t="s">
        <v>132</v>
      </c>
      <c r="F451" t="s">
        <v>40</v>
      </c>
      <c r="G451" t="s">
        <v>21</v>
      </c>
      <c r="H451" t="s">
        <v>22</v>
      </c>
      <c r="I451">
        <v>4</v>
      </c>
      <c r="J451">
        <v>8751.3700000000008</v>
      </c>
      <c r="K451">
        <v>0.2</v>
      </c>
      <c r="L451">
        <v>28004.38</v>
      </c>
      <c r="M451" t="s">
        <v>23</v>
      </c>
      <c r="N451" t="s">
        <v>49</v>
      </c>
      <c r="O451" t="s">
        <v>65</v>
      </c>
      <c r="P451" t="s">
        <v>72</v>
      </c>
      <c r="Q451" t="str">
        <f t="shared" ref="Q451:Q514" si="49">PROPER(O451)</f>
        <v>Completed</v>
      </c>
      <c r="R451" t="str">
        <f t="shared" ref="R451:R514" si="50">PROPER(M451)</f>
        <v>Online</v>
      </c>
      <c r="S451" t="str">
        <v>Net Banking</v>
      </c>
      <c r="T451" t="str">
        <v>Furniture</v>
      </c>
      <c r="U451" t="str">
        <f t="shared" ref="U451:U514" si="51">IF(I451&lt;=0,"INVALID","VALID")</f>
        <v>VALID</v>
      </c>
      <c r="V451" t="str">
        <f t="shared" ref="V451:V514" si="52">IF(I451&gt;100,"REVIEW","NORMAL")</f>
        <v>NORMAL</v>
      </c>
      <c r="W451" t="str">
        <f t="shared" ref="W451:W514" si="53">IF(OR(K451&lt;0,K451&gt;1),"Invalid","Valid")</f>
        <v>Valid</v>
      </c>
      <c r="X451">
        <f t="shared" si="48"/>
        <v>35005.480000000003</v>
      </c>
      <c r="Y451">
        <f t="shared" ref="Y451:Y514" si="54">I451*J451-(I451*J451*K451)</f>
        <v>28004.384000000002</v>
      </c>
    </row>
    <row r="452" spans="1:25" x14ac:dyDescent="0.3">
      <c r="A452" t="s">
        <v>759</v>
      </c>
      <c r="B452" s="1">
        <v>45446</v>
      </c>
      <c r="C452" t="s">
        <v>202</v>
      </c>
      <c r="D452" t="s">
        <v>85</v>
      </c>
      <c r="E452" t="s">
        <v>86</v>
      </c>
      <c r="F452" t="s">
        <v>20</v>
      </c>
      <c r="G452" t="s">
        <v>56</v>
      </c>
      <c r="H452" t="s">
        <v>123</v>
      </c>
      <c r="I452">
        <v>4</v>
      </c>
      <c r="J452">
        <v>1761.17</v>
      </c>
      <c r="K452">
        <v>0.05</v>
      </c>
      <c r="L452">
        <v>6692.45</v>
      </c>
      <c r="M452" t="s">
        <v>48</v>
      </c>
      <c r="N452" t="s">
        <v>24</v>
      </c>
      <c r="O452" t="s">
        <v>65</v>
      </c>
      <c r="P452" t="s">
        <v>116</v>
      </c>
      <c r="Q452" t="str">
        <f t="shared" si="49"/>
        <v>Completed</v>
      </c>
      <c r="R452" t="str">
        <f t="shared" si="50"/>
        <v>Marketplace</v>
      </c>
      <c r="S452" t="str">
        <v>Debit Card</v>
      </c>
      <c r="T452" t="str">
        <v>Accessories</v>
      </c>
      <c r="U452" t="str">
        <f t="shared" si="51"/>
        <v>VALID</v>
      </c>
      <c r="V452" t="str">
        <f t="shared" si="52"/>
        <v>NORMAL</v>
      </c>
      <c r="W452" t="str">
        <f t="shared" si="53"/>
        <v>Valid</v>
      </c>
      <c r="X452">
        <f t="shared" ref="X452:X515" si="55">I452*J452</f>
        <v>7044.68</v>
      </c>
      <c r="Y452">
        <f t="shared" si="54"/>
        <v>6692.4459999999999</v>
      </c>
    </row>
    <row r="453" spans="1:25" x14ac:dyDescent="0.3">
      <c r="A453" t="s">
        <v>760</v>
      </c>
      <c r="B453" s="1">
        <v>45481</v>
      </c>
      <c r="C453" t="s">
        <v>511</v>
      </c>
      <c r="D453" t="s">
        <v>62</v>
      </c>
      <c r="E453" t="s">
        <v>63</v>
      </c>
      <c r="F453" t="s">
        <v>31</v>
      </c>
      <c r="G453" t="s">
        <v>21</v>
      </c>
      <c r="H453" t="s">
        <v>93</v>
      </c>
      <c r="I453">
        <v>4</v>
      </c>
      <c r="J453">
        <v>2874.74</v>
      </c>
      <c r="K453">
        <v>0.2</v>
      </c>
      <c r="L453">
        <v>9199.17</v>
      </c>
      <c r="M453" t="s">
        <v>48</v>
      </c>
      <c r="N453" t="s">
        <v>58</v>
      </c>
      <c r="O453" t="s">
        <v>35</v>
      </c>
      <c r="P453" t="s">
        <v>72</v>
      </c>
      <c r="Q453" t="str">
        <f t="shared" si="49"/>
        <v>Cancelled</v>
      </c>
      <c r="R453" t="str">
        <f t="shared" si="50"/>
        <v>Marketplace</v>
      </c>
      <c r="S453" t="str">
        <v>Credit Card</v>
      </c>
      <c r="T453" t="str">
        <v>Electronics</v>
      </c>
      <c r="U453" t="str">
        <f t="shared" si="51"/>
        <v>VALID</v>
      </c>
      <c r="V453" t="str">
        <f t="shared" si="52"/>
        <v>NORMAL</v>
      </c>
      <c r="W453" t="str">
        <f t="shared" si="53"/>
        <v>Valid</v>
      </c>
      <c r="X453">
        <f t="shared" si="55"/>
        <v>11498.96</v>
      </c>
      <c r="Y453">
        <f t="shared" si="54"/>
        <v>9199.1679999999997</v>
      </c>
    </row>
    <row r="454" spans="1:25" x14ac:dyDescent="0.3">
      <c r="A454" t="s">
        <v>761</v>
      </c>
      <c r="B454" s="1">
        <v>46125</v>
      </c>
      <c r="C454" t="s">
        <v>499</v>
      </c>
      <c r="D454" t="s">
        <v>79</v>
      </c>
      <c r="E454" t="s">
        <v>80</v>
      </c>
      <c r="F454" t="s">
        <v>31</v>
      </c>
      <c r="G454" t="s">
        <v>21</v>
      </c>
      <c r="H454" t="s">
        <v>22</v>
      </c>
      <c r="I454">
        <v>1</v>
      </c>
      <c r="J454">
        <v>11944.96</v>
      </c>
      <c r="K454">
        <v>0.03</v>
      </c>
      <c r="L454">
        <v>11586.61</v>
      </c>
      <c r="M454" t="s">
        <v>48</v>
      </c>
      <c r="N454" t="s">
        <v>34</v>
      </c>
      <c r="O454" t="s">
        <v>65</v>
      </c>
      <c r="P454" t="s">
        <v>26</v>
      </c>
      <c r="Q454" t="str">
        <f t="shared" si="49"/>
        <v>Completed</v>
      </c>
      <c r="R454" t="str">
        <f t="shared" si="50"/>
        <v>Marketplace</v>
      </c>
      <c r="S454" t="str">
        <v>Cash On Delivery</v>
      </c>
      <c r="T454" t="str">
        <v>Electronics</v>
      </c>
      <c r="U454" t="str">
        <f t="shared" si="51"/>
        <v>VALID</v>
      </c>
      <c r="V454" t="str">
        <f t="shared" si="52"/>
        <v>NORMAL</v>
      </c>
      <c r="W454" t="str">
        <f t="shared" si="53"/>
        <v>Valid</v>
      </c>
      <c r="X454">
        <f t="shared" si="55"/>
        <v>11944.96</v>
      </c>
      <c r="Y454">
        <f t="shared" si="54"/>
        <v>11586.611199999999</v>
      </c>
    </row>
    <row r="455" spans="1:25" x14ac:dyDescent="0.3">
      <c r="A455" t="s">
        <v>762</v>
      </c>
      <c r="B455" s="1">
        <v>45550</v>
      </c>
      <c r="C455" t="s">
        <v>304</v>
      </c>
      <c r="D455" t="s">
        <v>18</v>
      </c>
      <c r="E455" t="s">
        <v>19</v>
      </c>
      <c r="F455" t="s">
        <v>20</v>
      </c>
      <c r="G455" t="s">
        <v>56</v>
      </c>
      <c r="H455" t="s">
        <v>57</v>
      </c>
      <c r="I455">
        <v>1</v>
      </c>
      <c r="J455">
        <v>890.58</v>
      </c>
      <c r="K455">
        <v>0.05</v>
      </c>
      <c r="L455">
        <v>846.05</v>
      </c>
      <c r="M455" t="s">
        <v>76</v>
      </c>
      <c r="N455" t="s">
        <v>34</v>
      </c>
      <c r="O455" t="s">
        <v>25</v>
      </c>
      <c r="P455" t="s">
        <v>50</v>
      </c>
      <c r="Q455" t="str">
        <f t="shared" si="49"/>
        <v>Returned</v>
      </c>
      <c r="R455" t="str">
        <f t="shared" si="50"/>
        <v>Store</v>
      </c>
      <c r="S455" t="str">
        <v>Cash On Delivery</v>
      </c>
      <c r="T455" t="str">
        <v>Accessories</v>
      </c>
      <c r="U455" t="str">
        <f t="shared" si="51"/>
        <v>VALID</v>
      </c>
      <c r="V455" t="str">
        <f t="shared" si="52"/>
        <v>NORMAL</v>
      </c>
      <c r="W455" t="str">
        <f t="shared" si="53"/>
        <v>Valid</v>
      </c>
      <c r="X455">
        <f t="shared" si="55"/>
        <v>890.58</v>
      </c>
      <c r="Y455">
        <f t="shared" si="54"/>
        <v>846.05100000000004</v>
      </c>
    </row>
    <row r="456" spans="1:25" x14ac:dyDescent="0.3">
      <c r="A456" t="s">
        <v>763</v>
      </c>
      <c r="B456" s="1">
        <v>45377</v>
      </c>
      <c r="C456" t="s">
        <v>377</v>
      </c>
      <c r="D456" t="s">
        <v>18</v>
      </c>
      <c r="E456" t="s">
        <v>19</v>
      </c>
      <c r="F456" t="s">
        <v>20</v>
      </c>
      <c r="G456" t="s">
        <v>81</v>
      </c>
      <c r="H456" t="s">
        <v>98</v>
      </c>
      <c r="I456">
        <v>1</v>
      </c>
      <c r="J456">
        <v>852.43</v>
      </c>
      <c r="K456">
        <v>0.08</v>
      </c>
      <c r="L456">
        <v>784.24</v>
      </c>
      <c r="M456" t="s">
        <v>76</v>
      </c>
      <c r="N456" t="s">
        <v>49</v>
      </c>
      <c r="O456" t="s">
        <v>65</v>
      </c>
      <c r="P456" t="s">
        <v>116</v>
      </c>
      <c r="Q456" t="str">
        <f t="shared" si="49"/>
        <v>Completed</v>
      </c>
      <c r="R456" t="str">
        <f t="shared" si="50"/>
        <v>Store</v>
      </c>
      <c r="S456" t="str">
        <v>Net Banking</v>
      </c>
      <c r="T456" t="str">
        <v>Accessories</v>
      </c>
      <c r="U456" t="str">
        <f t="shared" si="51"/>
        <v>VALID</v>
      </c>
      <c r="V456" t="str">
        <f t="shared" si="52"/>
        <v>NORMAL</v>
      </c>
      <c r="W456" t="str">
        <f t="shared" si="53"/>
        <v>Valid</v>
      </c>
      <c r="X456">
        <f t="shared" si="55"/>
        <v>852.43</v>
      </c>
      <c r="Y456">
        <f t="shared" si="54"/>
        <v>784.23559999999998</v>
      </c>
    </row>
    <row r="457" spans="1:25" x14ac:dyDescent="0.3">
      <c r="A457" t="s">
        <v>764</v>
      </c>
      <c r="B457" s="1">
        <v>45302</v>
      </c>
      <c r="C457" t="s">
        <v>375</v>
      </c>
      <c r="D457" t="s">
        <v>131</v>
      </c>
      <c r="E457" t="s">
        <v>132</v>
      </c>
      <c r="F457" t="s">
        <v>40</v>
      </c>
      <c r="G457" t="s">
        <v>81</v>
      </c>
      <c r="H457" t="s">
        <v>135</v>
      </c>
      <c r="I457">
        <v>4</v>
      </c>
      <c r="J457">
        <v>9951.84</v>
      </c>
      <c r="K457">
        <v>0.2</v>
      </c>
      <c r="L457">
        <v>31845.89</v>
      </c>
      <c r="M457" t="s">
        <v>48</v>
      </c>
      <c r="N457" t="s">
        <v>71</v>
      </c>
      <c r="O457" t="s">
        <v>35</v>
      </c>
      <c r="P457" t="s">
        <v>116</v>
      </c>
      <c r="Q457" t="str">
        <f t="shared" si="49"/>
        <v>Cancelled</v>
      </c>
      <c r="R457" t="str">
        <f t="shared" si="50"/>
        <v>Marketplace</v>
      </c>
      <c r="S457" t="str">
        <v>Upi</v>
      </c>
      <c r="T457" t="str">
        <v>Furniture</v>
      </c>
      <c r="U457" t="str">
        <f t="shared" si="51"/>
        <v>VALID</v>
      </c>
      <c r="V457" t="str">
        <f t="shared" si="52"/>
        <v>NORMAL</v>
      </c>
      <c r="W457" t="str">
        <f t="shared" si="53"/>
        <v>Valid</v>
      </c>
      <c r="X457">
        <f t="shared" si="55"/>
        <v>39807.360000000001</v>
      </c>
      <c r="Y457">
        <f t="shared" si="54"/>
        <v>31845.887999999999</v>
      </c>
    </row>
    <row r="458" spans="1:25" x14ac:dyDescent="0.3">
      <c r="A458" t="s">
        <v>765</v>
      </c>
      <c r="B458" s="1">
        <v>45395</v>
      </c>
      <c r="C458" t="s">
        <v>672</v>
      </c>
      <c r="D458" t="s">
        <v>79</v>
      </c>
      <c r="E458" t="s">
        <v>80</v>
      </c>
      <c r="F458" t="s">
        <v>31</v>
      </c>
      <c r="G458" t="s">
        <v>32</v>
      </c>
      <c r="H458" t="s">
        <v>68</v>
      </c>
      <c r="I458">
        <v>3</v>
      </c>
      <c r="J458">
        <v>12066.93</v>
      </c>
      <c r="K458">
        <v>0.05</v>
      </c>
      <c r="L458">
        <v>34390.75</v>
      </c>
      <c r="M458" t="s">
        <v>76</v>
      </c>
      <c r="N458" t="s">
        <v>34</v>
      </c>
      <c r="O458" t="s">
        <v>65</v>
      </c>
      <c r="P458" t="s">
        <v>42</v>
      </c>
      <c r="Q458" t="str">
        <f t="shared" si="49"/>
        <v>Completed</v>
      </c>
      <c r="R458" t="str">
        <f t="shared" si="50"/>
        <v>Store</v>
      </c>
      <c r="S458" t="str">
        <v>Cash On Delivery</v>
      </c>
      <c r="T458" t="str">
        <v>Electronics</v>
      </c>
      <c r="U458" t="str">
        <f t="shared" si="51"/>
        <v>VALID</v>
      </c>
      <c r="V458" t="str">
        <f t="shared" si="52"/>
        <v>NORMAL</v>
      </c>
      <c r="W458" t="str">
        <f t="shared" si="53"/>
        <v>Valid</v>
      </c>
      <c r="X458">
        <f t="shared" si="55"/>
        <v>36200.79</v>
      </c>
      <c r="Y458">
        <f t="shared" si="54"/>
        <v>34390.750500000002</v>
      </c>
    </row>
    <row r="459" spans="1:25" x14ac:dyDescent="0.3">
      <c r="A459" t="s">
        <v>766</v>
      </c>
      <c r="B459" s="1">
        <v>45719</v>
      </c>
      <c r="C459" t="s">
        <v>581</v>
      </c>
      <c r="D459" t="s">
        <v>45</v>
      </c>
      <c r="E459" t="s">
        <v>46</v>
      </c>
      <c r="F459" t="s">
        <v>31</v>
      </c>
      <c r="G459" t="s">
        <v>21</v>
      </c>
      <c r="H459" t="s">
        <v>126</v>
      </c>
      <c r="I459">
        <v>2</v>
      </c>
      <c r="J459">
        <v>1924.01</v>
      </c>
      <c r="K459">
        <v>0</v>
      </c>
      <c r="L459">
        <v>3848.02</v>
      </c>
      <c r="M459" t="s">
        <v>76</v>
      </c>
      <c r="N459" t="s">
        <v>34</v>
      </c>
      <c r="O459" t="s">
        <v>65</v>
      </c>
      <c r="P459" t="s">
        <v>26</v>
      </c>
      <c r="Q459" t="str">
        <f t="shared" si="49"/>
        <v>Completed</v>
      </c>
      <c r="R459" t="str">
        <f t="shared" si="50"/>
        <v>Store</v>
      </c>
      <c r="S459" t="str">
        <v>Cash On Delivery</v>
      </c>
      <c r="T459" t="str">
        <v>Electronics</v>
      </c>
      <c r="U459" t="str">
        <f t="shared" si="51"/>
        <v>VALID</v>
      </c>
      <c r="V459" t="str">
        <f t="shared" si="52"/>
        <v>NORMAL</v>
      </c>
      <c r="W459" t="str">
        <f t="shared" si="53"/>
        <v>Valid</v>
      </c>
      <c r="X459">
        <f t="shared" si="55"/>
        <v>3848.02</v>
      </c>
      <c r="Y459">
        <f t="shared" si="54"/>
        <v>3848.02</v>
      </c>
    </row>
    <row r="460" spans="1:25" x14ac:dyDescent="0.3">
      <c r="A460" t="s">
        <v>767</v>
      </c>
      <c r="B460" s="1">
        <v>45912</v>
      </c>
      <c r="C460" t="s">
        <v>443</v>
      </c>
      <c r="D460" t="s">
        <v>29</v>
      </c>
      <c r="E460" t="s">
        <v>30</v>
      </c>
      <c r="F460" t="s">
        <v>31</v>
      </c>
      <c r="G460" t="s">
        <v>81</v>
      </c>
      <c r="H460" t="s">
        <v>135</v>
      </c>
      <c r="I460">
        <v>4</v>
      </c>
      <c r="J460">
        <v>3258.17</v>
      </c>
      <c r="K460">
        <v>0.1</v>
      </c>
      <c r="L460">
        <v>11729.41</v>
      </c>
      <c r="M460" t="s">
        <v>23</v>
      </c>
      <c r="N460" t="s">
        <v>49</v>
      </c>
      <c r="O460" t="s">
        <v>65</v>
      </c>
      <c r="P460" t="s">
        <v>26</v>
      </c>
      <c r="Q460" t="str">
        <f t="shared" si="49"/>
        <v>Completed</v>
      </c>
      <c r="R460" t="str">
        <f t="shared" si="50"/>
        <v>Online</v>
      </c>
      <c r="S460" t="str">
        <v>Net Banking</v>
      </c>
      <c r="T460" t="str">
        <v>Electronics</v>
      </c>
      <c r="U460" t="str">
        <f t="shared" si="51"/>
        <v>VALID</v>
      </c>
      <c r="V460" t="str">
        <f t="shared" si="52"/>
        <v>NORMAL</v>
      </c>
      <c r="W460" t="str">
        <f t="shared" si="53"/>
        <v>Valid</v>
      </c>
      <c r="X460">
        <f t="shared" si="55"/>
        <v>13032.68</v>
      </c>
      <c r="Y460">
        <f t="shared" si="54"/>
        <v>11729.412</v>
      </c>
    </row>
    <row r="461" spans="1:25" x14ac:dyDescent="0.3">
      <c r="A461" t="s">
        <v>768</v>
      </c>
      <c r="B461" s="1">
        <v>45844</v>
      </c>
      <c r="C461" t="s">
        <v>212</v>
      </c>
      <c r="D461" t="s">
        <v>45</v>
      </c>
      <c r="E461" t="s">
        <v>46</v>
      </c>
      <c r="F461" t="s">
        <v>31</v>
      </c>
      <c r="G461" t="s">
        <v>81</v>
      </c>
      <c r="H461" t="s">
        <v>82</v>
      </c>
      <c r="I461">
        <v>4</v>
      </c>
      <c r="J461">
        <v>1673.48</v>
      </c>
      <c r="K461">
        <v>0.03</v>
      </c>
      <c r="L461">
        <v>6493.1</v>
      </c>
      <c r="M461" t="s">
        <v>48</v>
      </c>
      <c r="N461" t="s">
        <v>71</v>
      </c>
      <c r="O461" t="s">
        <v>65</v>
      </c>
      <c r="P461" t="s">
        <v>116</v>
      </c>
      <c r="Q461" t="str">
        <f t="shared" si="49"/>
        <v>Completed</v>
      </c>
      <c r="R461" t="str">
        <f t="shared" si="50"/>
        <v>Marketplace</v>
      </c>
      <c r="S461" t="str">
        <v>Upi</v>
      </c>
      <c r="T461" t="str">
        <v>Electronics</v>
      </c>
      <c r="U461" t="str">
        <f t="shared" si="51"/>
        <v>VALID</v>
      </c>
      <c r="V461" t="str">
        <f t="shared" si="52"/>
        <v>NORMAL</v>
      </c>
      <c r="W461" t="str">
        <f t="shared" si="53"/>
        <v>Valid</v>
      </c>
      <c r="X461">
        <f t="shared" si="55"/>
        <v>6693.92</v>
      </c>
      <c r="Y461">
        <f t="shared" si="54"/>
        <v>6493.1023999999998</v>
      </c>
    </row>
    <row r="462" spans="1:25" x14ac:dyDescent="0.3">
      <c r="A462" t="s">
        <v>769</v>
      </c>
      <c r="B462" s="1">
        <v>45843</v>
      </c>
      <c r="C462" t="s">
        <v>134</v>
      </c>
      <c r="D462" t="s">
        <v>18</v>
      </c>
      <c r="E462" t="s">
        <v>19</v>
      </c>
      <c r="F462" t="s">
        <v>20</v>
      </c>
      <c r="G462" t="s">
        <v>32</v>
      </c>
      <c r="H462" t="s">
        <v>47</v>
      </c>
      <c r="I462">
        <v>5</v>
      </c>
      <c r="J462">
        <v>856.66</v>
      </c>
      <c r="K462">
        <v>0</v>
      </c>
      <c r="L462">
        <v>4283.3</v>
      </c>
      <c r="M462" t="s">
        <v>76</v>
      </c>
      <c r="N462" t="s">
        <v>71</v>
      </c>
      <c r="O462" t="s">
        <v>65</v>
      </c>
      <c r="P462" t="s">
        <v>111</v>
      </c>
      <c r="Q462" t="str">
        <f t="shared" si="49"/>
        <v>Completed</v>
      </c>
      <c r="R462" t="str">
        <f t="shared" si="50"/>
        <v>Store</v>
      </c>
      <c r="S462" t="str">
        <v>Upi</v>
      </c>
      <c r="T462" t="str">
        <v>Accessories</v>
      </c>
      <c r="U462" t="str">
        <f t="shared" si="51"/>
        <v>VALID</v>
      </c>
      <c r="V462" t="str">
        <f t="shared" si="52"/>
        <v>NORMAL</v>
      </c>
      <c r="W462" t="str">
        <f t="shared" si="53"/>
        <v>Valid</v>
      </c>
      <c r="X462">
        <f t="shared" si="55"/>
        <v>4283.3</v>
      </c>
      <c r="Y462">
        <f t="shared" si="54"/>
        <v>4283.3</v>
      </c>
    </row>
    <row r="463" spans="1:25" x14ac:dyDescent="0.3">
      <c r="A463" t="s">
        <v>770</v>
      </c>
      <c r="B463" s="1">
        <v>45889</v>
      </c>
      <c r="C463" t="s">
        <v>542</v>
      </c>
      <c r="D463" t="s">
        <v>96</v>
      </c>
      <c r="E463" t="s">
        <v>97</v>
      </c>
      <c r="F463" t="s">
        <v>31</v>
      </c>
      <c r="G463" t="s">
        <v>81</v>
      </c>
      <c r="H463" t="s">
        <v>135</v>
      </c>
      <c r="I463">
        <v>5</v>
      </c>
      <c r="J463">
        <v>1122.83</v>
      </c>
      <c r="K463">
        <v>0.2</v>
      </c>
      <c r="L463">
        <v>4491.32</v>
      </c>
      <c r="M463" t="s">
        <v>76</v>
      </c>
      <c r="N463" t="s">
        <v>24</v>
      </c>
      <c r="O463" t="s">
        <v>65</v>
      </c>
      <c r="P463" t="s">
        <v>50</v>
      </c>
      <c r="Q463" t="str">
        <f t="shared" si="49"/>
        <v>Completed</v>
      </c>
      <c r="R463" t="str">
        <f t="shared" si="50"/>
        <v>Store</v>
      </c>
      <c r="S463" t="str">
        <v>Debit Card</v>
      </c>
      <c r="T463" t="str">
        <v>Electronics</v>
      </c>
      <c r="U463" t="str">
        <f t="shared" si="51"/>
        <v>VALID</v>
      </c>
      <c r="V463" t="str">
        <f t="shared" si="52"/>
        <v>NORMAL</v>
      </c>
      <c r="W463" t="str">
        <f t="shared" si="53"/>
        <v>Valid</v>
      </c>
      <c r="X463">
        <f t="shared" si="55"/>
        <v>5614.15</v>
      </c>
      <c r="Y463">
        <f t="shared" si="54"/>
        <v>4491.32</v>
      </c>
    </row>
    <row r="464" spans="1:25" x14ac:dyDescent="0.3">
      <c r="A464" t="s">
        <v>771</v>
      </c>
      <c r="B464" s="1">
        <v>45548</v>
      </c>
      <c r="C464" t="s">
        <v>196</v>
      </c>
      <c r="D464" t="s">
        <v>18</v>
      </c>
      <c r="E464" t="s">
        <v>19</v>
      </c>
      <c r="F464" t="s">
        <v>20</v>
      </c>
      <c r="G464" t="s">
        <v>81</v>
      </c>
      <c r="H464" t="s">
        <v>82</v>
      </c>
      <c r="I464">
        <v>1</v>
      </c>
      <c r="J464">
        <v>862.24</v>
      </c>
      <c r="K464">
        <v>0.05</v>
      </c>
      <c r="L464">
        <v>819.13</v>
      </c>
      <c r="M464" t="s">
        <v>23</v>
      </c>
      <c r="N464" t="s">
        <v>58</v>
      </c>
      <c r="O464" t="s">
        <v>65</v>
      </c>
      <c r="P464" t="s">
        <v>111</v>
      </c>
      <c r="Q464" t="str">
        <f t="shared" si="49"/>
        <v>Completed</v>
      </c>
      <c r="R464" t="str">
        <f t="shared" si="50"/>
        <v>Online</v>
      </c>
      <c r="S464" t="str">
        <v>Credit Card</v>
      </c>
      <c r="T464" t="str">
        <v>Accessories</v>
      </c>
      <c r="U464" t="str">
        <f t="shared" si="51"/>
        <v>VALID</v>
      </c>
      <c r="V464" t="str">
        <f t="shared" si="52"/>
        <v>NORMAL</v>
      </c>
      <c r="W464" t="str">
        <f t="shared" si="53"/>
        <v>Valid</v>
      </c>
      <c r="X464">
        <f t="shared" si="55"/>
        <v>862.24</v>
      </c>
      <c r="Y464">
        <f t="shared" si="54"/>
        <v>819.12800000000004</v>
      </c>
    </row>
    <row r="465" spans="1:25" x14ac:dyDescent="0.3">
      <c r="A465" t="s">
        <v>772</v>
      </c>
      <c r="B465" s="1">
        <v>45976</v>
      </c>
      <c r="C465" t="s">
        <v>108</v>
      </c>
      <c r="D465" t="s">
        <v>79</v>
      </c>
      <c r="E465" t="s">
        <v>80</v>
      </c>
      <c r="F465" t="s">
        <v>31</v>
      </c>
      <c r="G465" t="s">
        <v>56</v>
      </c>
      <c r="H465" t="s">
        <v>101</v>
      </c>
      <c r="I465">
        <v>2</v>
      </c>
      <c r="J465">
        <v>13024.15</v>
      </c>
      <c r="K465">
        <v>0.2</v>
      </c>
      <c r="L465">
        <v>20838.64</v>
      </c>
      <c r="M465" t="s">
        <v>76</v>
      </c>
      <c r="N465" t="s">
        <v>58</v>
      </c>
      <c r="O465" t="s">
        <v>25</v>
      </c>
      <c r="P465" t="s">
        <v>26</v>
      </c>
      <c r="Q465" t="str">
        <f t="shared" si="49"/>
        <v>Returned</v>
      </c>
      <c r="R465" t="str">
        <f t="shared" si="50"/>
        <v>Store</v>
      </c>
      <c r="S465" t="str">
        <v>Credit Card</v>
      </c>
      <c r="T465" t="str">
        <v>Electronics</v>
      </c>
      <c r="U465" t="str">
        <f t="shared" si="51"/>
        <v>VALID</v>
      </c>
      <c r="V465" t="str">
        <f t="shared" si="52"/>
        <v>NORMAL</v>
      </c>
      <c r="W465" t="str">
        <f t="shared" si="53"/>
        <v>Valid</v>
      </c>
      <c r="X465">
        <f t="shared" si="55"/>
        <v>26048.3</v>
      </c>
      <c r="Y465">
        <f t="shared" si="54"/>
        <v>20838.64</v>
      </c>
    </row>
    <row r="466" spans="1:25" x14ac:dyDescent="0.3">
      <c r="A466" t="s">
        <v>773</v>
      </c>
      <c r="B466" s="1">
        <v>45993</v>
      </c>
      <c r="C466" t="s">
        <v>397</v>
      </c>
      <c r="D466" t="s">
        <v>89</v>
      </c>
      <c r="E466" t="s">
        <v>90</v>
      </c>
      <c r="F466" t="s">
        <v>20</v>
      </c>
      <c r="G466" t="s">
        <v>81</v>
      </c>
      <c r="H466" t="s">
        <v>87</v>
      </c>
      <c r="I466">
        <v>1</v>
      </c>
      <c r="J466">
        <v>670.28</v>
      </c>
      <c r="K466">
        <v>0.1</v>
      </c>
      <c r="L466">
        <v>603.25</v>
      </c>
      <c r="M466" t="s">
        <v>76</v>
      </c>
      <c r="N466" t="s">
        <v>58</v>
      </c>
      <c r="O466" t="s">
        <v>35</v>
      </c>
      <c r="P466" t="s">
        <v>116</v>
      </c>
      <c r="Q466" t="str">
        <f t="shared" si="49"/>
        <v>Cancelled</v>
      </c>
      <c r="R466" t="str">
        <f t="shared" si="50"/>
        <v>Store</v>
      </c>
      <c r="S466" t="str">
        <v>Credit Card</v>
      </c>
      <c r="T466" t="str">
        <v>Accessories</v>
      </c>
      <c r="U466" t="str">
        <f t="shared" si="51"/>
        <v>VALID</v>
      </c>
      <c r="V466" t="str">
        <f t="shared" si="52"/>
        <v>NORMAL</v>
      </c>
      <c r="W466" t="str">
        <f t="shared" si="53"/>
        <v>Valid</v>
      </c>
      <c r="X466">
        <f t="shared" si="55"/>
        <v>670.28</v>
      </c>
      <c r="Y466">
        <f t="shared" si="54"/>
        <v>603.25199999999995</v>
      </c>
    </row>
    <row r="467" spans="1:25" x14ac:dyDescent="0.3">
      <c r="A467" t="s">
        <v>774</v>
      </c>
      <c r="B467" s="1">
        <v>45724</v>
      </c>
      <c r="C467" t="s">
        <v>389</v>
      </c>
      <c r="D467" t="s">
        <v>96</v>
      </c>
      <c r="E467" t="s">
        <v>97</v>
      </c>
      <c r="F467" t="s">
        <v>31</v>
      </c>
      <c r="G467" t="s">
        <v>21</v>
      </c>
      <c r="H467" t="s">
        <v>93</v>
      </c>
      <c r="I467">
        <v>1</v>
      </c>
      <c r="J467">
        <v>1131.1300000000001</v>
      </c>
      <c r="K467">
        <v>0.05</v>
      </c>
      <c r="L467">
        <v>1074.57</v>
      </c>
      <c r="M467" t="s">
        <v>48</v>
      </c>
      <c r="N467" t="s">
        <v>34</v>
      </c>
      <c r="O467" t="s">
        <v>65</v>
      </c>
      <c r="P467" t="s">
        <v>116</v>
      </c>
      <c r="Q467" t="str">
        <f t="shared" si="49"/>
        <v>Completed</v>
      </c>
      <c r="R467" t="str">
        <f t="shared" si="50"/>
        <v>Marketplace</v>
      </c>
      <c r="S467" t="str">
        <v>Cash On Delivery</v>
      </c>
      <c r="T467" t="str">
        <v>Electronics</v>
      </c>
      <c r="U467" t="str">
        <f t="shared" si="51"/>
        <v>VALID</v>
      </c>
      <c r="V467" t="str">
        <f t="shared" si="52"/>
        <v>NORMAL</v>
      </c>
      <c r="W467" t="str">
        <f t="shared" si="53"/>
        <v>Valid</v>
      </c>
      <c r="X467">
        <f t="shared" si="55"/>
        <v>1131.1300000000001</v>
      </c>
      <c r="Y467">
        <f t="shared" si="54"/>
        <v>1074.5735000000002</v>
      </c>
    </row>
    <row r="468" spans="1:25" x14ac:dyDescent="0.3">
      <c r="A468" t="s">
        <v>775</v>
      </c>
      <c r="B468" s="1">
        <v>45876</v>
      </c>
      <c r="C468" t="s">
        <v>776</v>
      </c>
      <c r="D468" t="s">
        <v>105</v>
      </c>
      <c r="E468" t="s">
        <v>106</v>
      </c>
      <c r="F468" t="s">
        <v>40</v>
      </c>
      <c r="G468" t="s">
        <v>56</v>
      </c>
      <c r="H468" t="s">
        <v>123</v>
      </c>
      <c r="I468">
        <v>4</v>
      </c>
      <c r="J468">
        <v>6916.48</v>
      </c>
      <c r="K468">
        <v>0.05</v>
      </c>
      <c r="L468">
        <v>26282.62</v>
      </c>
      <c r="M468" t="s">
        <v>23</v>
      </c>
      <c r="N468" t="s">
        <v>71</v>
      </c>
      <c r="O468" t="s">
        <v>25</v>
      </c>
      <c r="P468" t="s">
        <v>50</v>
      </c>
      <c r="Q468" t="str">
        <f t="shared" si="49"/>
        <v>Returned</v>
      </c>
      <c r="R468" t="str">
        <f t="shared" si="50"/>
        <v>Online</v>
      </c>
      <c r="S468" t="str">
        <v>Upi</v>
      </c>
      <c r="T468" t="str">
        <v>Furniture</v>
      </c>
      <c r="U468" t="str">
        <f t="shared" si="51"/>
        <v>VALID</v>
      </c>
      <c r="V468" t="str">
        <f t="shared" si="52"/>
        <v>NORMAL</v>
      </c>
      <c r="W468" t="str">
        <f t="shared" si="53"/>
        <v>Valid</v>
      </c>
      <c r="X468">
        <f t="shared" si="55"/>
        <v>27665.919999999998</v>
      </c>
      <c r="Y468">
        <f t="shared" si="54"/>
        <v>26282.624</v>
      </c>
    </row>
    <row r="469" spans="1:25" x14ac:dyDescent="0.3">
      <c r="A469" t="s">
        <v>777</v>
      </c>
      <c r="B469" s="1">
        <v>45935</v>
      </c>
      <c r="C469" t="s">
        <v>535</v>
      </c>
      <c r="D469" t="s">
        <v>29</v>
      </c>
      <c r="E469" t="s">
        <v>30</v>
      </c>
      <c r="F469" t="s">
        <v>31</v>
      </c>
      <c r="G469" t="s">
        <v>21</v>
      </c>
      <c r="H469" t="s">
        <v>126</v>
      </c>
      <c r="I469">
        <v>5</v>
      </c>
      <c r="J469">
        <v>3038.37</v>
      </c>
      <c r="K469">
        <v>0</v>
      </c>
      <c r="L469">
        <v>15191.85</v>
      </c>
      <c r="M469" t="s">
        <v>48</v>
      </c>
      <c r="N469" t="s">
        <v>58</v>
      </c>
      <c r="O469" t="s">
        <v>65</v>
      </c>
      <c r="P469" t="s">
        <v>102</v>
      </c>
      <c r="Q469" t="str">
        <f t="shared" si="49"/>
        <v>Completed</v>
      </c>
      <c r="R469" t="str">
        <f t="shared" si="50"/>
        <v>Marketplace</v>
      </c>
      <c r="S469" t="str">
        <v>Credit Card</v>
      </c>
      <c r="T469" t="str">
        <v>Electronics</v>
      </c>
      <c r="U469" t="str">
        <f t="shared" si="51"/>
        <v>VALID</v>
      </c>
      <c r="V469" t="str">
        <f t="shared" si="52"/>
        <v>NORMAL</v>
      </c>
      <c r="W469" t="str">
        <f t="shared" si="53"/>
        <v>Valid</v>
      </c>
      <c r="X469">
        <f t="shared" si="55"/>
        <v>15191.849999999999</v>
      </c>
      <c r="Y469">
        <f t="shared" si="54"/>
        <v>15191.849999999999</v>
      </c>
    </row>
    <row r="470" spans="1:25" x14ac:dyDescent="0.3">
      <c r="A470" t="s">
        <v>778</v>
      </c>
      <c r="B470" s="1">
        <v>45905</v>
      </c>
      <c r="C470" t="s">
        <v>153</v>
      </c>
      <c r="D470" t="s">
        <v>18</v>
      </c>
      <c r="E470" t="s">
        <v>19</v>
      </c>
      <c r="F470" t="s">
        <v>20</v>
      </c>
      <c r="G470" t="s">
        <v>56</v>
      </c>
      <c r="H470" t="s">
        <v>64</v>
      </c>
      <c r="I470">
        <v>3</v>
      </c>
      <c r="J470">
        <v>914.65</v>
      </c>
      <c r="K470">
        <v>0.05</v>
      </c>
      <c r="L470">
        <v>2606.75</v>
      </c>
      <c r="M470" t="s">
        <v>76</v>
      </c>
      <c r="N470" t="s">
        <v>58</v>
      </c>
      <c r="O470" t="s">
        <v>65</v>
      </c>
      <c r="P470" t="s">
        <v>26</v>
      </c>
      <c r="Q470" t="str">
        <f t="shared" si="49"/>
        <v>Completed</v>
      </c>
      <c r="R470" t="str">
        <f t="shared" si="50"/>
        <v>Store</v>
      </c>
      <c r="S470" t="str">
        <v>Credit Card</v>
      </c>
      <c r="T470" t="str">
        <v>Accessories</v>
      </c>
      <c r="U470" t="str">
        <f t="shared" si="51"/>
        <v>VALID</v>
      </c>
      <c r="V470" t="str">
        <f t="shared" si="52"/>
        <v>NORMAL</v>
      </c>
      <c r="W470" t="str">
        <f t="shared" si="53"/>
        <v>Valid</v>
      </c>
      <c r="X470">
        <f t="shared" si="55"/>
        <v>2743.95</v>
      </c>
      <c r="Y470">
        <f t="shared" si="54"/>
        <v>2606.7524999999996</v>
      </c>
    </row>
    <row r="471" spans="1:25" x14ac:dyDescent="0.3">
      <c r="A471" t="s">
        <v>779</v>
      </c>
      <c r="B471" s="1">
        <v>46129</v>
      </c>
      <c r="C471" t="s">
        <v>406</v>
      </c>
      <c r="D471" t="s">
        <v>18</v>
      </c>
      <c r="E471" t="s">
        <v>19</v>
      </c>
      <c r="F471" t="s">
        <v>20</v>
      </c>
      <c r="G471" t="s">
        <v>81</v>
      </c>
      <c r="H471" t="s">
        <v>82</v>
      </c>
      <c r="I471">
        <v>2</v>
      </c>
      <c r="J471">
        <v>795.27</v>
      </c>
      <c r="K471">
        <v>0.2</v>
      </c>
      <c r="L471">
        <v>1272.43</v>
      </c>
      <c r="M471" t="s">
        <v>23</v>
      </c>
      <c r="N471" t="s">
        <v>49</v>
      </c>
      <c r="O471" t="s">
        <v>65</v>
      </c>
      <c r="P471" t="s">
        <v>116</v>
      </c>
      <c r="Q471" t="str">
        <f t="shared" si="49"/>
        <v>Completed</v>
      </c>
      <c r="R471" t="str">
        <f t="shared" si="50"/>
        <v>Online</v>
      </c>
      <c r="S471" t="str">
        <v>Net Banking</v>
      </c>
      <c r="T471" t="str">
        <v>Accessories</v>
      </c>
      <c r="U471" t="str">
        <f t="shared" si="51"/>
        <v>VALID</v>
      </c>
      <c r="V471" t="str">
        <f t="shared" si="52"/>
        <v>NORMAL</v>
      </c>
      <c r="W471" t="str">
        <f t="shared" si="53"/>
        <v>Valid</v>
      </c>
      <c r="X471">
        <f t="shared" si="55"/>
        <v>1590.54</v>
      </c>
      <c r="Y471">
        <f t="shared" si="54"/>
        <v>1272.432</v>
      </c>
    </row>
    <row r="472" spans="1:25" x14ac:dyDescent="0.3">
      <c r="A472" t="s">
        <v>780</v>
      </c>
      <c r="B472" s="1">
        <v>46080</v>
      </c>
      <c r="C472" t="s">
        <v>238</v>
      </c>
      <c r="D472" t="s">
        <v>53</v>
      </c>
      <c r="E472" t="s">
        <v>54</v>
      </c>
      <c r="F472" t="s">
        <v>55</v>
      </c>
      <c r="G472" t="s">
        <v>56</v>
      </c>
      <c r="H472" t="s">
        <v>101</v>
      </c>
      <c r="I472">
        <v>4</v>
      </c>
      <c r="J472">
        <v>209.99</v>
      </c>
      <c r="K472">
        <v>0.03</v>
      </c>
      <c r="L472">
        <v>814.76</v>
      </c>
      <c r="M472" t="s">
        <v>23</v>
      </c>
      <c r="N472" t="s">
        <v>58</v>
      </c>
      <c r="O472" t="s">
        <v>65</v>
      </c>
      <c r="P472" t="s">
        <v>111</v>
      </c>
      <c r="Q472" t="str">
        <f t="shared" si="49"/>
        <v>Completed</v>
      </c>
      <c r="R472" t="str">
        <f t="shared" si="50"/>
        <v>Online</v>
      </c>
      <c r="S472" t="str">
        <v>Credit Card</v>
      </c>
      <c r="T472" t="str">
        <v>Stationery</v>
      </c>
      <c r="U472" t="str">
        <f t="shared" si="51"/>
        <v>VALID</v>
      </c>
      <c r="V472" t="str">
        <f t="shared" si="52"/>
        <v>NORMAL</v>
      </c>
      <c r="W472" t="str">
        <f t="shared" si="53"/>
        <v>Valid</v>
      </c>
      <c r="X472">
        <f t="shared" si="55"/>
        <v>839.96</v>
      </c>
      <c r="Y472">
        <f t="shared" si="54"/>
        <v>814.76120000000003</v>
      </c>
    </row>
    <row r="473" spans="1:25" x14ac:dyDescent="0.3">
      <c r="A473" t="s">
        <v>781</v>
      </c>
      <c r="B473" s="1">
        <v>45695</v>
      </c>
      <c r="C473" t="s">
        <v>715</v>
      </c>
      <c r="D473" t="s">
        <v>45</v>
      </c>
      <c r="E473" t="s">
        <v>46</v>
      </c>
      <c r="F473" t="s">
        <v>31</v>
      </c>
      <c r="G473" t="s">
        <v>81</v>
      </c>
      <c r="H473" t="s">
        <v>87</v>
      </c>
      <c r="I473">
        <v>1</v>
      </c>
      <c r="J473">
        <v>1763.69</v>
      </c>
      <c r="K473">
        <v>0.2</v>
      </c>
      <c r="L473">
        <v>1410.95</v>
      </c>
      <c r="M473" t="s">
        <v>48</v>
      </c>
      <c r="N473" t="s">
        <v>24</v>
      </c>
      <c r="O473" t="s">
        <v>65</v>
      </c>
      <c r="P473" t="s">
        <v>50</v>
      </c>
      <c r="Q473" t="str">
        <f t="shared" si="49"/>
        <v>Completed</v>
      </c>
      <c r="R473" t="str">
        <f t="shared" si="50"/>
        <v>Marketplace</v>
      </c>
      <c r="S473" t="str">
        <v>Debit Card</v>
      </c>
      <c r="T473" t="str">
        <v>Electronics</v>
      </c>
      <c r="U473" t="str">
        <f t="shared" si="51"/>
        <v>VALID</v>
      </c>
      <c r="V473" t="str">
        <f t="shared" si="52"/>
        <v>NORMAL</v>
      </c>
      <c r="W473" t="str">
        <f t="shared" si="53"/>
        <v>Valid</v>
      </c>
      <c r="X473">
        <f t="shared" si="55"/>
        <v>1763.69</v>
      </c>
      <c r="Y473">
        <f t="shared" si="54"/>
        <v>1410.952</v>
      </c>
    </row>
    <row r="474" spans="1:25" x14ac:dyDescent="0.3">
      <c r="A474" t="s">
        <v>782</v>
      </c>
      <c r="B474" s="1">
        <v>45422</v>
      </c>
      <c r="C474" t="s">
        <v>531</v>
      </c>
      <c r="D474" t="s">
        <v>29</v>
      </c>
      <c r="E474" t="s">
        <v>30</v>
      </c>
      <c r="F474" t="s">
        <v>31</v>
      </c>
      <c r="G474" t="s">
        <v>81</v>
      </c>
      <c r="H474" t="s">
        <v>98</v>
      </c>
      <c r="I474">
        <v>3</v>
      </c>
      <c r="J474">
        <v>3437.58</v>
      </c>
      <c r="K474">
        <v>0.05</v>
      </c>
      <c r="L474">
        <v>9797.1</v>
      </c>
      <c r="M474" t="s">
        <v>48</v>
      </c>
      <c r="O474" t="s">
        <v>35</v>
      </c>
      <c r="P474" t="s">
        <v>72</v>
      </c>
      <c r="Q474" t="str">
        <f t="shared" si="49"/>
        <v>Cancelled</v>
      </c>
      <c r="R474" t="str">
        <f t="shared" si="50"/>
        <v>Marketplace</v>
      </c>
      <c r="S474" t="str">
        <v/>
      </c>
      <c r="T474" t="str">
        <v>Electronics</v>
      </c>
      <c r="U474" t="str">
        <f t="shared" si="51"/>
        <v>VALID</v>
      </c>
      <c r="V474" t="str">
        <f t="shared" si="52"/>
        <v>NORMAL</v>
      </c>
      <c r="W474" t="str">
        <f t="shared" si="53"/>
        <v>Valid</v>
      </c>
      <c r="X474">
        <f t="shared" si="55"/>
        <v>10312.74</v>
      </c>
      <c r="Y474">
        <f t="shared" si="54"/>
        <v>9797.1029999999992</v>
      </c>
    </row>
    <row r="475" spans="1:25" x14ac:dyDescent="0.3">
      <c r="A475" t="s">
        <v>783</v>
      </c>
      <c r="B475" s="1">
        <v>46084</v>
      </c>
      <c r="C475" t="s">
        <v>544</v>
      </c>
      <c r="D475" t="s">
        <v>170</v>
      </c>
      <c r="E475" t="s">
        <v>171</v>
      </c>
      <c r="F475" t="s">
        <v>31</v>
      </c>
      <c r="G475" t="s">
        <v>32</v>
      </c>
      <c r="H475" t="s">
        <v>75</v>
      </c>
      <c r="I475">
        <v>4</v>
      </c>
      <c r="J475">
        <v>66153.97</v>
      </c>
      <c r="K475">
        <v>0.05</v>
      </c>
      <c r="L475">
        <v>251385.09</v>
      </c>
      <c r="M475" t="s">
        <v>48</v>
      </c>
      <c r="N475" t="s">
        <v>58</v>
      </c>
      <c r="O475" t="s">
        <v>65</v>
      </c>
      <c r="P475" t="s">
        <v>50</v>
      </c>
      <c r="Q475" t="str">
        <f t="shared" si="49"/>
        <v>Completed</v>
      </c>
      <c r="R475" t="str">
        <f t="shared" si="50"/>
        <v>Marketplace</v>
      </c>
      <c r="S475" t="str">
        <v>Credit Card</v>
      </c>
      <c r="T475" t="str">
        <v>Electronics</v>
      </c>
      <c r="U475" t="str">
        <f t="shared" si="51"/>
        <v>VALID</v>
      </c>
      <c r="V475" t="str">
        <f t="shared" si="52"/>
        <v>NORMAL</v>
      </c>
      <c r="W475" t="str">
        <f t="shared" si="53"/>
        <v>Valid</v>
      </c>
      <c r="X475">
        <f t="shared" si="55"/>
        <v>264615.88</v>
      </c>
      <c r="Y475">
        <f t="shared" si="54"/>
        <v>251385.08600000001</v>
      </c>
    </row>
    <row r="476" spans="1:25" x14ac:dyDescent="0.3">
      <c r="A476" t="s">
        <v>784</v>
      </c>
      <c r="B476" s="1">
        <v>45497</v>
      </c>
      <c r="C476" t="s">
        <v>483</v>
      </c>
      <c r="D476" t="s">
        <v>96</v>
      </c>
      <c r="E476" t="s">
        <v>97</v>
      </c>
      <c r="F476" t="s">
        <v>31</v>
      </c>
      <c r="G476" t="s">
        <v>81</v>
      </c>
      <c r="H476" t="s">
        <v>82</v>
      </c>
      <c r="I476">
        <v>4</v>
      </c>
      <c r="J476">
        <v>1250.0999999999999</v>
      </c>
      <c r="K476">
        <v>0.05</v>
      </c>
      <c r="L476">
        <v>4750.38</v>
      </c>
      <c r="M476" t="s">
        <v>23</v>
      </c>
      <c r="N476" t="s">
        <v>34</v>
      </c>
      <c r="O476" t="s">
        <v>65</v>
      </c>
      <c r="P476" t="s">
        <v>59</v>
      </c>
      <c r="Q476" t="str">
        <f t="shared" si="49"/>
        <v>Completed</v>
      </c>
      <c r="R476" t="str">
        <f t="shared" si="50"/>
        <v>Online</v>
      </c>
      <c r="S476" t="str">
        <v>Cash On Delivery</v>
      </c>
      <c r="T476" t="str">
        <v>Electronics</v>
      </c>
      <c r="U476" t="str">
        <f t="shared" si="51"/>
        <v>VALID</v>
      </c>
      <c r="V476" t="str">
        <f t="shared" si="52"/>
        <v>NORMAL</v>
      </c>
      <c r="W476" t="str">
        <f t="shared" si="53"/>
        <v>Valid</v>
      </c>
      <c r="X476">
        <f t="shared" si="55"/>
        <v>5000.3999999999996</v>
      </c>
      <c r="Y476">
        <f t="shared" si="54"/>
        <v>4750.3799999999992</v>
      </c>
    </row>
    <row r="477" spans="1:25" x14ac:dyDescent="0.3">
      <c r="A477" t="s">
        <v>785</v>
      </c>
      <c r="B477" s="1">
        <v>45705</v>
      </c>
      <c r="C477" t="s">
        <v>416</v>
      </c>
      <c r="D477" t="s">
        <v>18</v>
      </c>
      <c r="E477" t="s">
        <v>19</v>
      </c>
      <c r="F477" t="s">
        <v>20</v>
      </c>
      <c r="G477" t="s">
        <v>21</v>
      </c>
      <c r="H477" t="s">
        <v>41</v>
      </c>
      <c r="I477">
        <v>4</v>
      </c>
      <c r="J477">
        <v>900.98</v>
      </c>
      <c r="K477">
        <v>0.2</v>
      </c>
      <c r="L477">
        <v>2883.14</v>
      </c>
      <c r="M477" t="s">
        <v>23</v>
      </c>
      <c r="N477" t="s">
        <v>34</v>
      </c>
      <c r="O477" t="s">
        <v>65</v>
      </c>
      <c r="P477" t="s">
        <v>102</v>
      </c>
      <c r="Q477" t="str">
        <f t="shared" si="49"/>
        <v>Completed</v>
      </c>
      <c r="R477" t="str">
        <f t="shared" si="50"/>
        <v>Online</v>
      </c>
      <c r="S477" t="str">
        <v>Cash On Delivery</v>
      </c>
      <c r="T477" t="str">
        <v>Accessories</v>
      </c>
      <c r="U477" t="str">
        <f t="shared" si="51"/>
        <v>VALID</v>
      </c>
      <c r="V477" t="str">
        <f t="shared" si="52"/>
        <v>NORMAL</v>
      </c>
      <c r="W477" t="str">
        <f t="shared" si="53"/>
        <v>Valid</v>
      </c>
      <c r="X477">
        <f t="shared" si="55"/>
        <v>3603.92</v>
      </c>
      <c r="Y477">
        <f t="shared" si="54"/>
        <v>2883.136</v>
      </c>
    </row>
    <row r="478" spans="1:25" x14ac:dyDescent="0.3">
      <c r="A478" t="s">
        <v>786</v>
      </c>
      <c r="B478" s="1">
        <v>45409</v>
      </c>
      <c r="C478" t="s">
        <v>787</v>
      </c>
      <c r="D478" t="s">
        <v>121</v>
      </c>
      <c r="E478" t="s">
        <v>122</v>
      </c>
      <c r="F478" t="s">
        <v>55</v>
      </c>
      <c r="G478" t="s">
        <v>32</v>
      </c>
      <c r="H478" t="s">
        <v>75</v>
      </c>
      <c r="I478">
        <v>1</v>
      </c>
      <c r="J478">
        <v>442.1</v>
      </c>
      <c r="K478">
        <v>0.03</v>
      </c>
      <c r="L478">
        <v>428.84</v>
      </c>
      <c r="M478" t="s">
        <v>23</v>
      </c>
      <c r="N478" t="s">
        <v>71</v>
      </c>
      <c r="O478" t="s">
        <v>65</v>
      </c>
      <c r="P478" t="s">
        <v>102</v>
      </c>
      <c r="Q478" t="str">
        <f t="shared" si="49"/>
        <v>Completed</v>
      </c>
      <c r="R478" t="str">
        <f t="shared" si="50"/>
        <v>Online</v>
      </c>
      <c r="S478" t="str">
        <v>Upi</v>
      </c>
      <c r="T478" t="str">
        <v>Stationery</v>
      </c>
      <c r="U478" t="str">
        <f t="shared" si="51"/>
        <v>VALID</v>
      </c>
      <c r="V478" t="str">
        <f t="shared" si="52"/>
        <v>NORMAL</v>
      </c>
      <c r="W478" t="str">
        <f t="shared" si="53"/>
        <v>Valid</v>
      </c>
      <c r="X478">
        <f t="shared" si="55"/>
        <v>442.1</v>
      </c>
      <c r="Y478">
        <f t="shared" si="54"/>
        <v>428.83700000000005</v>
      </c>
    </row>
    <row r="479" spans="1:25" x14ac:dyDescent="0.3">
      <c r="A479" t="s">
        <v>788</v>
      </c>
      <c r="B479" s="1">
        <v>46161</v>
      </c>
      <c r="C479" t="s">
        <v>409</v>
      </c>
      <c r="D479" t="s">
        <v>79</v>
      </c>
      <c r="E479" t="s">
        <v>80</v>
      </c>
      <c r="F479" t="s">
        <v>31</v>
      </c>
      <c r="G479" t="s">
        <v>81</v>
      </c>
      <c r="H479" t="s">
        <v>82</v>
      </c>
      <c r="I479">
        <v>1</v>
      </c>
      <c r="J479">
        <v>13021.68</v>
      </c>
      <c r="K479">
        <v>0.2</v>
      </c>
      <c r="L479">
        <v>10417.34</v>
      </c>
      <c r="M479" t="s">
        <v>23</v>
      </c>
      <c r="N479" t="s">
        <v>49</v>
      </c>
      <c r="O479" t="s">
        <v>65</v>
      </c>
      <c r="P479" t="s">
        <v>42</v>
      </c>
      <c r="Q479" t="str">
        <f t="shared" si="49"/>
        <v>Completed</v>
      </c>
      <c r="R479" t="str">
        <f t="shared" si="50"/>
        <v>Online</v>
      </c>
      <c r="S479" t="str">
        <v>Net Banking</v>
      </c>
      <c r="T479" t="str">
        <v>Electronics</v>
      </c>
      <c r="U479" t="str">
        <f t="shared" si="51"/>
        <v>VALID</v>
      </c>
      <c r="V479" t="str">
        <f t="shared" si="52"/>
        <v>NORMAL</v>
      </c>
      <c r="W479" t="str">
        <f t="shared" si="53"/>
        <v>Valid</v>
      </c>
      <c r="X479">
        <f t="shared" si="55"/>
        <v>13021.68</v>
      </c>
      <c r="Y479">
        <f t="shared" si="54"/>
        <v>10417.344000000001</v>
      </c>
    </row>
    <row r="480" spans="1:25" x14ac:dyDescent="0.3">
      <c r="A480" t="s">
        <v>789</v>
      </c>
      <c r="B480" s="1">
        <v>45939</v>
      </c>
      <c r="C480" t="s">
        <v>581</v>
      </c>
      <c r="D480" t="s">
        <v>176</v>
      </c>
      <c r="E480" t="s">
        <v>177</v>
      </c>
      <c r="F480" t="s">
        <v>31</v>
      </c>
      <c r="G480" t="s">
        <v>56</v>
      </c>
      <c r="H480" t="s">
        <v>101</v>
      </c>
      <c r="I480">
        <v>1</v>
      </c>
      <c r="J480">
        <v>2130.23</v>
      </c>
      <c r="K480">
        <v>0</v>
      </c>
      <c r="L480">
        <v>2130.23</v>
      </c>
      <c r="M480" t="s">
        <v>23</v>
      </c>
      <c r="N480" t="s">
        <v>58</v>
      </c>
      <c r="O480" t="s">
        <v>35</v>
      </c>
      <c r="P480" t="s">
        <v>116</v>
      </c>
      <c r="Q480" t="str">
        <f t="shared" si="49"/>
        <v>Cancelled</v>
      </c>
      <c r="R480" t="str">
        <f t="shared" si="50"/>
        <v>Online</v>
      </c>
      <c r="S480" t="str">
        <v>Credit Card</v>
      </c>
      <c r="T480" t="str">
        <v>Electronics</v>
      </c>
      <c r="U480" t="str">
        <f t="shared" si="51"/>
        <v>VALID</v>
      </c>
      <c r="V480" t="str">
        <f t="shared" si="52"/>
        <v>NORMAL</v>
      </c>
      <c r="W480" t="str">
        <f t="shared" si="53"/>
        <v>Valid</v>
      </c>
      <c r="X480">
        <f t="shared" si="55"/>
        <v>2130.23</v>
      </c>
      <c r="Y480">
        <f t="shared" si="54"/>
        <v>2130.23</v>
      </c>
    </row>
    <row r="481" spans="1:25" x14ac:dyDescent="0.3">
      <c r="A481" t="s">
        <v>790</v>
      </c>
      <c r="B481" s="1">
        <v>45890</v>
      </c>
      <c r="C481" t="s">
        <v>157</v>
      </c>
      <c r="D481" t="s">
        <v>170</v>
      </c>
      <c r="E481" t="s">
        <v>171</v>
      </c>
      <c r="F481" t="s">
        <v>31</v>
      </c>
      <c r="G481" t="s">
        <v>56</v>
      </c>
      <c r="H481" t="s">
        <v>101</v>
      </c>
      <c r="I481">
        <v>3</v>
      </c>
      <c r="J481">
        <v>61458.73</v>
      </c>
      <c r="K481">
        <v>0.1</v>
      </c>
      <c r="L481">
        <v>165938.57</v>
      </c>
      <c r="M481" t="s">
        <v>48</v>
      </c>
      <c r="N481" t="s">
        <v>58</v>
      </c>
      <c r="O481" t="s">
        <v>25</v>
      </c>
      <c r="P481" t="s">
        <v>42</v>
      </c>
      <c r="Q481" t="str">
        <f t="shared" si="49"/>
        <v>Returned</v>
      </c>
      <c r="R481" t="str">
        <f t="shared" si="50"/>
        <v>Marketplace</v>
      </c>
      <c r="S481" t="str">
        <v>Credit Card</v>
      </c>
      <c r="T481" t="str">
        <v>Electronics</v>
      </c>
      <c r="U481" t="str">
        <f t="shared" si="51"/>
        <v>VALID</v>
      </c>
      <c r="V481" t="str">
        <f t="shared" si="52"/>
        <v>NORMAL</v>
      </c>
      <c r="W481" t="str">
        <f t="shared" si="53"/>
        <v>Valid</v>
      </c>
      <c r="X481">
        <f t="shared" si="55"/>
        <v>184376.19</v>
      </c>
      <c r="Y481">
        <f t="shared" si="54"/>
        <v>165938.571</v>
      </c>
    </row>
    <row r="482" spans="1:25" x14ac:dyDescent="0.3">
      <c r="A482" t="s">
        <v>791</v>
      </c>
      <c r="B482" s="1">
        <v>45885</v>
      </c>
      <c r="C482" t="s">
        <v>792</v>
      </c>
      <c r="D482" t="s">
        <v>45</v>
      </c>
      <c r="E482" t="s">
        <v>46</v>
      </c>
      <c r="F482" t="s">
        <v>31</v>
      </c>
      <c r="G482" t="s">
        <v>32</v>
      </c>
      <c r="H482" t="s">
        <v>68</v>
      </c>
      <c r="I482">
        <v>2</v>
      </c>
      <c r="J482">
        <v>1786.8</v>
      </c>
      <c r="K482">
        <v>0.15</v>
      </c>
      <c r="L482">
        <v>3037.56</v>
      </c>
      <c r="M482" t="s">
        <v>23</v>
      </c>
      <c r="N482" t="s">
        <v>49</v>
      </c>
      <c r="O482" t="s">
        <v>65</v>
      </c>
      <c r="P482" t="s">
        <v>42</v>
      </c>
      <c r="Q482" t="str">
        <f t="shared" si="49"/>
        <v>Completed</v>
      </c>
      <c r="R482" t="str">
        <f t="shared" si="50"/>
        <v>Online</v>
      </c>
      <c r="S482" t="str">
        <v>Net Banking</v>
      </c>
      <c r="T482" t="str">
        <v>Electronics</v>
      </c>
      <c r="U482" t="str">
        <f t="shared" si="51"/>
        <v>VALID</v>
      </c>
      <c r="V482" t="str">
        <f t="shared" si="52"/>
        <v>NORMAL</v>
      </c>
      <c r="W482" t="str">
        <f t="shared" si="53"/>
        <v>Valid</v>
      </c>
      <c r="X482">
        <f t="shared" si="55"/>
        <v>3573.6</v>
      </c>
      <c r="Y482">
        <f t="shared" si="54"/>
        <v>3037.56</v>
      </c>
    </row>
    <row r="483" spans="1:25" x14ac:dyDescent="0.3">
      <c r="A483" t="s">
        <v>793</v>
      </c>
      <c r="B483" s="1">
        <v>45786</v>
      </c>
      <c r="D483" t="s">
        <v>79</v>
      </c>
      <c r="E483" t="s">
        <v>80</v>
      </c>
      <c r="F483" t="s">
        <v>31</v>
      </c>
      <c r="G483" t="s">
        <v>81</v>
      </c>
      <c r="H483" t="s">
        <v>87</v>
      </c>
      <c r="I483">
        <v>4</v>
      </c>
      <c r="J483">
        <v>13387.89</v>
      </c>
      <c r="K483">
        <v>0.1</v>
      </c>
      <c r="L483">
        <v>48196.4</v>
      </c>
      <c r="M483" t="s">
        <v>23</v>
      </c>
      <c r="N483" t="s">
        <v>34</v>
      </c>
      <c r="O483" t="s">
        <v>65</v>
      </c>
      <c r="P483" t="s">
        <v>72</v>
      </c>
      <c r="Q483" t="str">
        <f t="shared" si="49"/>
        <v>Completed</v>
      </c>
      <c r="R483" t="str">
        <f t="shared" si="50"/>
        <v>Online</v>
      </c>
      <c r="S483" t="str">
        <v>Cash On Delivery</v>
      </c>
      <c r="T483" t="str">
        <v>Electronics</v>
      </c>
      <c r="U483" t="str">
        <f t="shared" si="51"/>
        <v>VALID</v>
      </c>
      <c r="V483" t="str">
        <f t="shared" si="52"/>
        <v>NORMAL</v>
      </c>
      <c r="W483" t="str">
        <f t="shared" si="53"/>
        <v>Valid</v>
      </c>
      <c r="X483">
        <f t="shared" si="55"/>
        <v>53551.56</v>
      </c>
      <c r="Y483">
        <f t="shared" si="54"/>
        <v>48196.403999999995</v>
      </c>
    </row>
    <row r="484" spans="1:25" x14ac:dyDescent="0.3">
      <c r="A484" t="s">
        <v>794</v>
      </c>
      <c r="B484" s="1">
        <v>45923</v>
      </c>
      <c r="C484" t="s">
        <v>480</v>
      </c>
      <c r="D484" t="s">
        <v>170</v>
      </c>
      <c r="E484" t="s">
        <v>171</v>
      </c>
      <c r="F484" t="s">
        <v>31</v>
      </c>
      <c r="G484" t="s">
        <v>56</v>
      </c>
      <c r="H484" t="s">
        <v>101</v>
      </c>
      <c r="I484">
        <v>4</v>
      </c>
      <c r="J484">
        <v>68567.81</v>
      </c>
      <c r="K484">
        <v>0.08</v>
      </c>
      <c r="L484">
        <v>252329.54</v>
      </c>
      <c r="M484" t="s">
        <v>23</v>
      </c>
      <c r="N484" t="s">
        <v>71</v>
      </c>
      <c r="O484" t="s">
        <v>35</v>
      </c>
      <c r="P484" t="s">
        <v>72</v>
      </c>
      <c r="Q484" t="str">
        <f t="shared" si="49"/>
        <v>Cancelled</v>
      </c>
      <c r="R484" t="str">
        <f t="shared" si="50"/>
        <v>Online</v>
      </c>
      <c r="S484" t="str">
        <v>Upi</v>
      </c>
      <c r="T484" t="str">
        <v>Electronics</v>
      </c>
      <c r="U484" t="str">
        <f t="shared" si="51"/>
        <v>VALID</v>
      </c>
      <c r="V484" t="str">
        <f t="shared" si="52"/>
        <v>NORMAL</v>
      </c>
      <c r="W484" t="str">
        <f t="shared" si="53"/>
        <v>Valid</v>
      </c>
      <c r="X484">
        <f t="shared" si="55"/>
        <v>274271.24</v>
      </c>
      <c r="Y484">
        <f t="shared" si="54"/>
        <v>252329.54079999999</v>
      </c>
    </row>
    <row r="485" spans="1:25" x14ac:dyDescent="0.3">
      <c r="A485" t="s">
        <v>795</v>
      </c>
      <c r="B485" s="1">
        <v>45635</v>
      </c>
      <c r="C485" t="s">
        <v>715</v>
      </c>
      <c r="D485" t="s">
        <v>170</v>
      </c>
      <c r="E485" t="s">
        <v>171</v>
      </c>
      <c r="F485" t="s">
        <v>31</v>
      </c>
      <c r="G485" t="s">
        <v>56</v>
      </c>
      <c r="H485" t="s">
        <v>64</v>
      </c>
      <c r="I485">
        <v>3</v>
      </c>
      <c r="J485">
        <v>70158.559999999998</v>
      </c>
      <c r="K485">
        <v>0.03</v>
      </c>
      <c r="L485">
        <v>204161.41</v>
      </c>
      <c r="M485" t="s">
        <v>23</v>
      </c>
      <c r="N485" t="s">
        <v>34</v>
      </c>
      <c r="O485" t="s">
        <v>65</v>
      </c>
      <c r="P485" t="s">
        <v>26</v>
      </c>
      <c r="Q485" t="str">
        <f t="shared" si="49"/>
        <v>Completed</v>
      </c>
      <c r="R485" t="str">
        <f t="shared" si="50"/>
        <v>Online</v>
      </c>
      <c r="S485" t="str">
        <v>Cash On Delivery</v>
      </c>
      <c r="T485" t="str">
        <v>Electronics</v>
      </c>
      <c r="U485" t="str">
        <f t="shared" si="51"/>
        <v>VALID</v>
      </c>
      <c r="V485" t="str">
        <f t="shared" si="52"/>
        <v>NORMAL</v>
      </c>
      <c r="W485" t="str">
        <f t="shared" si="53"/>
        <v>Valid</v>
      </c>
      <c r="X485">
        <f t="shared" si="55"/>
        <v>210475.68</v>
      </c>
      <c r="Y485">
        <f t="shared" si="54"/>
        <v>204161.40959999998</v>
      </c>
    </row>
    <row r="486" spans="1:25" x14ac:dyDescent="0.3">
      <c r="A486" t="s">
        <v>796</v>
      </c>
      <c r="B486" s="1">
        <v>45322</v>
      </c>
      <c r="C486" t="s">
        <v>17</v>
      </c>
      <c r="D486" t="s">
        <v>18</v>
      </c>
      <c r="E486" t="s">
        <v>19</v>
      </c>
      <c r="F486" t="s">
        <v>20</v>
      </c>
      <c r="G486" t="s">
        <v>81</v>
      </c>
      <c r="H486" t="s">
        <v>87</v>
      </c>
      <c r="I486">
        <v>4</v>
      </c>
      <c r="J486">
        <v>807</v>
      </c>
      <c r="K486">
        <v>0.03</v>
      </c>
      <c r="L486">
        <v>3131.16</v>
      </c>
      <c r="M486" t="s">
        <v>23</v>
      </c>
      <c r="N486" t="s">
        <v>71</v>
      </c>
      <c r="O486" t="s">
        <v>65</v>
      </c>
      <c r="P486" t="s">
        <v>42</v>
      </c>
      <c r="Q486" t="str">
        <f t="shared" si="49"/>
        <v>Completed</v>
      </c>
      <c r="R486" t="str">
        <f t="shared" si="50"/>
        <v>Online</v>
      </c>
      <c r="S486" t="str">
        <v>Upi</v>
      </c>
      <c r="T486" t="str">
        <v>Accessories</v>
      </c>
      <c r="U486" t="str">
        <f t="shared" si="51"/>
        <v>VALID</v>
      </c>
      <c r="V486" t="str">
        <f t="shared" si="52"/>
        <v>NORMAL</v>
      </c>
      <c r="W486" t="str">
        <f t="shared" si="53"/>
        <v>Valid</v>
      </c>
      <c r="X486">
        <f t="shared" si="55"/>
        <v>3228</v>
      </c>
      <c r="Y486">
        <f t="shared" si="54"/>
        <v>3131.16</v>
      </c>
    </row>
    <row r="487" spans="1:25" x14ac:dyDescent="0.3">
      <c r="A487" t="s">
        <v>797</v>
      </c>
      <c r="B487" s="1">
        <v>45614</v>
      </c>
      <c r="C487" t="s">
        <v>675</v>
      </c>
      <c r="D487" t="s">
        <v>38</v>
      </c>
      <c r="E487" t="s">
        <v>39</v>
      </c>
      <c r="F487" t="s">
        <v>40</v>
      </c>
      <c r="G487" t="s">
        <v>81</v>
      </c>
      <c r="H487" t="s">
        <v>98</v>
      </c>
      <c r="I487">
        <v>2</v>
      </c>
      <c r="J487">
        <v>1556.93</v>
      </c>
      <c r="K487">
        <v>0.03</v>
      </c>
      <c r="L487">
        <v>3020.44</v>
      </c>
      <c r="M487" t="s">
        <v>48</v>
      </c>
      <c r="N487" t="s">
        <v>71</v>
      </c>
      <c r="O487" t="s">
        <v>35</v>
      </c>
      <c r="P487" t="s">
        <v>102</v>
      </c>
      <c r="Q487" t="str">
        <f t="shared" si="49"/>
        <v>Cancelled</v>
      </c>
      <c r="R487" t="str">
        <f t="shared" si="50"/>
        <v>Marketplace</v>
      </c>
      <c r="S487" t="str">
        <v>Upi</v>
      </c>
      <c r="T487" t="str">
        <v>Furniture</v>
      </c>
      <c r="U487" t="str">
        <f t="shared" si="51"/>
        <v>VALID</v>
      </c>
      <c r="V487" t="str">
        <f t="shared" si="52"/>
        <v>NORMAL</v>
      </c>
      <c r="W487" t="str">
        <f t="shared" si="53"/>
        <v>Valid</v>
      </c>
      <c r="X487">
        <f t="shared" si="55"/>
        <v>3113.86</v>
      </c>
      <c r="Y487">
        <f t="shared" si="54"/>
        <v>3020.4441999999999</v>
      </c>
    </row>
    <row r="488" spans="1:25" x14ac:dyDescent="0.3">
      <c r="A488" t="s">
        <v>798</v>
      </c>
      <c r="B488" s="1">
        <v>45716</v>
      </c>
      <c r="C488" t="s">
        <v>212</v>
      </c>
      <c r="D488" t="s">
        <v>131</v>
      </c>
      <c r="E488" t="s">
        <v>132</v>
      </c>
      <c r="F488" t="s">
        <v>40</v>
      </c>
      <c r="G488" t="s">
        <v>32</v>
      </c>
      <c r="H488" t="s">
        <v>68</v>
      </c>
      <c r="I488">
        <v>5</v>
      </c>
      <c r="J488">
        <v>8956.7099999999991</v>
      </c>
      <c r="K488">
        <v>0</v>
      </c>
      <c r="L488">
        <v>44783.55</v>
      </c>
      <c r="M488" t="s">
        <v>48</v>
      </c>
      <c r="N488" t="s">
        <v>71</v>
      </c>
      <c r="O488" t="s">
        <v>65</v>
      </c>
      <c r="P488" t="s">
        <v>72</v>
      </c>
      <c r="Q488" t="str">
        <f t="shared" si="49"/>
        <v>Completed</v>
      </c>
      <c r="R488" t="str">
        <f t="shared" si="50"/>
        <v>Marketplace</v>
      </c>
      <c r="S488" t="str">
        <v>Upi</v>
      </c>
      <c r="T488" t="str">
        <v>Furniture</v>
      </c>
      <c r="U488" t="str">
        <f t="shared" si="51"/>
        <v>VALID</v>
      </c>
      <c r="V488" t="str">
        <f t="shared" si="52"/>
        <v>NORMAL</v>
      </c>
      <c r="W488" t="str">
        <f t="shared" si="53"/>
        <v>Valid</v>
      </c>
      <c r="X488">
        <f t="shared" si="55"/>
        <v>44783.549999999996</v>
      </c>
      <c r="Y488">
        <f t="shared" si="54"/>
        <v>44783.549999999996</v>
      </c>
    </row>
    <row r="489" spans="1:25" x14ac:dyDescent="0.3">
      <c r="A489" t="s">
        <v>799</v>
      </c>
      <c r="B489" s="1">
        <v>45921</v>
      </c>
      <c r="C489" t="s">
        <v>243</v>
      </c>
      <c r="D489" t="s">
        <v>79</v>
      </c>
      <c r="E489" t="s">
        <v>80</v>
      </c>
      <c r="F489" t="s">
        <v>31</v>
      </c>
      <c r="G489" t="s">
        <v>81</v>
      </c>
      <c r="H489" t="s">
        <v>82</v>
      </c>
      <c r="I489">
        <v>1</v>
      </c>
      <c r="J489">
        <v>11653.28</v>
      </c>
      <c r="K489">
        <v>0.03</v>
      </c>
      <c r="L489">
        <v>11303.68</v>
      </c>
      <c r="M489" t="s">
        <v>23</v>
      </c>
      <c r="N489" t="s">
        <v>34</v>
      </c>
      <c r="O489" t="s">
        <v>65</v>
      </c>
      <c r="P489" t="s">
        <v>26</v>
      </c>
      <c r="Q489" t="str">
        <f t="shared" si="49"/>
        <v>Completed</v>
      </c>
      <c r="R489" t="str">
        <f t="shared" si="50"/>
        <v>Online</v>
      </c>
      <c r="S489" t="str">
        <v>Cash On Delivery</v>
      </c>
      <c r="T489" t="str">
        <v>Electronics</v>
      </c>
      <c r="U489" t="str">
        <f t="shared" si="51"/>
        <v>VALID</v>
      </c>
      <c r="V489" t="str">
        <f t="shared" si="52"/>
        <v>NORMAL</v>
      </c>
      <c r="W489" t="str">
        <f t="shared" si="53"/>
        <v>Valid</v>
      </c>
      <c r="X489">
        <f t="shared" si="55"/>
        <v>11653.28</v>
      </c>
      <c r="Y489">
        <f t="shared" si="54"/>
        <v>11303.6816</v>
      </c>
    </row>
    <row r="490" spans="1:25" x14ac:dyDescent="0.3">
      <c r="A490" t="s">
        <v>800</v>
      </c>
      <c r="B490" s="1">
        <v>45450</v>
      </c>
      <c r="C490" t="s">
        <v>208</v>
      </c>
      <c r="D490" t="s">
        <v>29</v>
      </c>
      <c r="E490" t="s">
        <v>30</v>
      </c>
      <c r="F490" t="s">
        <v>31</v>
      </c>
      <c r="G490" t="s">
        <v>21</v>
      </c>
      <c r="H490" t="s">
        <v>22</v>
      </c>
      <c r="I490">
        <v>5</v>
      </c>
      <c r="J490">
        <v>2964.57</v>
      </c>
      <c r="K490">
        <v>0.08</v>
      </c>
      <c r="L490">
        <v>13637.02</v>
      </c>
      <c r="M490" t="s">
        <v>48</v>
      </c>
      <c r="N490" t="s">
        <v>49</v>
      </c>
      <c r="O490" t="s">
        <v>65</v>
      </c>
      <c r="P490" t="s">
        <v>26</v>
      </c>
      <c r="Q490" t="str">
        <f t="shared" si="49"/>
        <v>Completed</v>
      </c>
      <c r="R490" t="str">
        <f t="shared" si="50"/>
        <v>Marketplace</v>
      </c>
      <c r="S490" t="str">
        <v>Net Banking</v>
      </c>
      <c r="T490" t="str">
        <v>Electronics</v>
      </c>
      <c r="U490" t="str">
        <f t="shared" si="51"/>
        <v>VALID</v>
      </c>
      <c r="V490" t="str">
        <f t="shared" si="52"/>
        <v>NORMAL</v>
      </c>
      <c r="W490" t="str">
        <f t="shared" si="53"/>
        <v>Valid</v>
      </c>
      <c r="X490">
        <f t="shared" si="55"/>
        <v>14822.85</v>
      </c>
      <c r="Y490">
        <f t="shared" si="54"/>
        <v>13637.022000000001</v>
      </c>
    </row>
    <row r="491" spans="1:25" x14ac:dyDescent="0.3">
      <c r="A491" t="s">
        <v>801</v>
      </c>
      <c r="B491" s="1">
        <v>45295</v>
      </c>
      <c r="C491" t="s">
        <v>520</v>
      </c>
      <c r="D491" t="s">
        <v>170</v>
      </c>
      <c r="E491" t="s">
        <v>171</v>
      </c>
      <c r="F491" t="s">
        <v>31</v>
      </c>
      <c r="G491" t="s">
        <v>21</v>
      </c>
      <c r="H491" t="s">
        <v>93</v>
      </c>
      <c r="I491">
        <v>4</v>
      </c>
      <c r="J491">
        <v>62476.24</v>
      </c>
      <c r="K491">
        <v>0.2</v>
      </c>
      <c r="L491">
        <v>199923.97</v>
      </c>
      <c r="M491" t="s">
        <v>48</v>
      </c>
      <c r="N491" t="s">
        <v>71</v>
      </c>
      <c r="O491" t="s">
        <v>65</v>
      </c>
      <c r="P491" t="s">
        <v>72</v>
      </c>
      <c r="Q491" t="str">
        <f t="shared" si="49"/>
        <v>Completed</v>
      </c>
      <c r="R491" t="str">
        <f t="shared" si="50"/>
        <v>Marketplace</v>
      </c>
      <c r="S491" t="str">
        <v>Upi</v>
      </c>
      <c r="T491" t="str">
        <v>Electronics</v>
      </c>
      <c r="U491" t="str">
        <f t="shared" si="51"/>
        <v>VALID</v>
      </c>
      <c r="V491" t="str">
        <f t="shared" si="52"/>
        <v>NORMAL</v>
      </c>
      <c r="W491" t="str">
        <f t="shared" si="53"/>
        <v>Valid</v>
      </c>
      <c r="X491">
        <f t="shared" si="55"/>
        <v>249904.96</v>
      </c>
      <c r="Y491">
        <f t="shared" si="54"/>
        <v>199923.96799999999</v>
      </c>
    </row>
    <row r="492" spans="1:25" x14ac:dyDescent="0.3">
      <c r="A492" t="s">
        <v>802</v>
      </c>
      <c r="B492" s="1">
        <v>46195</v>
      </c>
      <c r="C492" t="s">
        <v>803</v>
      </c>
      <c r="D492" t="s">
        <v>96</v>
      </c>
      <c r="E492" t="s">
        <v>97</v>
      </c>
      <c r="F492" t="s">
        <v>31</v>
      </c>
      <c r="G492" t="s">
        <v>32</v>
      </c>
      <c r="H492" t="s">
        <v>75</v>
      </c>
      <c r="I492">
        <v>4</v>
      </c>
      <c r="J492">
        <v>1131.51</v>
      </c>
      <c r="K492">
        <v>0.03</v>
      </c>
      <c r="L492">
        <v>4390.26</v>
      </c>
      <c r="M492" t="s">
        <v>23</v>
      </c>
      <c r="N492" t="s">
        <v>58</v>
      </c>
      <c r="O492" t="s">
        <v>65</v>
      </c>
      <c r="P492" t="s">
        <v>116</v>
      </c>
      <c r="Q492" t="str">
        <f t="shared" si="49"/>
        <v>Completed</v>
      </c>
      <c r="R492" t="str">
        <f t="shared" si="50"/>
        <v>Online</v>
      </c>
      <c r="S492" t="str">
        <v>Credit Card</v>
      </c>
      <c r="T492" t="str">
        <v>Electronics</v>
      </c>
      <c r="U492" t="str">
        <f t="shared" si="51"/>
        <v>VALID</v>
      </c>
      <c r="V492" t="str">
        <f t="shared" si="52"/>
        <v>NORMAL</v>
      </c>
      <c r="W492" t="str">
        <f t="shared" si="53"/>
        <v>Valid</v>
      </c>
      <c r="X492">
        <f t="shared" si="55"/>
        <v>4526.04</v>
      </c>
      <c r="Y492">
        <f t="shared" si="54"/>
        <v>4390.2587999999996</v>
      </c>
    </row>
    <row r="493" spans="1:25" x14ac:dyDescent="0.3">
      <c r="A493" t="s">
        <v>804</v>
      </c>
      <c r="B493" s="1">
        <v>45316</v>
      </c>
      <c r="C493" t="s">
        <v>480</v>
      </c>
      <c r="D493" t="s">
        <v>79</v>
      </c>
      <c r="E493" t="s">
        <v>80</v>
      </c>
      <c r="F493" t="s">
        <v>31</v>
      </c>
      <c r="G493" t="s">
        <v>21</v>
      </c>
      <c r="H493" t="s">
        <v>93</v>
      </c>
      <c r="I493">
        <v>3</v>
      </c>
      <c r="J493">
        <v>12795.75</v>
      </c>
      <c r="K493">
        <v>0.1</v>
      </c>
      <c r="L493">
        <v>34548.53</v>
      </c>
      <c r="M493" t="s">
        <v>23</v>
      </c>
      <c r="N493" t="s">
        <v>24</v>
      </c>
      <c r="O493" t="s">
        <v>65</v>
      </c>
      <c r="P493" t="s">
        <v>72</v>
      </c>
      <c r="Q493" t="str">
        <f t="shared" si="49"/>
        <v>Completed</v>
      </c>
      <c r="R493" t="str">
        <f t="shared" si="50"/>
        <v>Online</v>
      </c>
      <c r="S493" t="str">
        <v>Debit Card</v>
      </c>
      <c r="T493" t="str">
        <v>Electronics</v>
      </c>
      <c r="U493" t="str">
        <f t="shared" si="51"/>
        <v>VALID</v>
      </c>
      <c r="V493" t="str">
        <f t="shared" si="52"/>
        <v>NORMAL</v>
      </c>
      <c r="W493" t="str">
        <f t="shared" si="53"/>
        <v>Valid</v>
      </c>
      <c r="X493">
        <f t="shared" si="55"/>
        <v>38387.25</v>
      </c>
      <c r="Y493">
        <f t="shared" si="54"/>
        <v>34548.525000000001</v>
      </c>
    </row>
    <row r="494" spans="1:25" x14ac:dyDescent="0.3">
      <c r="A494" t="s">
        <v>805</v>
      </c>
      <c r="B494" s="1">
        <v>45807</v>
      </c>
      <c r="C494" t="s">
        <v>480</v>
      </c>
      <c r="D494" t="s">
        <v>45</v>
      </c>
      <c r="E494" t="s">
        <v>46</v>
      </c>
      <c r="F494" t="s">
        <v>31</v>
      </c>
      <c r="G494" t="s">
        <v>21</v>
      </c>
      <c r="H494" t="s">
        <v>41</v>
      </c>
      <c r="I494">
        <v>5</v>
      </c>
      <c r="J494">
        <v>1921.75</v>
      </c>
      <c r="K494">
        <v>0.08</v>
      </c>
      <c r="L494">
        <v>8840.0499999999993</v>
      </c>
      <c r="M494" t="s">
        <v>48</v>
      </c>
      <c r="N494" t="s">
        <v>49</v>
      </c>
      <c r="O494" t="s">
        <v>65</v>
      </c>
      <c r="P494" t="s">
        <v>116</v>
      </c>
      <c r="Q494" t="str">
        <f t="shared" si="49"/>
        <v>Completed</v>
      </c>
      <c r="R494" t="str">
        <f t="shared" si="50"/>
        <v>Marketplace</v>
      </c>
      <c r="S494" t="str">
        <v>Net Banking</v>
      </c>
      <c r="T494" t="str">
        <v>Electronics</v>
      </c>
      <c r="U494" t="str">
        <f t="shared" si="51"/>
        <v>VALID</v>
      </c>
      <c r="V494" t="str">
        <f t="shared" si="52"/>
        <v>NORMAL</v>
      </c>
      <c r="W494" t="str">
        <f t="shared" si="53"/>
        <v>Valid</v>
      </c>
      <c r="X494">
        <f t="shared" si="55"/>
        <v>9608.75</v>
      </c>
      <c r="Y494">
        <f t="shared" si="54"/>
        <v>8840.0499999999993</v>
      </c>
    </row>
    <row r="495" spans="1:25" x14ac:dyDescent="0.3">
      <c r="A495" t="s">
        <v>806</v>
      </c>
      <c r="B495" s="1">
        <v>46138</v>
      </c>
      <c r="C495" t="s">
        <v>241</v>
      </c>
      <c r="D495" t="s">
        <v>38</v>
      </c>
      <c r="E495" t="s">
        <v>39</v>
      </c>
      <c r="F495" t="s">
        <v>40</v>
      </c>
      <c r="G495" t="s">
        <v>56</v>
      </c>
      <c r="H495" t="s">
        <v>64</v>
      </c>
      <c r="I495">
        <v>1</v>
      </c>
      <c r="J495">
        <v>1488.02</v>
      </c>
      <c r="K495">
        <v>0</v>
      </c>
      <c r="L495">
        <v>1488.02</v>
      </c>
      <c r="M495" t="s">
        <v>48</v>
      </c>
      <c r="N495" t="s">
        <v>71</v>
      </c>
      <c r="O495" t="s">
        <v>65</v>
      </c>
      <c r="P495" t="s">
        <v>42</v>
      </c>
      <c r="Q495" t="str">
        <f t="shared" si="49"/>
        <v>Completed</v>
      </c>
      <c r="R495" t="str">
        <f t="shared" si="50"/>
        <v>Marketplace</v>
      </c>
      <c r="S495" t="str">
        <v>Upi</v>
      </c>
      <c r="T495" t="str">
        <v>Furniture</v>
      </c>
      <c r="U495" t="str">
        <f t="shared" si="51"/>
        <v>VALID</v>
      </c>
      <c r="V495" t="str">
        <f t="shared" si="52"/>
        <v>NORMAL</v>
      </c>
      <c r="W495" t="str">
        <f t="shared" si="53"/>
        <v>Valid</v>
      </c>
      <c r="X495">
        <f t="shared" si="55"/>
        <v>1488.02</v>
      </c>
      <c r="Y495">
        <f t="shared" si="54"/>
        <v>1488.02</v>
      </c>
    </row>
    <row r="496" spans="1:25" x14ac:dyDescent="0.3">
      <c r="A496" t="s">
        <v>807</v>
      </c>
      <c r="B496" s="1">
        <v>45450</v>
      </c>
      <c r="C496" t="s">
        <v>808</v>
      </c>
      <c r="D496" t="s">
        <v>29</v>
      </c>
      <c r="E496" t="s">
        <v>30</v>
      </c>
      <c r="F496" t="s">
        <v>31</v>
      </c>
      <c r="G496" t="s">
        <v>32</v>
      </c>
      <c r="H496" t="s">
        <v>47</v>
      </c>
      <c r="I496">
        <v>4</v>
      </c>
      <c r="J496">
        <v>3018.98</v>
      </c>
      <c r="K496">
        <v>0.2</v>
      </c>
      <c r="L496">
        <v>9660.74</v>
      </c>
      <c r="M496" t="s">
        <v>48</v>
      </c>
      <c r="N496" t="s">
        <v>58</v>
      </c>
      <c r="O496" t="s">
        <v>65</v>
      </c>
      <c r="P496" t="s">
        <v>116</v>
      </c>
      <c r="Q496" t="str">
        <f t="shared" si="49"/>
        <v>Completed</v>
      </c>
      <c r="R496" t="str">
        <f t="shared" si="50"/>
        <v>Marketplace</v>
      </c>
      <c r="S496" t="str">
        <v>Credit Card</v>
      </c>
      <c r="T496" t="str">
        <v>Electronics</v>
      </c>
      <c r="U496" t="str">
        <f t="shared" si="51"/>
        <v>VALID</v>
      </c>
      <c r="V496" t="str">
        <f t="shared" si="52"/>
        <v>NORMAL</v>
      </c>
      <c r="W496" t="str">
        <f t="shared" si="53"/>
        <v>Valid</v>
      </c>
      <c r="X496">
        <f t="shared" si="55"/>
        <v>12075.92</v>
      </c>
      <c r="Y496">
        <f t="shared" si="54"/>
        <v>9660.7360000000008</v>
      </c>
    </row>
    <row r="497" spans="1:25" x14ac:dyDescent="0.3">
      <c r="A497" t="s">
        <v>809</v>
      </c>
      <c r="B497" s="1">
        <v>45303</v>
      </c>
      <c r="C497" t="s">
        <v>810</v>
      </c>
      <c r="D497" t="s">
        <v>38</v>
      </c>
      <c r="E497" t="s">
        <v>39</v>
      </c>
      <c r="F497" t="s">
        <v>40</v>
      </c>
      <c r="G497" t="s">
        <v>56</v>
      </c>
      <c r="H497" t="s">
        <v>57</v>
      </c>
      <c r="I497">
        <v>1</v>
      </c>
      <c r="J497">
        <v>1542.21</v>
      </c>
      <c r="K497">
        <v>0.05</v>
      </c>
      <c r="L497">
        <v>1465.1</v>
      </c>
      <c r="M497" t="s">
        <v>23</v>
      </c>
      <c r="O497" t="s">
        <v>65</v>
      </c>
      <c r="P497" t="s">
        <v>26</v>
      </c>
      <c r="Q497" t="str">
        <f t="shared" si="49"/>
        <v>Completed</v>
      </c>
      <c r="R497" t="str">
        <f t="shared" si="50"/>
        <v>Online</v>
      </c>
      <c r="S497" t="str">
        <v/>
      </c>
      <c r="T497" t="str">
        <v>Furniture</v>
      </c>
      <c r="U497" t="str">
        <f t="shared" si="51"/>
        <v>VALID</v>
      </c>
      <c r="V497" t="str">
        <f t="shared" si="52"/>
        <v>NORMAL</v>
      </c>
      <c r="W497" t="str">
        <f t="shared" si="53"/>
        <v>Valid</v>
      </c>
      <c r="X497">
        <f t="shared" si="55"/>
        <v>1542.21</v>
      </c>
      <c r="Y497">
        <f t="shared" si="54"/>
        <v>1465.0995</v>
      </c>
    </row>
    <row r="498" spans="1:25" x14ac:dyDescent="0.3">
      <c r="A498" t="s">
        <v>811</v>
      </c>
      <c r="B498" s="1">
        <v>45463</v>
      </c>
      <c r="C498" t="s">
        <v>208</v>
      </c>
      <c r="D498" t="s">
        <v>45</v>
      </c>
      <c r="E498" t="s">
        <v>46</v>
      </c>
      <c r="F498" t="s">
        <v>31</v>
      </c>
      <c r="G498" t="s">
        <v>32</v>
      </c>
      <c r="H498" t="s">
        <v>33</v>
      </c>
      <c r="I498">
        <v>5</v>
      </c>
      <c r="J498">
        <v>1712.11</v>
      </c>
      <c r="K498">
        <v>0.2</v>
      </c>
      <c r="L498">
        <v>6848.44</v>
      </c>
      <c r="M498" t="s">
        <v>76</v>
      </c>
      <c r="N498" t="s">
        <v>58</v>
      </c>
      <c r="O498" t="s">
        <v>65</v>
      </c>
      <c r="P498" t="s">
        <v>50</v>
      </c>
      <c r="Q498" t="str">
        <f t="shared" si="49"/>
        <v>Completed</v>
      </c>
      <c r="R498" t="str">
        <f t="shared" si="50"/>
        <v>Store</v>
      </c>
      <c r="S498" t="str">
        <v>Credit Card</v>
      </c>
      <c r="T498" t="str">
        <v>Electronics</v>
      </c>
      <c r="U498" t="str">
        <f t="shared" si="51"/>
        <v>VALID</v>
      </c>
      <c r="V498" t="str">
        <f t="shared" si="52"/>
        <v>NORMAL</v>
      </c>
      <c r="W498" t="str">
        <f t="shared" si="53"/>
        <v>Valid</v>
      </c>
      <c r="X498">
        <f t="shared" si="55"/>
        <v>8560.5499999999993</v>
      </c>
      <c r="Y498">
        <f t="shared" si="54"/>
        <v>6848.44</v>
      </c>
    </row>
    <row r="499" spans="1:25" x14ac:dyDescent="0.3">
      <c r="A499" t="s">
        <v>812</v>
      </c>
      <c r="B499" s="1">
        <v>45692</v>
      </c>
      <c r="C499" t="s">
        <v>137</v>
      </c>
      <c r="D499" t="s">
        <v>79</v>
      </c>
      <c r="E499" t="s">
        <v>80</v>
      </c>
      <c r="F499" t="s">
        <v>31</v>
      </c>
      <c r="G499" t="s">
        <v>81</v>
      </c>
      <c r="H499" t="s">
        <v>98</v>
      </c>
      <c r="I499">
        <v>1</v>
      </c>
      <c r="J499">
        <v>11699.86</v>
      </c>
      <c r="K499">
        <v>0.08</v>
      </c>
      <c r="L499">
        <v>10763.87</v>
      </c>
      <c r="M499" t="s">
        <v>23</v>
      </c>
      <c r="N499" t="s">
        <v>71</v>
      </c>
      <c r="O499" t="s">
        <v>65</v>
      </c>
      <c r="P499" t="s">
        <v>102</v>
      </c>
      <c r="Q499" t="str">
        <f t="shared" si="49"/>
        <v>Completed</v>
      </c>
      <c r="R499" t="str">
        <f t="shared" si="50"/>
        <v>Online</v>
      </c>
      <c r="S499" t="str">
        <v>Upi</v>
      </c>
      <c r="T499" t="str">
        <v>Electronics</v>
      </c>
      <c r="U499" t="str">
        <f t="shared" si="51"/>
        <v>VALID</v>
      </c>
      <c r="V499" t="str">
        <f t="shared" si="52"/>
        <v>NORMAL</v>
      </c>
      <c r="W499" t="str">
        <f t="shared" si="53"/>
        <v>Valid</v>
      </c>
      <c r="X499">
        <f t="shared" si="55"/>
        <v>11699.86</v>
      </c>
      <c r="Y499">
        <f t="shared" si="54"/>
        <v>10763.871200000001</v>
      </c>
    </row>
    <row r="500" spans="1:25" x14ac:dyDescent="0.3">
      <c r="A500" t="s">
        <v>813</v>
      </c>
      <c r="B500" s="1">
        <v>45512</v>
      </c>
      <c r="C500" t="s">
        <v>672</v>
      </c>
      <c r="D500" t="s">
        <v>131</v>
      </c>
      <c r="E500" t="s">
        <v>132</v>
      </c>
      <c r="F500" t="s">
        <v>40</v>
      </c>
      <c r="G500" t="s">
        <v>81</v>
      </c>
      <c r="H500" t="s">
        <v>135</v>
      </c>
      <c r="I500">
        <v>2</v>
      </c>
      <c r="J500">
        <v>10105.34</v>
      </c>
      <c r="K500">
        <v>0.15</v>
      </c>
      <c r="L500">
        <v>17179.080000000002</v>
      </c>
      <c r="M500" t="s">
        <v>76</v>
      </c>
      <c r="N500" t="s">
        <v>49</v>
      </c>
      <c r="O500" t="s">
        <v>25</v>
      </c>
      <c r="P500" t="s">
        <v>111</v>
      </c>
      <c r="Q500" t="str">
        <f t="shared" si="49"/>
        <v>Returned</v>
      </c>
      <c r="R500" t="str">
        <f t="shared" si="50"/>
        <v>Store</v>
      </c>
      <c r="S500" t="str">
        <v>Net Banking</v>
      </c>
      <c r="T500" t="str">
        <v>Furniture</v>
      </c>
      <c r="U500" t="str">
        <f t="shared" si="51"/>
        <v>VALID</v>
      </c>
      <c r="V500" t="str">
        <f t="shared" si="52"/>
        <v>NORMAL</v>
      </c>
      <c r="W500" t="str">
        <f t="shared" si="53"/>
        <v>Valid</v>
      </c>
      <c r="X500">
        <f t="shared" si="55"/>
        <v>20210.68</v>
      </c>
      <c r="Y500">
        <f t="shared" si="54"/>
        <v>17179.078000000001</v>
      </c>
    </row>
    <row r="501" spans="1:25" x14ac:dyDescent="0.3">
      <c r="A501" t="s">
        <v>814</v>
      </c>
      <c r="B501" s="1">
        <v>45565</v>
      </c>
      <c r="C501" t="s">
        <v>287</v>
      </c>
      <c r="D501" t="s">
        <v>96</v>
      </c>
      <c r="E501" t="s">
        <v>97</v>
      </c>
      <c r="F501" t="s">
        <v>31</v>
      </c>
      <c r="G501" t="s">
        <v>81</v>
      </c>
      <c r="H501" t="s">
        <v>135</v>
      </c>
      <c r="I501">
        <v>5</v>
      </c>
      <c r="J501">
        <v>1170.3399999999999</v>
      </c>
      <c r="K501">
        <v>0.08</v>
      </c>
      <c r="L501">
        <v>5383.56</v>
      </c>
      <c r="M501" t="s">
        <v>76</v>
      </c>
      <c r="N501" t="s">
        <v>34</v>
      </c>
      <c r="O501" t="s">
        <v>65</v>
      </c>
      <c r="P501" t="s">
        <v>59</v>
      </c>
      <c r="Q501" t="str">
        <f t="shared" si="49"/>
        <v>Completed</v>
      </c>
      <c r="R501" t="str">
        <f t="shared" si="50"/>
        <v>Store</v>
      </c>
      <c r="S501" t="str">
        <v>Cash On Delivery</v>
      </c>
      <c r="T501" t="str">
        <v>Electronics</v>
      </c>
      <c r="U501" t="str">
        <f t="shared" si="51"/>
        <v>VALID</v>
      </c>
      <c r="V501" t="str">
        <f t="shared" si="52"/>
        <v>NORMAL</v>
      </c>
      <c r="W501" t="str">
        <f t="shared" si="53"/>
        <v>Valid</v>
      </c>
      <c r="X501">
        <f t="shared" si="55"/>
        <v>5851.7</v>
      </c>
      <c r="Y501">
        <f t="shared" si="54"/>
        <v>5383.5640000000003</v>
      </c>
    </row>
    <row r="502" spans="1:25" x14ac:dyDescent="0.3">
      <c r="A502" t="s">
        <v>815</v>
      </c>
      <c r="B502" s="1">
        <v>45403</v>
      </c>
      <c r="C502" t="s">
        <v>216</v>
      </c>
      <c r="D502" t="s">
        <v>89</v>
      </c>
      <c r="E502" t="s">
        <v>90</v>
      </c>
      <c r="F502" t="s">
        <v>20</v>
      </c>
      <c r="G502" t="s">
        <v>21</v>
      </c>
      <c r="H502" t="s">
        <v>126</v>
      </c>
      <c r="I502">
        <v>3</v>
      </c>
      <c r="J502">
        <v>698.77</v>
      </c>
      <c r="K502">
        <v>0.05</v>
      </c>
      <c r="L502">
        <v>1991.49</v>
      </c>
      <c r="M502" t="s">
        <v>23</v>
      </c>
      <c r="N502" t="s">
        <v>58</v>
      </c>
      <c r="O502" t="s">
        <v>35</v>
      </c>
      <c r="P502" t="s">
        <v>72</v>
      </c>
      <c r="Q502" t="str">
        <f t="shared" si="49"/>
        <v>Cancelled</v>
      </c>
      <c r="R502" t="str">
        <f t="shared" si="50"/>
        <v>Online</v>
      </c>
      <c r="S502" t="str">
        <v>Credit Card</v>
      </c>
      <c r="T502" t="str">
        <v>Accessories</v>
      </c>
      <c r="U502" t="str">
        <f t="shared" si="51"/>
        <v>VALID</v>
      </c>
      <c r="V502" t="str">
        <f t="shared" si="52"/>
        <v>NORMAL</v>
      </c>
      <c r="W502" t="str">
        <f t="shared" si="53"/>
        <v>Valid</v>
      </c>
      <c r="X502">
        <f t="shared" si="55"/>
        <v>2096.31</v>
      </c>
      <c r="Y502">
        <f t="shared" si="54"/>
        <v>1991.4945</v>
      </c>
    </row>
    <row r="503" spans="1:25" x14ac:dyDescent="0.3">
      <c r="A503" t="s">
        <v>816</v>
      </c>
      <c r="B503" s="1">
        <v>45384</v>
      </c>
      <c r="C503" t="s">
        <v>817</v>
      </c>
      <c r="D503" t="s">
        <v>38</v>
      </c>
      <c r="E503" t="s">
        <v>39</v>
      </c>
      <c r="F503" t="s">
        <v>40</v>
      </c>
      <c r="G503" t="s">
        <v>56</v>
      </c>
      <c r="H503" t="s">
        <v>64</v>
      </c>
      <c r="I503">
        <v>2</v>
      </c>
      <c r="J503">
        <v>1483</v>
      </c>
      <c r="K503">
        <v>0.08</v>
      </c>
      <c r="L503">
        <v>2728.72</v>
      </c>
      <c r="M503" t="s">
        <v>23</v>
      </c>
      <c r="N503" t="s">
        <v>49</v>
      </c>
      <c r="O503" t="s">
        <v>65</v>
      </c>
      <c r="P503" t="s">
        <v>72</v>
      </c>
      <c r="Q503" t="str">
        <f t="shared" si="49"/>
        <v>Completed</v>
      </c>
      <c r="R503" t="str">
        <f t="shared" si="50"/>
        <v>Online</v>
      </c>
      <c r="S503" t="str">
        <v>Net Banking</v>
      </c>
      <c r="T503" t="str">
        <v>Furniture</v>
      </c>
      <c r="U503" t="str">
        <f t="shared" si="51"/>
        <v>VALID</v>
      </c>
      <c r="V503" t="str">
        <f t="shared" si="52"/>
        <v>NORMAL</v>
      </c>
      <c r="W503" t="str">
        <f t="shared" si="53"/>
        <v>Valid</v>
      </c>
      <c r="X503">
        <f t="shared" si="55"/>
        <v>2966</v>
      </c>
      <c r="Y503">
        <f t="shared" si="54"/>
        <v>2728.72</v>
      </c>
    </row>
    <row r="504" spans="1:25" x14ac:dyDescent="0.3">
      <c r="A504" t="s">
        <v>818</v>
      </c>
      <c r="B504" s="1">
        <v>45305</v>
      </c>
      <c r="C504" t="s">
        <v>37</v>
      </c>
      <c r="D504" t="s">
        <v>53</v>
      </c>
      <c r="E504" t="s">
        <v>54</v>
      </c>
      <c r="F504" t="s">
        <v>55</v>
      </c>
      <c r="G504" t="s">
        <v>32</v>
      </c>
      <c r="H504" t="s">
        <v>47</v>
      </c>
      <c r="I504">
        <v>2</v>
      </c>
      <c r="J504">
        <v>209.05</v>
      </c>
      <c r="K504">
        <v>0</v>
      </c>
      <c r="L504">
        <v>418.1</v>
      </c>
      <c r="M504" t="s">
        <v>48</v>
      </c>
      <c r="N504" t="s">
        <v>58</v>
      </c>
      <c r="O504" t="s">
        <v>25</v>
      </c>
      <c r="P504" t="s">
        <v>42</v>
      </c>
      <c r="Q504" t="str">
        <f t="shared" si="49"/>
        <v>Returned</v>
      </c>
      <c r="R504" t="str">
        <f t="shared" si="50"/>
        <v>Marketplace</v>
      </c>
      <c r="S504" t="str">
        <v>Credit Card</v>
      </c>
      <c r="T504" t="str">
        <v>Stationery</v>
      </c>
      <c r="U504" t="str">
        <f t="shared" si="51"/>
        <v>VALID</v>
      </c>
      <c r="V504" t="str">
        <f t="shared" si="52"/>
        <v>NORMAL</v>
      </c>
      <c r="W504" t="str">
        <f t="shared" si="53"/>
        <v>Valid</v>
      </c>
      <c r="X504">
        <f t="shared" si="55"/>
        <v>418.1</v>
      </c>
      <c r="Y504">
        <f t="shared" si="54"/>
        <v>418.1</v>
      </c>
    </row>
    <row r="505" spans="1:25" x14ac:dyDescent="0.3">
      <c r="A505" t="s">
        <v>819</v>
      </c>
      <c r="B505" s="1">
        <v>45419</v>
      </c>
      <c r="C505" t="s">
        <v>424</v>
      </c>
      <c r="D505" t="s">
        <v>89</v>
      </c>
      <c r="E505" t="s">
        <v>90</v>
      </c>
      <c r="F505" t="s">
        <v>20</v>
      </c>
      <c r="G505" t="s">
        <v>32</v>
      </c>
      <c r="H505" t="s">
        <v>75</v>
      </c>
      <c r="I505">
        <v>2</v>
      </c>
      <c r="J505">
        <v>715.87</v>
      </c>
      <c r="K505">
        <v>0.1</v>
      </c>
      <c r="L505">
        <v>1288.57</v>
      </c>
      <c r="M505" t="s">
        <v>76</v>
      </c>
      <c r="N505" t="s">
        <v>49</v>
      </c>
      <c r="O505" t="s">
        <v>65</v>
      </c>
      <c r="P505" t="s">
        <v>111</v>
      </c>
      <c r="Q505" t="str">
        <f t="shared" si="49"/>
        <v>Completed</v>
      </c>
      <c r="R505" t="str">
        <f t="shared" si="50"/>
        <v>Store</v>
      </c>
      <c r="S505" t="str">
        <v>Net Banking</v>
      </c>
      <c r="T505" t="str">
        <v>Accessories</v>
      </c>
      <c r="U505" t="str">
        <f t="shared" si="51"/>
        <v>VALID</v>
      </c>
      <c r="V505" t="str">
        <f t="shared" si="52"/>
        <v>NORMAL</v>
      </c>
      <c r="W505" t="str">
        <f t="shared" si="53"/>
        <v>Valid</v>
      </c>
      <c r="X505">
        <f t="shared" si="55"/>
        <v>1431.74</v>
      </c>
      <c r="Y505">
        <f t="shared" si="54"/>
        <v>1288.566</v>
      </c>
    </row>
    <row r="506" spans="1:25" x14ac:dyDescent="0.3">
      <c r="A506" t="s">
        <v>820</v>
      </c>
      <c r="B506" s="1">
        <v>45455</v>
      </c>
      <c r="C506" t="s">
        <v>397</v>
      </c>
      <c r="D506" t="s">
        <v>53</v>
      </c>
      <c r="E506" t="s">
        <v>54</v>
      </c>
      <c r="F506" t="s">
        <v>55</v>
      </c>
      <c r="G506" t="s">
        <v>56</v>
      </c>
      <c r="H506" t="s">
        <v>101</v>
      </c>
      <c r="I506">
        <v>3</v>
      </c>
      <c r="J506">
        <v>206.11</v>
      </c>
      <c r="K506">
        <v>0</v>
      </c>
      <c r="L506">
        <v>618.33000000000004</v>
      </c>
      <c r="M506" t="s">
        <v>76</v>
      </c>
      <c r="N506" t="s">
        <v>24</v>
      </c>
      <c r="O506" t="s">
        <v>65</v>
      </c>
      <c r="P506" t="s">
        <v>72</v>
      </c>
      <c r="Q506" t="str">
        <f t="shared" si="49"/>
        <v>Completed</v>
      </c>
      <c r="R506" t="str">
        <f t="shared" si="50"/>
        <v>Store</v>
      </c>
      <c r="S506" t="str">
        <v>Debit Card</v>
      </c>
      <c r="T506" t="str">
        <v>Stationery</v>
      </c>
      <c r="U506" t="str">
        <f t="shared" si="51"/>
        <v>VALID</v>
      </c>
      <c r="V506" t="str">
        <f t="shared" si="52"/>
        <v>NORMAL</v>
      </c>
      <c r="W506" t="str">
        <f t="shared" si="53"/>
        <v>Valid</v>
      </c>
      <c r="X506">
        <f t="shared" si="55"/>
        <v>618.33000000000004</v>
      </c>
      <c r="Y506">
        <f t="shared" si="54"/>
        <v>618.33000000000004</v>
      </c>
    </row>
    <row r="507" spans="1:25" x14ac:dyDescent="0.3">
      <c r="A507" t="s">
        <v>821</v>
      </c>
      <c r="B507" s="1">
        <v>45543</v>
      </c>
      <c r="C507" t="s">
        <v>723</v>
      </c>
      <c r="D507" t="s">
        <v>96</v>
      </c>
      <c r="E507" t="s">
        <v>97</v>
      </c>
      <c r="F507" t="s">
        <v>31</v>
      </c>
      <c r="G507" t="s">
        <v>81</v>
      </c>
      <c r="H507" t="s">
        <v>82</v>
      </c>
      <c r="I507">
        <v>1</v>
      </c>
      <c r="J507">
        <v>1226.6400000000001</v>
      </c>
      <c r="K507">
        <v>0.03</v>
      </c>
      <c r="L507">
        <v>1189.8399999999999</v>
      </c>
      <c r="M507" t="s">
        <v>23</v>
      </c>
      <c r="N507" t="s">
        <v>24</v>
      </c>
      <c r="O507" t="s">
        <v>65</v>
      </c>
      <c r="P507" t="s">
        <v>72</v>
      </c>
      <c r="Q507" t="str">
        <f t="shared" si="49"/>
        <v>Completed</v>
      </c>
      <c r="R507" t="str">
        <f t="shared" si="50"/>
        <v>Online</v>
      </c>
      <c r="S507" t="str">
        <v>Debit Card</v>
      </c>
      <c r="T507" t="str">
        <v>Electronics</v>
      </c>
      <c r="U507" t="str">
        <f t="shared" si="51"/>
        <v>VALID</v>
      </c>
      <c r="V507" t="str">
        <f t="shared" si="52"/>
        <v>NORMAL</v>
      </c>
      <c r="W507" t="str">
        <f t="shared" si="53"/>
        <v>Valid</v>
      </c>
      <c r="X507">
        <f t="shared" si="55"/>
        <v>1226.6400000000001</v>
      </c>
      <c r="Y507">
        <f t="shared" si="54"/>
        <v>1189.8408000000002</v>
      </c>
    </row>
    <row r="508" spans="1:25" x14ac:dyDescent="0.3">
      <c r="A508" t="s">
        <v>822</v>
      </c>
      <c r="B508" s="1">
        <v>45412</v>
      </c>
      <c r="C508" t="s">
        <v>190</v>
      </c>
      <c r="D508" t="s">
        <v>121</v>
      </c>
      <c r="E508" t="s">
        <v>122</v>
      </c>
      <c r="F508" t="s">
        <v>55</v>
      </c>
      <c r="G508" t="s">
        <v>56</v>
      </c>
      <c r="H508" t="s">
        <v>101</v>
      </c>
      <c r="I508">
        <v>2</v>
      </c>
      <c r="J508">
        <v>455.69</v>
      </c>
      <c r="K508">
        <v>0.1</v>
      </c>
      <c r="L508">
        <v>820.24</v>
      </c>
      <c r="M508" t="s">
        <v>76</v>
      </c>
      <c r="N508" t="s">
        <v>58</v>
      </c>
      <c r="O508" t="s">
        <v>65</v>
      </c>
      <c r="P508" t="s">
        <v>72</v>
      </c>
      <c r="Q508" t="str">
        <f t="shared" si="49"/>
        <v>Completed</v>
      </c>
      <c r="R508" t="str">
        <f t="shared" si="50"/>
        <v>Store</v>
      </c>
      <c r="S508" t="str">
        <v>Credit Card</v>
      </c>
      <c r="T508" t="str">
        <v>Stationery</v>
      </c>
      <c r="U508" t="str">
        <f t="shared" si="51"/>
        <v>VALID</v>
      </c>
      <c r="V508" t="str">
        <f t="shared" si="52"/>
        <v>NORMAL</v>
      </c>
      <c r="W508" t="str">
        <f t="shared" si="53"/>
        <v>Valid</v>
      </c>
      <c r="X508">
        <f t="shared" si="55"/>
        <v>911.38</v>
      </c>
      <c r="Y508">
        <f t="shared" si="54"/>
        <v>820.24199999999996</v>
      </c>
    </row>
    <row r="509" spans="1:25" x14ac:dyDescent="0.3">
      <c r="A509" t="s">
        <v>823</v>
      </c>
      <c r="B509" s="1">
        <v>46173</v>
      </c>
      <c r="C509" t="s">
        <v>175</v>
      </c>
      <c r="D509" t="s">
        <v>105</v>
      </c>
      <c r="E509" t="s">
        <v>106</v>
      </c>
      <c r="F509" t="s">
        <v>40</v>
      </c>
      <c r="G509" t="s">
        <v>32</v>
      </c>
      <c r="H509" t="s">
        <v>68</v>
      </c>
      <c r="I509">
        <v>5</v>
      </c>
      <c r="J509">
        <v>7176.06</v>
      </c>
      <c r="K509">
        <v>0.08</v>
      </c>
      <c r="L509">
        <v>33009.879999999997</v>
      </c>
      <c r="M509" t="s">
        <v>23</v>
      </c>
      <c r="N509" t="s">
        <v>34</v>
      </c>
      <c r="O509" t="s">
        <v>65</v>
      </c>
      <c r="P509" t="s">
        <v>42</v>
      </c>
      <c r="Q509" t="str">
        <f t="shared" si="49"/>
        <v>Completed</v>
      </c>
      <c r="R509" t="str">
        <f t="shared" si="50"/>
        <v>Online</v>
      </c>
      <c r="S509" t="str">
        <v>Cash On Delivery</v>
      </c>
      <c r="T509" t="str">
        <v>Furniture</v>
      </c>
      <c r="U509" t="str">
        <f t="shared" si="51"/>
        <v>VALID</v>
      </c>
      <c r="V509" t="str">
        <f t="shared" si="52"/>
        <v>NORMAL</v>
      </c>
      <c r="W509" t="str">
        <f t="shared" si="53"/>
        <v>Valid</v>
      </c>
      <c r="X509">
        <f t="shared" si="55"/>
        <v>35880.300000000003</v>
      </c>
      <c r="Y509">
        <f t="shared" si="54"/>
        <v>33009.876000000004</v>
      </c>
    </row>
    <row r="510" spans="1:25" x14ac:dyDescent="0.3">
      <c r="A510" t="s">
        <v>824</v>
      </c>
      <c r="B510" s="1">
        <v>45698</v>
      </c>
      <c r="C510" t="s">
        <v>95</v>
      </c>
      <c r="D510" t="s">
        <v>79</v>
      </c>
      <c r="E510" t="s">
        <v>80</v>
      </c>
      <c r="F510" t="s">
        <v>31</v>
      </c>
      <c r="G510" t="s">
        <v>32</v>
      </c>
      <c r="H510" t="s">
        <v>47</v>
      </c>
      <c r="I510">
        <v>5</v>
      </c>
      <c r="J510">
        <v>11594.73</v>
      </c>
      <c r="K510">
        <v>0</v>
      </c>
      <c r="L510">
        <v>57973.65</v>
      </c>
      <c r="M510" t="s">
        <v>23</v>
      </c>
      <c r="N510" t="s">
        <v>58</v>
      </c>
      <c r="O510" t="s">
        <v>65</v>
      </c>
      <c r="P510" t="s">
        <v>59</v>
      </c>
      <c r="Q510" t="str">
        <f t="shared" si="49"/>
        <v>Completed</v>
      </c>
      <c r="R510" t="str">
        <f t="shared" si="50"/>
        <v>Online</v>
      </c>
      <c r="S510" t="str">
        <v>Credit Card</v>
      </c>
      <c r="T510" t="str">
        <v>Electronics</v>
      </c>
      <c r="U510" t="str">
        <f t="shared" si="51"/>
        <v>VALID</v>
      </c>
      <c r="V510" t="str">
        <f t="shared" si="52"/>
        <v>NORMAL</v>
      </c>
      <c r="W510" t="str">
        <f t="shared" si="53"/>
        <v>Valid</v>
      </c>
      <c r="X510">
        <f t="shared" si="55"/>
        <v>57973.649999999994</v>
      </c>
      <c r="Y510">
        <f t="shared" si="54"/>
        <v>57973.649999999994</v>
      </c>
    </row>
    <row r="511" spans="1:25" x14ac:dyDescent="0.3">
      <c r="A511" t="s">
        <v>825</v>
      </c>
      <c r="B511" s="1">
        <v>45838</v>
      </c>
      <c r="C511" t="s">
        <v>184</v>
      </c>
      <c r="D511" t="s">
        <v>131</v>
      </c>
      <c r="E511" t="s">
        <v>132</v>
      </c>
      <c r="F511" t="s">
        <v>40</v>
      </c>
      <c r="G511" t="s">
        <v>81</v>
      </c>
      <c r="H511" t="s">
        <v>82</v>
      </c>
      <c r="I511">
        <v>1</v>
      </c>
      <c r="J511">
        <v>10164.1</v>
      </c>
      <c r="K511">
        <v>0.2</v>
      </c>
      <c r="L511">
        <v>8131.28</v>
      </c>
      <c r="M511" t="s">
        <v>48</v>
      </c>
      <c r="N511" t="s">
        <v>49</v>
      </c>
      <c r="O511" t="s">
        <v>65</v>
      </c>
      <c r="P511" t="s">
        <v>42</v>
      </c>
      <c r="Q511" t="str">
        <f t="shared" si="49"/>
        <v>Completed</v>
      </c>
      <c r="R511" t="str">
        <f t="shared" si="50"/>
        <v>Marketplace</v>
      </c>
      <c r="S511" t="str">
        <v>Net Banking</v>
      </c>
      <c r="T511" t="str">
        <v>Furniture</v>
      </c>
      <c r="U511" t="str">
        <f t="shared" si="51"/>
        <v>VALID</v>
      </c>
      <c r="V511" t="str">
        <f t="shared" si="52"/>
        <v>NORMAL</v>
      </c>
      <c r="W511" t="str">
        <f t="shared" si="53"/>
        <v>Valid</v>
      </c>
      <c r="X511">
        <f t="shared" si="55"/>
        <v>10164.1</v>
      </c>
      <c r="Y511">
        <f t="shared" si="54"/>
        <v>8131.2800000000007</v>
      </c>
    </row>
    <row r="512" spans="1:25" x14ac:dyDescent="0.3">
      <c r="A512" t="s">
        <v>826</v>
      </c>
      <c r="B512" s="1">
        <v>45734</v>
      </c>
      <c r="C512" t="s">
        <v>291</v>
      </c>
      <c r="D512" t="s">
        <v>170</v>
      </c>
      <c r="E512" t="s">
        <v>171</v>
      </c>
      <c r="F512" t="s">
        <v>31</v>
      </c>
      <c r="G512" t="s">
        <v>81</v>
      </c>
      <c r="H512" t="s">
        <v>135</v>
      </c>
      <c r="I512">
        <v>4</v>
      </c>
      <c r="J512">
        <v>60689.8</v>
      </c>
      <c r="K512">
        <v>0.2</v>
      </c>
      <c r="L512">
        <v>194207.35999999999</v>
      </c>
      <c r="M512" t="s">
        <v>23</v>
      </c>
      <c r="N512" t="s">
        <v>58</v>
      </c>
      <c r="O512" t="s">
        <v>65</v>
      </c>
      <c r="P512" t="s">
        <v>102</v>
      </c>
      <c r="Q512" t="str">
        <f t="shared" si="49"/>
        <v>Completed</v>
      </c>
      <c r="R512" t="str">
        <f t="shared" si="50"/>
        <v>Online</v>
      </c>
      <c r="S512" t="str">
        <v>Credit Card</v>
      </c>
      <c r="T512" t="str">
        <v>Electronics</v>
      </c>
      <c r="U512" t="str">
        <f t="shared" si="51"/>
        <v>VALID</v>
      </c>
      <c r="V512" t="str">
        <f t="shared" si="52"/>
        <v>NORMAL</v>
      </c>
      <c r="W512" t="str">
        <f t="shared" si="53"/>
        <v>Valid</v>
      </c>
      <c r="X512">
        <f t="shared" si="55"/>
        <v>242759.2</v>
      </c>
      <c r="Y512">
        <f t="shared" si="54"/>
        <v>194207.36000000002</v>
      </c>
    </row>
    <row r="513" spans="1:25" x14ac:dyDescent="0.3">
      <c r="A513" t="s">
        <v>827</v>
      </c>
      <c r="B513" s="1">
        <v>45687</v>
      </c>
      <c r="C513" t="s">
        <v>828</v>
      </c>
      <c r="D513" t="s">
        <v>18</v>
      </c>
      <c r="E513" t="s">
        <v>19</v>
      </c>
      <c r="F513" t="s">
        <v>20</v>
      </c>
      <c r="G513" t="s">
        <v>21</v>
      </c>
      <c r="H513" t="s">
        <v>41</v>
      </c>
      <c r="I513">
        <v>1</v>
      </c>
      <c r="J513">
        <v>864.19</v>
      </c>
      <c r="K513">
        <v>0.15</v>
      </c>
      <c r="L513">
        <v>734.56</v>
      </c>
      <c r="M513" t="s">
        <v>48</v>
      </c>
      <c r="N513" t="s">
        <v>24</v>
      </c>
      <c r="O513" t="s">
        <v>65</v>
      </c>
      <c r="P513" t="s">
        <v>111</v>
      </c>
      <c r="Q513" t="str">
        <f t="shared" si="49"/>
        <v>Completed</v>
      </c>
      <c r="R513" t="str">
        <f t="shared" si="50"/>
        <v>Marketplace</v>
      </c>
      <c r="S513" t="str">
        <v>Debit Card</v>
      </c>
      <c r="T513" t="str">
        <v>Accessories</v>
      </c>
      <c r="U513" t="str">
        <f t="shared" si="51"/>
        <v>VALID</v>
      </c>
      <c r="V513" t="str">
        <f t="shared" si="52"/>
        <v>NORMAL</v>
      </c>
      <c r="W513" t="str">
        <f t="shared" si="53"/>
        <v>Valid</v>
      </c>
      <c r="X513">
        <f t="shared" si="55"/>
        <v>864.19</v>
      </c>
      <c r="Y513">
        <f t="shared" si="54"/>
        <v>734.56150000000002</v>
      </c>
    </row>
    <row r="514" spans="1:25" x14ac:dyDescent="0.3">
      <c r="A514" t="s">
        <v>829</v>
      </c>
      <c r="B514" s="1">
        <v>46101</v>
      </c>
      <c r="C514" t="s">
        <v>466</v>
      </c>
      <c r="D514" t="s">
        <v>53</v>
      </c>
      <c r="E514" t="s">
        <v>54</v>
      </c>
      <c r="F514" t="s">
        <v>55</v>
      </c>
      <c r="G514" t="s">
        <v>21</v>
      </c>
      <c r="H514" t="s">
        <v>126</v>
      </c>
      <c r="I514">
        <v>2</v>
      </c>
      <c r="J514">
        <v>212.08</v>
      </c>
      <c r="K514">
        <v>0</v>
      </c>
      <c r="L514">
        <v>424.16</v>
      </c>
      <c r="M514" t="s">
        <v>23</v>
      </c>
      <c r="N514" t="s">
        <v>71</v>
      </c>
      <c r="O514" t="s">
        <v>65</v>
      </c>
      <c r="P514" t="s">
        <v>59</v>
      </c>
      <c r="Q514" t="str">
        <f t="shared" si="49"/>
        <v>Completed</v>
      </c>
      <c r="R514" t="str">
        <f t="shared" si="50"/>
        <v>Online</v>
      </c>
      <c r="S514" t="str">
        <v>Upi</v>
      </c>
      <c r="T514" t="str">
        <v>Stationery</v>
      </c>
      <c r="U514" t="str">
        <f t="shared" si="51"/>
        <v>VALID</v>
      </c>
      <c r="V514" t="str">
        <f t="shared" si="52"/>
        <v>NORMAL</v>
      </c>
      <c r="W514" t="str">
        <f t="shared" si="53"/>
        <v>Valid</v>
      </c>
      <c r="X514">
        <f t="shared" si="55"/>
        <v>424.16</v>
      </c>
      <c r="Y514">
        <f t="shared" si="54"/>
        <v>424.16</v>
      </c>
    </row>
    <row r="515" spans="1:25" x14ac:dyDescent="0.3">
      <c r="A515" t="s">
        <v>830</v>
      </c>
      <c r="B515" s="1">
        <v>45626</v>
      </c>
      <c r="C515" t="s">
        <v>556</v>
      </c>
      <c r="D515" t="s">
        <v>45</v>
      </c>
      <c r="E515" t="s">
        <v>46</v>
      </c>
      <c r="F515" t="s">
        <v>31</v>
      </c>
      <c r="G515" t="s">
        <v>56</v>
      </c>
      <c r="H515" t="s">
        <v>123</v>
      </c>
      <c r="I515">
        <v>2</v>
      </c>
      <c r="J515">
        <v>1910.34</v>
      </c>
      <c r="K515">
        <v>0.08</v>
      </c>
      <c r="L515">
        <v>3515.03</v>
      </c>
      <c r="M515" t="s">
        <v>48</v>
      </c>
      <c r="N515" t="s">
        <v>24</v>
      </c>
      <c r="O515" t="s">
        <v>65</v>
      </c>
      <c r="P515" t="s">
        <v>42</v>
      </c>
      <c r="Q515" t="str">
        <f t="shared" ref="Q515:Q578" si="56">PROPER(O515)</f>
        <v>Completed</v>
      </c>
      <c r="R515" t="str">
        <f t="shared" ref="R515:R578" si="57">PROPER(M515)</f>
        <v>Marketplace</v>
      </c>
      <c r="S515" t="str">
        <v>Debit Card</v>
      </c>
      <c r="T515" t="str">
        <v>Electronics</v>
      </c>
      <c r="U515" t="str">
        <f t="shared" ref="U515:U578" si="58">IF(I515&lt;=0,"INVALID","VALID")</f>
        <v>VALID</v>
      </c>
      <c r="V515" t="str">
        <f t="shared" ref="V515:V578" si="59">IF(I515&gt;100,"REVIEW","NORMAL")</f>
        <v>NORMAL</v>
      </c>
      <c r="W515" t="str">
        <f t="shared" ref="W515:W578" si="60">IF(OR(K515&lt;0,K515&gt;1),"Invalid","Valid")</f>
        <v>Valid</v>
      </c>
      <c r="X515">
        <f t="shared" si="55"/>
        <v>3820.68</v>
      </c>
      <c r="Y515">
        <f t="shared" ref="Y515:Y578" si="61">I515*J515-(I515*J515*K515)</f>
        <v>3515.0255999999999</v>
      </c>
    </row>
    <row r="516" spans="1:25" x14ac:dyDescent="0.3">
      <c r="A516" t="s">
        <v>831</v>
      </c>
      <c r="B516" s="1">
        <v>45968</v>
      </c>
      <c r="C516" t="s">
        <v>291</v>
      </c>
      <c r="D516" t="s">
        <v>38</v>
      </c>
      <c r="E516" t="s">
        <v>39</v>
      </c>
      <c r="F516" t="s">
        <v>40</v>
      </c>
      <c r="G516" t="s">
        <v>56</v>
      </c>
      <c r="H516" t="s">
        <v>123</v>
      </c>
      <c r="I516">
        <v>1</v>
      </c>
      <c r="J516">
        <v>1600.77</v>
      </c>
      <c r="K516">
        <v>0.03</v>
      </c>
      <c r="L516">
        <v>1552.75</v>
      </c>
      <c r="M516" t="s">
        <v>48</v>
      </c>
      <c r="N516" t="s">
        <v>34</v>
      </c>
      <c r="O516" t="s">
        <v>35</v>
      </c>
      <c r="P516" t="s">
        <v>50</v>
      </c>
      <c r="Q516" t="str">
        <f t="shared" si="56"/>
        <v>Cancelled</v>
      </c>
      <c r="R516" t="str">
        <f t="shared" si="57"/>
        <v>Marketplace</v>
      </c>
      <c r="S516" t="str">
        <v>Cash On Delivery</v>
      </c>
      <c r="T516" t="str">
        <v>Furniture</v>
      </c>
      <c r="U516" t="str">
        <f t="shared" si="58"/>
        <v>VALID</v>
      </c>
      <c r="V516" t="str">
        <f t="shared" si="59"/>
        <v>NORMAL</v>
      </c>
      <c r="W516" t="str">
        <f t="shared" si="60"/>
        <v>Valid</v>
      </c>
      <c r="X516">
        <f t="shared" ref="X516:X579" si="62">I516*J516</f>
        <v>1600.77</v>
      </c>
      <c r="Y516">
        <f t="shared" si="61"/>
        <v>1552.7469000000001</v>
      </c>
    </row>
    <row r="517" spans="1:25" x14ac:dyDescent="0.3">
      <c r="A517" t="s">
        <v>832</v>
      </c>
      <c r="B517" s="1">
        <v>45829</v>
      </c>
      <c r="C517" t="s">
        <v>169</v>
      </c>
      <c r="D517" t="s">
        <v>62</v>
      </c>
      <c r="E517" t="s">
        <v>63</v>
      </c>
      <c r="F517" t="s">
        <v>31</v>
      </c>
      <c r="G517" t="s">
        <v>32</v>
      </c>
      <c r="H517" t="s">
        <v>68</v>
      </c>
      <c r="I517">
        <v>2</v>
      </c>
      <c r="J517">
        <v>2590.7199999999998</v>
      </c>
      <c r="K517">
        <v>0.05</v>
      </c>
      <c r="L517">
        <v>4922.37</v>
      </c>
      <c r="M517" t="s">
        <v>48</v>
      </c>
      <c r="N517" t="s">
        <v>71</v>
      </c>
      <c r="O517" t="s">
        <v>65</v>
      </c>
      <c r="P517" t="s">
        <v>42</v>
      </c>
      <c r="Q517" t="str">
        <f t="shared" si="56"/>
        <v>Completed</v>
      </c>
      <c r="R517" t="str">
        <f t="shared" si="57"/>
        <v>Marketplace</v>
      </c>
      <c r="S517" t="str">
        <v>Upi</v>
      </c>
      <c r="T517" t="str">
        <v>Electronics</v>
      </c>
      <c r="U517" t="str">
        <f t="shared" si="58"/>
        <v>VALID</v>
      </c>
      <c r="V517" t="str">
        <f t="shared" si="59"/>
        <v>NORMAL</v>
      </c>
      <c r="W517" t="str">
        <f t="shared" si="60"/>
        <v>Valid</v>
      </c>
      <c r="X517">
        <f t="shared" si="62"/>
        <v>5181.4399999999996</v>
      </c>
      <c r="Y517">
        <f t="shared" si="61"/>
        <v>4922.3679999999995</v>
      </c>
    </row>
    <row r="518" spans="1:25" x14ac:dyDescent="0.3">
      <c r="A518" t="s">
        <v>833</v>
      </c>
      <c r="B518" s="1">
        <v>45474</v>
      </c>
      <c r="C518" t="s">
        <v>570</v>
      </c>
      <c r="D518" t="s">
        <v>53</v>
      </c>
      <c r="E518" t="s">
        <v>54</v>
      </c>
      <c r="F518" t="s">
        <v>55</v>
      </c>
      <c r="G518" t="s">
        <v>56</v>
      </c>
      <c r="H518" t="s">
        <v>101</v>
      </c>
      <c r="I518">
        <v>2</v>
      </c>
      <c r="J518">
        <v>219.32</v>
      </c>
      <c r="K518">
        <v>0.08</v>
      </c>
      <c r="L518">
        <v>403.55</v>
      </c>
      <c r="M518" t="s">
        <v>48</v>
      </c>
      <c r="O518" t="s">
        <v>35</v>
      </c>
      <c r="P518" t="s">
        <v>111</v>
      </c>
      <c r="Q518" t="str">
        <f t="shared" si="56"/>
        <v>Cancelled</v>
      </c>
      <c r="R518" t="str">
        <f t="shared" si="57"/>
        <v>Marketplace</v>
      </c>
      <c r="S518" t="str">
        <v/>
      </c>
      <c r="T518" t="str">
        <v>Stationery</v>
      </c>
      <c r="U518" t="str">
        <f t="shared" si="58"/>
        <v>VALID</v>
      </c>
      <c r="V518" t="str">
        <f t="shared" si="59"/>
        <v>NORMAL</v>
      </c>
      <c r="W518" t="str">
        <f t="shared" si="60"/>
        <v>Valid</v>
      </c>
      <c r="X518">
        <f t="shared" si="62"/>
        <v>438.64</v>
      </c>
      <c r="Y518">
        <f t="shared" si="61"/>
        <v>403.54879999999997</v>
      </c>
    </row>
    <row r="519" spans="1:25" x14ac:dyDescent="0.3">
      <c r="A519" t="s">
        <v>834</v>
      </c>
      <c r="B519" s="1">
        <v>45582</v>
      </c>
      <c r="C519" t="s">
        <v>587</v>
      </c>
      <c r="D519" t="s">
        <v>45</v>
      </c>
      <c r="E519" t="s">
        <v>46</v>
      </c>
      <c r="F519" t="s">
        <v>31</v>
      </c>
      <c r="G519" t="s">
        <v>56</v>
      </c>
      <c r="H519" t="s">
        <v>123</v>
      </c>
      <c r="I519">
        <v>2</v>
      </c>
      <c r="J519">
        <v>1827.77</v>
      </c>
      <c r="K519">
        <v>0.1</v>
      </c>
      <c r="L519">
        <v>3289.99</v>
      </c>
      <c r="M519" t="s">
        <v>48</v>
      </c>
      <c r="N519" t="s">
        <v>58</v>
      </c>
      <c r="O519" t="s">
        <v>65</v>
      </c>
      <c r="P519" t="s">
        <v>26</v>
      </c>
      <c r="Q519" t="str">
        <f t="shared" si="56"/>
        <v>Completed</v>
      </c>
      <c r="R519" t="str">
        <f t="shared" si="57"/>
        <v>Marketplace</v>
      </c>
      <c r="S519" t="str">
        <v>Credit Card</v>
      </c>
      <c r="T519" t="str">
        <v>Electronics</v>
      </c>
      <c r="U519" t="str">
        <f t="shared" si="58"/>
        <v>VALID</v>
      </c>
      <c r="V519" t="str">
        <f t="shared" si="59"/>
        <v>NORMAL</v>
      </c>
      <c r="W519" t="str">
        <f t="shared" si="60"/>
        <v>Valid</v>
      </c>
      <c r="X519">
        <f t="shared" si="62"/>
        <v>3655.54</v>
      </c>
      <c r="Y519">
        <f t="shared" si="61"/>
        <v>3289.9859999999999</v>
      </c>
    </row>
    <row r="520" spans="1:25" x14ac:dyDescent="0.3">
      <c r="A520" t="s">
        <v>835</v>
      </c>
      <c r="B520" s="1">
        <v>45592</v>
      </c>
      <c r="C520" t="s">
        <v>836</v>
      </c>
      <c r="D520" t="s">
        <v>176</v>
      </c>
      <c r="E520" t="s">
        <v>177</v>
      </c>
      <c r="F520" t="s">
        <v>31</v>
      </c>
      <c r="G520" t="s">
        <v>56</v>
      </c>
      <c r="H520" t="s">
        <v>101</v>
      </c>
      <c r="I520">
        <v>1</v>
      </c>
      <c r="J520">
        <v>2338.23</v>
      </c>
      <c r="K520">
        <v>0.05</v>
      </c>
      <c r="L520">
        <v>2221.3200000000002</v>
      </c>
      <c r="M520" t="s">
        <v>23</v>
      </c>
      <c r="N520" t="s">
        <v>34</v>
      </c>
      <c r="O520" t="s">
        <v>25</v>
      </c>
      <c r="P520" t="s">
        <v>72</v>
      </c>
      <c r="Q520" t="str">
        <f t="shared" si="56"/>
        <v>Returned</v>
      </c>
      <c r="R520" t="str">
        <f t="shared" si="57"/>
        <v>Online</v>
      </c>
      <c r="S520" t="str">
        <v>Cash On Delivery</v>
      </c>
      <c r="T520" t="str">
        <v>Electronics</v>
      </c>
      <c r="U520" t="str">
        <f t="shared" si="58"/>
        <v>VALID</v>
      </c>
      <c r="V520" t="str">
        <f t="shared" si="59"/>
        <v>NORMAL</v>
      </c>
      <c r="W520" t="str">
        <f t="shared" si="60"/>
        <v>Valid</v>
      </c>
      <c r="X520">
        <f t="shared" si="62"/>
        <v>2338.23</v>
      </c>
      <c r="Y520">
        <f t="shared" si="61"/>
        <v>2221.3184999999999</v>
      </c>
    </row>
    <row r="521" spans="1:25" x14ac:dyDescent="0.3">
      <c r="A521" t="s">
        <v>837</v>
      </c>
      <c r="B521" s="1">
        <v>45440</v>
      </c>
      <c r="C521" t="s">
        <v>115</v>
      </c>
      <c r="D521" t="s">
        <v>105</v>
      </c>
      <c r="E521" t="s">
        <v>106</v>
      </c>
      <c r="F521" t="s">
        <v>40</v>
      </c>
      <c r="G521" t="s">
        <v>21</v>
      </c>
      <c r="H521" t="s">
        <v>41</v>
      </c>
      <c r="I521">
        <v>4</v>
      </c>
      <c r="J521">
        <v>6635.67</v>
      </c>
      <c r="K521">
        <v>0.05</v>
      </c>
      <c r="L521">
        <v>25215.55</v>
      </c>
      <c r="M521" t="s">
        <v>76</v>
      </c>
      <c r="N521" t="s">
        <v>24</v>
      </c>
      <c r="O521" t="s">
        <v>65</v>
      </c>
      <c r="P521" t="s">
        <v>102</v>
      </c>
      <c r="Q521" t="str">
        <f t="shared" si="56"/>
        <v>Completed</v>
      </c>
      <c r="R521" t="str">
        <f t="shared" si="57"/>
        <v>Store</v>
      </c>
      <c r="S521" t="str">
        <v>Debit Card</v>
      </c>
      <c r="T521" t="str">
        <v>Furniture</v>
      </c>
      <c r="U521" t="str">
        <f t="shared" si="58"/>
        <v>VALID</v>
      </c>
      <c r="V521" t="str">
        <f t="shared" si="59"/>
        <v>NORMAL</v>
      </c>
      <c r="W521" t="str">
        <f t="shared" si="60"/>
        <v>Valid</v>
      </c>
      <c r="X521">
        <f t="shared" si="62"/>
        <v>26542.68</v>
      </c>
      <c r="Y521">
        <f t="shared" si="61"/>
        <v>25215.546000000002</v>
      </c>
    </row>
    <row r="522" spans="1:25" x14ac:dyDescent="0.3">
      <c r="A522" t="s">
        <v>838</v>
      </c>
      <c r="B522" s="1">
        <v>45322</v>
      </c>
      <c r="C522" t="s">
        <v>839</v>
      </c>
      <c r="D522" t="s">
        <v>131</v>
      </c>
      <c r="E522" t="s">
        <v>132</v>
      </c>
      <c r="F522" t="s">
        <v>40</v>
      </c>
      <c r="G522" t="s">
        <v>81</v>
      </c>
      <c r="H522" t="s">
        <v>82</v>
      </c>
      <c r="I522">
        <v>5</v>
      </c>
      <c r="J522">
        <v>9586.39</v>
      </c>
      <c r="K522">
        <v>0.08</v>
      </c>
      <c r="L522">
        <v>44097.39</v>
      </c>
      <c r="M522" t="s">
        <v>23</v>
      </c>
      <c r="N522" t="s">
        <v>24</v>
      </c>
      <c r="O522" t="s">
        <v>35</v>
      </c>
      <c r="P522" t="s">
        <v>102</v>
      </c>
      <c r="Q522" t="str">
        <f t="shared" si="56"/>
        <v>Cancelled</v>
      </c>
      <c r="R522" t="str">
        <f t="shared" si="57"/>
        <v>Online</v>
      </c>
      <c r="S522" t="str">
        <v>Debit Card</v>
      </c>
      <c r="T522" t="str">
        <v>Furniture</v>
      </c>
      <c r="U522" t="str">
        <f t="shared" si="58"/>
        <v>VALID</v>
      </c>
      <c r="V522" t="str">
        <f t="shared" si="59"/>
        <v>NORMAL</v>
      </c>
      <c r="W522" t="str">
        <f t="shared" si="60"/>
        <v>Valid</v>
      </c>
      <c r="X522">
        <f t="shared" si="62"/>
        <v>47931.95</v>
      </c>
      <c r="Y522">
        <f t="shared" si="61"/>
        <v>44097.394</v>
      </c>
    </row>
    <row r="523" spans="1:25" x14ac:dyDescent="0.3">
      <c r="A523" t="s">
        <v>840</v>
      </c>
      <c r="B523" s="1">
        <v>45792</v>
      </c>
      <c r="C523" t="s">
        <v>206</v>
      </c>
      <c r="D523" t="s">
        <v>89</v>
      </c>
      <c r="E523" t="s">
        <v>90</v>
      </c>
      <c r="F523" t="s">
        <v>20</v>
      </c>
      <c r="G523" t="s">
        <v>32</v>
      </c>
      <c r="H523" t="s">
        <v>68</v>
      </c>
      <c r="I523">
        <v>3</v>
      </c>
      <c r="J523">
        <v>674.07</v>
      </c>
      <c r="K523">
        <v>0.08</v>
      </c>
      <c r="L523">
        <v>1860.43</v>
      </c>
      <c r="M523" t="s">
        <v>76</v>
      </c>
      <c r="N523" t="s">
        <v>49</v>
      </c>
      <c r="O523" t="s">
        <v>65</v>
      </c>
      <c r="P523" t="s">
        <v>102</v>
      </c>
      <c r="Q523" t="str">
        <f t="shared" si="56"/>
        <v>Completed</v>
      </c>
      <c r="R523" t="str">
        <f t="shared" si="57"/>
        <v>Store</v>
      </c>
      <c r="S523" t="str">
        <v>Net Banking</v>
      </c>
      <c r="T523" t="str">
        <v>Accessories</v>
      </c>
      <c r="U523" t="str">
        <f t="shared" si="58"/>
        <v>VALID</v>
      </c>
      <c r="V523" t="str">
        <f t="shared" si="59"/>
        <v>NORMAL</v>
      </c>
      <c r="W523" t="str">
        <f t="shared" si="60"/>
        <v>Valid</v>
      </c>
      <c r="X523">
        <f t="shared" si="62"/>
        <v>2022.21</v>
      </c>
      <c r="Y523">
        <f t="shared" si="61"/>
        <v>1860.4331999999999</v>
      </c>
    </row>
    <row r="524" spans="1:25" x14ac:dyDescent="0.3">
      <c r="A524" t="s">
        <v>841</v>
      </c>
      <c r="B524" s="1">
        <v>45884</v>
      </c>
      <c r="C524" t="s">
        <v>599</v>
      </c>
      <c r="D524" t="s">
        <v>170</v>
      </c>
      <c r="E524" t="s">
        <v>171</v>
      </c>
      <c r="F524" t="s">
        <v>31</v>
      </c>
      <c r="G524" t="s">
        <v>81</v>
      </c>
      <c r="H524" t="s">
        <v>82</v>
      </c>
      <c r="I524">
        <v>4</v>
      </c>
      <c r="J524">
        <v>60577.73</v>
      </c>
      <c r="K524">
        <v>0.2</v>
      </c>
      <c r="L524">
        <v>193848.74</v>
      </c>
      <c r="M524" t="s">
        <v>23</v>
      </c>
      <c r="N524" t="s">
        <v>71</v>
      </c>
      <c r="O524" t="s">
        <v>35</v>
      </c>
      <c r="P524" t="s">
        <v>59</v>
      </c>
      <c r="Q524" t="str">
        <f t="shared" si="56"/>
        <v>Cancelled</v>
      </c>
      <c r="R524" t="str">
        <f t="shared" si="57"/>
        <v>Online</v>
      </c>
      <c r="S524" t="str">
        <v>Upi</v>
      </c>
      <c r="T524" t="str">
        <v>Electronics</v>
      </c>
      <c r="U524" t="str">
        <f t="shared" si="58"/>
        <v>VALID</v>
      </c>
      <c r="V524" t="str">
        <f t="shared" si="59"/>
        <v>NORMAL</v>
      </c>
      <c r="W524" t="str">
        <f t="shared" si="60"/>
        <v>Valid</v>
      </c>
      <c r="X524">
        <f t="shared" si="62"/>
        <v>242310.92</v>
      </c>
      <c r="Y524">
        <f t="shared" si="61"/>
        <v>193848.736</v>
      </c>
    </row>
    <row r="525" spans="1:25" x14ac:dyDescent="0.3">
      <c r="A525" t="s">
        <v>842</v>
      </c>
      <c r="B525" s="1">
        <v>45882</v>
      </c>
      <c r="C525" t="s">
        <v>623</v>
      </c>
      <c r="D525" t="s">
        <v>38</v>
      </c>
      <c r="E525" t="s">
        <v>39</v>
      </c>
      <c r="F525" t="s">
        <v>40</v>
      </c>
      <c r="G525" t="s">
        <v>81</v>
      </c>
      <c r="H525" t="s">
        <v>135</v>
      </c>
      <c r="I525">
        <v>3</v>
      </c>
      <c r="J525">
        <v>1606</v>
      </c>
      <c r="K525">
        <v>0.15</v>
      </c>
      <c r="L525">
        <v>4095.3</v>
      </c>
      <c r="M525" t="s">
        <v>23</v>
      </c>
      <c r="N525" t="s">
        <v>34</v>
      </c>
      <c r="O525" t="s">
        <v>35</v>
      </c>
      <c r="P525" t="s">
        <v>111</v>
      </c>
      <c r="Q525" t="str">
        <f t="shared" si="56"/>
        <v>Cancelled</v>
      </c>
      <c r="R525" t="str">
        <f t="shared" si="57"/>
        <v>Online</v>
      </c>
      <c r="S525" t="str">
        <v>Cash On Delivery</v>
      </c>
      <c r="T525" t="str">
        <v>Furniture</v>
      </c>
      <c r="U525" t="str">
        <f t="shared" si="58"/>
        <v>VALID</v>
      </c>
      <c r="V525" t="str">
        <f t="shared" si="59"/>
        <v>NORMAL</v>
      </c>
      <c r="W525" t="str">
        <f t="shared" si="60"/>
        <v>Valid</v>
      </c>
      <c r="X525">
        <f t="shared" si="62"/>
        <v>4818</v>
      </c>
      <c r="Y525">
        <f t="shared" si="61"/>
        <v>4095.3</v>
      </c>
    </row>
    <row r="526" spans="1:25" x14ac:dyDescent="0.3">
      <c r="A526" t="s">
        <v>843</v>
      </c>
      <c r="B526" s="1">
        <v>45668</v>
      </c>
      <c r="C526" t="s">
        <v>264</v>
      </c>
      <c r="D526" t="s">
        <v>53</v>
      </c>
      <c r="E526" t="s">
        <v>54</v>
      </c>
      <c r="F526" t="s">
        <v>55</v>
      </c>
      <c r="G526" t="s">
        <v>56</v>
      </c>
      <c r="H526" t="s">
        <v>57</v>
      </c>
      <c r="I526">
        <v>2</v>
      </c>
      <c r="J526">
        <v>205.95</v>
      </c>
      <c r="K526">
        <v>1.25</v>
      </c>
      <c r="L526">
        <v>329.52</v>
      </c>
      <c r="M526" t="s">
        <v>76</v>
      </c>
      <c r="N526" t="s">
        <v>34</v>
      </c>
      <c r="O526" t="s">
        <v>65</v>
      </c>
      <c r="P526" t="s">
        <v>116</v>
      </c>
      <c r="Q526" t="str">
        <f t="shared" si="56"/>
        <v>Completed</v>
      </c>
      <c r="R526" t="str">
        <f t="shared" si="57"/>
        <v>Store</v>
      </c>
      <c r="S526" t="str">
        <v>Cash On Delivery</v>
      </c>
      <c r="T526" t="str">
        <v>Stationery</v>
      </c>
      <c r="U526" t="str">
        <f t="shared" si="58"/>
        <v>VALID</v>
      </c>
      <c r="V526" t="str">
        <f t="shared" si="59"/>
        <v>NORMAL</v>
      </c>
      <c r="W526" t="str">
        <f t="shared" si="60"/>
        <v>Invalid</v>
      </c>
      <c r="X526">
        <f t="shared" si="62"/>
        <v>411.9</v>
      </c>
      <c r="Y526">
        <f t="shared" si="61"/>
        <v>-102.97500000000002</v>
      </c>
    </row>
    <row r="527" spans="1:25" x14ac:dyDescent="0.3">
      <c r="A527" t="s">
        <v>844</v>
      </c>
      <c r="B527" s="1">
        <v>45758</v>
      </c>
      <c r="C527" t="s">
        <v>845</v>
      </c>
      <c r="D527" t="s">
        <v>85</v>
      </c>
      <c r="E527" t="s">
        <v>86</v>
      </c>
      <c r="F527" t="s">
        <v>20</v>
      </c>
      <c r="G527" t="s">
        <v>81</v>
      </c>
      <c r="H527" t="s">
        <v>82</v>
      </c>
      <c r="I527">
        <v>3</v>
      </c>
      <c r="J527">
        <v>1722.84</v>
      </c>
      <c r="K527">
        <v>0.05</v>
      </c>
      <c r="L527">
        <v>4910.09</v>
      </c>
      <c r="M527" t="s">
        <v>23</v>
      </c>
      <c r="N527" t="s">
        <v>49</v>
      </c>
      <c r="O527" t="s">
        <v>35</v>
      </c>
      <c r="P527" t="s">
        <v>72</v>
      </c>
      <c r="Q527" t="str">
        <f t="shared" si="56"/>
        <v>Cancelled</v>
      </c>
      <c r="R527" t="str">
        <f t="shared" si="57"/>
        <v>Online</v>
      </c>
      <c r="S527" t="str">
        <v>Net Banking</v>
      </c>
      <c r="T527" t="str">
        <v>Accessories</v>
      </c>
      <c r="U527" t="str">
        <f t="shared" si="58"/>
        <v>VALID</v>
      </c>
      <c r="V527" t="str">
        <f t="shared" si="59"/>
        <v>NORMAL</v>
      </c>
      <c r="W527" t="str">
        <f t="shared" si="60"/>
        <v>Valid</v>
      </c>
      <c r="X527">
        <f t="shared" si="62"/>
        <v>5168.5199999999995</v>
      </c>
      <c r="Y527">
        <f t="shared" si="61"/>
        <v>4910.0939999999991</v>
      </c>
    </row>
    <row r="528" spans="1:25" x14ac:dyDescent="0.3">
      <c r="A528" t="s">
        <v>846</v>
      </c>
      <c r="B528" s="1">
        <v>45351</v>
      </c>
      <c r="C528" t="s">
        <v>257</v>
      </c>
      <c r="D528" t="s">
        <v>38</v>
      </c>
      <c r="E528" t="s">
        <v>39</v>
      </c>
      <c r="F528" t="s">
        <v>40</v>
      </c>
      <c r="G528" t="s">
        <v>56</v>
      </c>
      <c r="H528" t="s">
        <v>64</v>
      </c>
      <c r="I528">
        <v>5</v>
      </c>
      <c r="J528">
        <v>1640.71</v>
      </c>
      <c r="K528">
        <v>0.08</v>
      </c>
      <c r="L528">
        <v>7547.27</v>
      </c>
      <c r="M528" t="s">
        <v>76</v>
      </c>
      <c r="N528" t="s">
        <v>58</v>
      </c>
      <c r="O528" t="s">
        <v>65</v>
      </c>
      <c r="P528" t="s">
        <v>42</v>
      </c>
      <c r="Q528" t="str">
        <f t="shared" si="56"/>
        <v>Completed</v>
      </c>
      <c r="R528" t="str">
        <f t="shared" si="57"/>
        <v>Store</v>
      </c>
      <c r="S528" t="str">
        <v>Credit Card</v>
      </c>
      <c r="T528" t="str">
        <v>Furniture</v>
      </c>
      <c r="U528" t="str">
        <f t="shared" si="58"/>
        <v>VALID</v>
      </c>
      <c r="V528" t="str">
        <f t="shared" si="59"/>
        <v>NORMAL</v>
      </c>
      <c r="W528" t="str">
        <f t="shared" si="60"/>
        <v>Valid</v>
      </c>
      <c r="X528">
        <f t="shared" si="62"/>
        <v>8203.5499999999993</v>
      </c>
      <c r="Y528">
        <f t="shared" si="61"/>
        <v>7547.2659999999996</v>
      </c>
    </row>
    <row r="529" spans="1:25" x14ac:dyDescent="0.3">
      <c r="A529" t="s">
        <v>847</v>
      </c>
      <c r="B529" s="1">
        <v>45774</v>
      </c>
      <c r="C529" t="s">
        <v>848</v>
      </c>
      <c r="D529" t="s">
        <v>29</v>
      </c>
      <c r="E529" t="s">
        <v>30</v>
      </c>
      <c r="F529" t="s">
        <v>31</v>
      </c>
      <c r="G529" t="s">
        <v>81</v>
      </c>
      <c r="H529" t="s">
        <v>135</v>
      </c>
      <c r="I529">
        <v>5</v>
      </c>
      <c r="J529">
        <v>3417.24</v>
      </c>
      <c r="K529">
        <v>0.2</v>
      </c>
      <c r="L529">
        <v>13668.96</v>
      </c>
      <c r="M529" t="s">
        <v>48</v>
      </c>
      <c r="N529" t="s">
        <v>24</v>
      </c>
      <c r="O529" t="s">
        <v>65</v>
      </c>
      <c r="P529" t="s">
        <v>116</v>
      </c>
      <c r="Q529" t="str">
        <f t="shared" si="56"/>
        <v>Completed</v>
      </c>
      <c r="R529" t="str">
        <f t="shared" si="57"/>
        <v>Marketplace</v>
      </c>
      <c r="S529" t="str">
        <v>Debit Card</v>
      </c>
      <c r="T529" t="str">
        <v>Electronics</v>
      </c>
      <c r="U529" t="str">
        <f t="shared" si="58"/>
        <v>VALID</v>
      </c>
      <c r="V529" t="str">
        <f t="shared" si="59"/>
        <v>NORMAL</v>
      </c>
      <c r="W529" t="str">
        <f t="shared" si="60"/>
        <v>Valid</v>
      </c>
      <c r="X529">
        <f t="shared" si="62"/>
        <v>17086.199999999997</v>
      </c>
      <c r="Y529">
        <f t="shared" si="61"/>
        <v>13668.959999999997</v>
      </c>
    </row>
    <row r="530" spans="1:25" x14ac:dyDescent="0.3">
      <c r="A530" t="s">
        <v>849</v>
      </c>
      <c r="B530" s="1">
        <v>46114</v>
      </c>
      <c r="C530" t="s">
        <v>583</v>
      </c>
      <c r="D530" t="s">
        <v>89</v>
      </c>
      <c r="E530" t="s">
        <v>90</v>
      </c>
      <c r="F530" t="s">
        <v>20</v>
      </c>
      <c r="G530" t="s">
        <v>56</v>
      </c>
      <c r="H530" t="s">
        <v>57</v>
      </c>
      <c r="I530">
        <v>2</v>
      </c>
      <c r="J530">
        <v>706.94</v>
      </c>
      <c r="K530">
        <v>0.15</v>
      </c>
      <c r="L530">
        <v>1201.8</v>
      </c>
      <c r="M530" t="s">
        <v>23</v>
      </c>
      <c r="N530" t="s">
        <v>24</v>
      </c>
      <c r="O530" t="s">
        <v>413</v>
      </c>
      <c r="P530" t="s">
        <v>59</v>
      </c>
      <c r="Q530" t="str">
        <f t="shared" si="56"/>
        <v>Completed</v>
      </c>
      <c r="R530" t="str">
        <f t="shared" si="57"/>
        <v>Online</v>
      </c>
      <c r="S530" t="str">
        <v>Debit Card</v>
      </c>
      <c r="T530" t="str">
        <v>Accessories</v>
      </c>
      <c r="U530" t="str">
        <f t="shared" si="58"/>
        <v>VALID</v>
      </c>
      <c r="V530" t="str">
        <f t="shared" si="59"/>
        <v>NORMAL</v>
      </c>
      <c r="W530" t="str">
        <f t="shared" si="60"/>
        <v>Valid</v>
      </c>
      <c r="X530">
        <f t="shared" si="62"/>
        <v>1413.88</v>
      </c>
      <c r="Y530">
        <f t="shared" si="61"/>
        <v>1201.798</v>
      </c>
    </row>
    <row r="531" spans="1:25" x14ac:dyDescent="0.3">
      <c r="A531" t="s">
        <v>850</v>
      </c>
      <c r="B531" s="1">
        <v>45298</v>
      </c>
      <c r="C531" t="s">
        <v>675</v>
      </c>
      <c r="D531" t="s">
        <v>85</v>
      </c>
      <c r="E531" t="s">
        <v>86</v>
      </c>
      <c r="F531" t="s">
        <v>20</v>
      </c>
      <c r="G531" t="s">
        <v>21</v>
      </c>
      <c r="H531" t="s">
        <v>22</v>
      </c>
      <c r="I531">
        <v>2</v>
      </c>
      <c r="J531">
        <v>1710.1</v>
      </c>
      <c r="K531">
        <v>0.03</v>
      </c>
      <c r="L531">
        <v>3317.59</v>
      </c>
      <c r="M531" t="s">
        <v>48</v>
      </c>
      <c r="N531" t="s">
        <v>58</v>
      </c>
      <c r="O531" t="s">
        <v>65</v>
      </c>
      <c r="P531" t="s">
        <v>102</v>
      </c>
      <c r="Q531" t="str">
        <f t="shared" si="56"/>
        <v>Completed</v>
      </c>
      <c r="R531" t="str">
        <f t="shared" si="57"/>
        <v>Marketplace</v>
      </c>
      <c r="S531" t="str">
        <v>Credit Card</v>
      </c>
      <c r="T531" t="str">
        <v>Accessories</v>
      </c>
      <c r="U531" t="str">
        <f t="shared" si="58"/>
        <v>VALID</v>
      </c>
      <c r="V531" t="str">
        <f t="shared" si="59"/>
        <v>NORMAL</v>
      </c>
      <c r="W531" t="str">
        <f t="shared" si="60"/>
        <v>Valid</v>
      </c>
      <c r="X531">
        <f t="shared" si="62"/>
        <v>3420.2</v>
      </c>
      <c r="Y531">
        <f t="shared" si="61"/>
        <v>3317.5940000000001</v>
      </c>
    </row>
    <row r="532" spans="1:25" x14ac:dyDescent="0.3">
      <c r="A532" t="s">
        <v>851</v>
      </c>
      <c r="B532" s="1">
        <v>45427</v>
      </c>
      <c r="C532" t="s">
        <v>245</v>
      </c>
      <c r="D532" t="s">
        <v>105</v>
      </c>
      <c r="E532" t="s">
        <v>106</v>
      </c>
      <c r="F532" t="s">
        <v>40</v>
      </c>
      <c r="G532" t="s">
        <v>81</v>
      </c>
      <c r="H532" t="s">
        <v>135</v>
      </c>
      <c r="I532">
        <v>4</v>
      </c>
      <c r="J532">
        <v>7001.97</v>
      </c>
      <c r="K532">
        <v>0.1</v>
      </c>
      <c r="L532">
        <v>25207.09</v>
      </c>
      <c r="M532" t="s">
        <v>48</v>
      </c>
      <c r="N532" t="s">
        <v>71</v>
      </c>
      <c r="O532" t="s">
        <v>35</v>
      </c>
      <c r="P532" t="s">
        <v>111</v>
      </c>
      <c r="Q532" t="str">
        <f t="shared" si="56"/>
        <v>Cancelled</v>
      </c>
      <c r="R532" t="str">
        <f t="shared" si="57"/>
        <v>Marketplace</v>
      </c>
      <c r="S532" t="str">
        <v>Upi</v>
      </c>
      <c r="T532" t="str">
        <v>Furniture</v>
      </c>
      <c r="U532" t="str">
        <f t="shared" si="58"/>
        <v>VALID</v>
      </c>
      <c r="V532" t="str">
        <f t="shared" si="59"/>
        <v>NORMAL</v>
      </c>
      <c r="W532" t="str">
        <f t="shared" si="60"/>
        <v>Valid</v>
      </c>
      <c r="X532">
        <f t="shared" si="62"/>
        <v>28007.88</v>
      </c>
      <c r="Y532">
        <f t="shared" si="61"/>
        <v>25207.092000000001</v>
      </c>
    </row>
    <row r="533" spans="1:25" x14ac:dyDescent="0.3">
      <c r="A533" t="s">
        <v>852</v>
      </c>
      <c r="B533" s="1">
        <v>45802</v>
      </c>
      <c r="C533" t="s">
        <v>391</v>
      </c>
      <c r="D533" t="s">
        <v>176</v>
      </c>
      <c r="E533" t="s">
        <v>177</v>
      </c>
      <c r="F533" t="s">
        <v>31</v>
      </c>
      <c r="G533" t="s">
        <v>81</v>
      </c>
      <c r="H533" t="s">
        <v>135</v>
      </c>
      <c r="I533">
        <v>1</v>
      </c>
      <c r="J533">
        <v>2372.7800000000002</v>
      </c>
      <c r="K533">
        <v>0</v>
      </c>
      <c r="L533">
        <v>2372.7800000000002</v>
      </c>
      <c r="M533" t="s">
        <v>23</v>
      </c>
      <c r="N533" t="s">
        <v>34</v>
      </c>
      <c r="O533" t="s">
        <v>65</v>
      </c>
      <c r="P533" t="s">
        <v>102</v>
      </c>
      <c r="Q533" t="str">
        <f t="shared" si="56"/>
        <v>Completed</v>
      </c>
      <c r="R533" t="str">
        <f t="shared" si="57"/>
        <v>Online</v>
      </c>
      <c r="S533" t="str">
        <v>Cash On Delivery</v>
      </c>
      <c r="T533" t="str">
        <v>Electronics</v>
      </c>
      <c r="U533" t="str">
        <f t="shared" si="58"/>
        <v>VALID</v>
      </c>
      <c r="V533" t="str">
        <f t="shared" si="59"/>
        <v>NORMAL</v>
      </c>
      <c r="W533" t="str">
        <f t="shared" si="60"/>
        <v>Valid</v>
      </c>
      <c r="X533">
        <f t="shared" si="62"/>
        <v>2372.7800000000002</v>
      </c>
      <c r="Y533">
        <f t="shared" si="61"/>
        <v>2372.7800000000002</v>
      </c>
    </row>
    <row r="534" spans="1:25" x14ac:dyDescent="0.3">
      <c r="A534" t="s">
        <v>853</v>
      </c>
      <c r="B534" s="1">
        <v>45320</v>
      </c>
      <c r="C534" t="s">
        <v>357</v>
      </c>
      <c r="D534" t="s">
        <v>170</v>
      </c>
      <c r="E534" t="s">
        <v>171</v>
      </c>
      <c r="F534" t="s">
        <v>31</v>
      </c>
      <c r="G534" t="s">
        <v>81</v>
      </c>
      <c r="H534" t="s">
        <v>87</v>
      </c>
      <c r="I534">
        <v>4</v>
      </c>
      <c r="J534">
        <v>68011.41</v>
      </c>
      <c r="K534">
        <v>0.03</v>
      </c>
      <c r="L534">
        <v>263884.27</v>
      </c>
      <c r="M534" t="s">
        <v>23</v>
      </c>
      <c r="N534" t="s">
        <v>58</v>
      </c>
      <c r="O534" t="s">
        <v>65</v>
      </c>
      <c r="P534" t="s">
        <v>26</v>
      </c>
      <c r="Q534" t="str">
        <f t="shared" si="56"/>
        <v>Completed</v>
      </c>
      <c r="R534" t="str">
        <f t="shared" si="57"/>
        <v>Online</v>
      </c>
      <c r="S534" t="str">
        <v>Credit Card</v>
      </c>
      <c r="T534" t="str">
        <v>Electronics</v>
      </c>
      <c r="U534" t="str">
        <f t="shared" si="58"/>
        <v>VALID</v>
      </c>
      <c r="V534" t="str">
        <f t="shared" si="59"/>
        <v>NORMAL</v>
      </c>
      <c r="W534" t="str">
        <f t="shared" si="60"/>
        <v>Valid</v>
      </c>
      <c r="X534">
        <f t="shared" si="62"/>
        <v>272045.64</v>
      </c>
      <c r="Y534">
        <f t="shared" si="61"/>
        <v>263884.2708</v>
      </c>
    </row>
    <row r="535" spans="1:25" x14ac:dyDescent="0.3">
      <c r="A535" t="s">
        <v>854</v>
      </c>
      <c r="B535" s="1">
        <v>45977</v>
      </c>
      <c r="C535" t="s">
        <v>855</v>
      </c>
      <c r="D535" t="s">
        <v>96</v>
      </c>
      <c r="E535" t="s">
        <v>97</v>
      </c>
      <c r="F535" t="s">
        <v>31</v>
      </c>
      <c r="G535" t="s">
        <v>32</v>
      </c>
      <c r="H535" t="s">
        <v>33</v>
      </c>
      <c r="I535">
        <v>1</v>
      </c>
      <c r="J535">
        <v>1161.8399999999999</v>
      </c>
      <c r="K535">
        <v>0.1</v>
      </c>
      <c r="L535">
        <v>1045.6600000000001</v>
      </c>
      <c r="M535" t="s">
        <v>48</v>
      </c>
      <c r="N535" t="s">
        <v>34</v>
      </c>
      <c r="O535" t="s">
        <v>35</v>
      </c>
      <c r="P535" t="s">
        <v>59</v>
      </c>
      <c r="Q535" t="str">
        <f t="shared" si="56"/>
        <v>Cancelled</v>
      </c>
      <c r="R535" t="str">
        <f t="shared" si="57"/>
        <v>Marketplace</v>
      </c>
      <c r="S535" t="str">
        <v>Cash On Delivery</v>
      </c>
      <c r="T535" t="str">
        <v>Electronics</v>
      </c>
      <c r="U535" t="str">
        <f t="shared" si="58"/>
        <v>VALID</v>
      </c>
      <c r="V535" t="str">
        <f t="shared" si="59"/>
        <v>NORMAL</v>
      </c>
      <c r="W535" t="str">
        <f t="shared" si="60"/>
        <v>Valid</v>
      </c>
      <c r="X535">
        <f t="shared" si="62"/>
        <v>1161.8399999999999</v>
      </c>
      <c r="Y535">
        <f t="shared" si="61"/>
        <v>1045.6559999999999</v>
      </c>
    </row>
    <row r="536" spans="1:25" x14ac:dyDescent="0.3">
      <c r="A536" t="s">
        <v>856</v>
      </c>
      <c r="B536" s="1">
        <v>45750</v>
      </c>
      <c r="C536" t="s">
        <v>528</v>
      </c>
      <c r="D536" t="s">
        <v>121</v>
      </c>
      <c r="E536" t="s">
        <v>122</v>
      </c>
      <c r="F536" t="s">
        <v>55</v>
      </c>
      <c r="G536" t="s">
        <v>32</v>
      </c>
      <c r="H536" t="s">
        <v>75</v>
      </c>
      <c r="I536">
        <v>3</v>
      </c>
      <c r="J536">
        <v>453.79</v>
      </c>
      <c r="K536">
        <v>0.08</v>
      </c>
      <c r="L536">
        <v>1252.46</v>
      </c>
      <c r="M536" t="s">
        <v>76</v>
      </c>
      <c r="N536" t="s">
        <v>34</v>
      </c>
      <c r="O536" t="s">
        <v>35</v>
      </c>
      <c r="P536" t="s">
        <v>59</v>
      </c>
      <c r="Q536" t="str">
        <f t="shared" si="56"/>
        <v>Cancelled</v>
      </c>
      <c r="R536" t="str">
        <f t="shared" si="57"/>
        <v>Store</v>
      </c>
      <c r="S536" t="str">
        <v>Cash On Delivery</v>
      </c>
      <c r="T536" t="str">
        <v>Stationery</v>
      </c>
      <c r="U536" t="str">
        <f t="shared" si="58"/>
        <v>VALID</v>
      </c>
      <c r="V536" t="str">
        <f t="shared" si="59"/>
        <v>NORMAL</v>
      </c>
      <c r="W536" t="str">
        <f t="shared" si="60"/>
        <v>Valid</v>
      </c>
      <c r="X536">
        <f t="shared" si="62"/>
        <v>1361.3700000000001</v>
      </c>
      <c r="Y536">
        <f t="shared" si="61"/>
        <v>1252.4604000000002</v>
      </c>
    </row>
    <row r="537" spans="1:25" x14ac:dyDescent="0.3">
      <c r="A537" t="s">
        <v>857</v>
      </c>
      <c r="B537" s="1">
        <v>46121</v>
      </c>
      <c r="C537" t="s">
        <v>257</v>
      </c>
      <c r="D537" t="s">
        <v>45</v>
      </c>
      <c r="E537" t="s">
        <v>46</v>
      </c>
      <c r="F537" t="s">
        <v>31</v>
      </c>
      <c r="G537" t="s">
        <v>32</v>
      </c>
      <c r="H537" t="s">
        <v>75</v>
      </c>
      <c r="I537">
        <v>2</v>
      </c>
      <c r="J537">
        <v>1783.34</v>
      </c>
      <c r="K537">
        <v>0.08</v>
      </c>
      <c r="L537">
        <v>3281.35</v>
      </c>
      <c r="M537" t="s">
        <v>23</v>
      </c>
      <c r="N537" t="s">
        <v>34</v>
      </c>
      <c r="O537" t="s">
        <v>25</v>
      </c>
      <c r="P537" t="s">
        <v>116</v>
      </c>
      <c r="Q537" t="str">
        <f t="shared" si="56"/>
        <v>Returned</v>
      </c>
      <c r="R537" t="str">
        <f t="shared" si="57"/>
        <v>Online</v>
      </c>
      <c r="S537" t="str">
        <v>Cash On Delivery</v>
      </c>
      <c r="T537" t="str">
        <v>Electronics</v>
      </c>
      <c r="U537" t="str">
        <f t="shared" si="58"/>
        <v>VALID</v>
      </c>
      <c r="V537" t="str">
        <f t="shared" si="59"/>
        <v>NORMAL</v>
      </c>
      <c r="W537" t="str">
        <f t="shared" si="60"/>
        <v>Valid</v>
      </c>
      <c r="X537">
        <f t="shared" si="62"/>
        <v>3566.68</v>
      </c>
      <c r="Y537">
        <f t="shared" si="61"/>
        <v>3281.3455999999996</v>
      </c>
    </row>
    <row r="538" spans="1:25" x14ac:dyDescent="0.3">
      <c r="A538" t="s">
        <v>858</v>
      </c>
      <c r="B538" s="1">
        <v>45791</v>
      </c>
      <c r="C538" t="s">
        <v>379</v>
      </c>
      <c r="D538" t="s">
        <v>29</v>
      </c>
      <c r="E538" t="s">
        <v>30</v>
      </c>
      <c r="F538" t="s">
        <v>31</v>
      </c>
      <c r="G538" t="s">
        <v>81</v>
      </c>
      <c r="H538" t="s">
        <v>135</v>
      </c>
      <c r="I538">
        <v>4</v>
      </c>
      <c r="J538">
        <v>3326.02</v>
      </c>
      <c r="K538">
        <v>0.03</v>
      </c>
      <c r="L538">
        <v>12904.96</v>
      </c>
      <c r="M538" t="s">
        <v>23</v>
      </c>
      <c r="N538" t="s">
        <v>49</v>
      </c>
      <c r="O538" t="s">
        <v>65</v>
      </c>
      <c r="P538" t="s">
        <v>42</v>
      </c>
      <c r="Q538" t="str">
        <f t="shared" si="56"/>
        <v>Completed</v>
      </c>
      <c r="R538" t="str">
        <f t="shared" si="57"/>
        <v>Online</v>
      </c>
      <c r="S538" t="str">
        <v>Net Banking</v>
      </c>
      <c r="T538" t="str">
        <v>Electronics</v>
      </c>
      <c r="U538" t="str">
        <f t="shared" si="58"/>
        <v>VALID</v>
      </c>
      <c r="V538" t="str">
        <f t="shared" si="59"/>
        <v>NORMAL</v>
      </c>
      <c r="W538" t="str">
        <f t="shared" si="60"/>
        <v>Valid</v>
      </c>
      <c r="X538">
        <f t="shared" si="62"/>
        <v>13304.08</v>
      </c>
      <c r="Y538">
        <f t="shared" si="61"/>
        <v>12904.9576</v>
      </c>
    </row>
    <row r="539" spans="1:25" x14ac:dyDescent="0.3">
      <c r="A539" t="s">
        <v>859</v>
      </c>
      <c r="B539" s="1">
        <v>45828</v>
      </c>
      <c r="C539" t="s">
        <v>181</v>
      </c>
      <c r="D539" t="s">
        <v>89</v>
      </c>
      <c r="E539" t="s">
        <v>90</v>
      </c>
      <c r="F539" t="s">
        <v>20</v>
      </c>
      <c r="G539" t="s">
        <v>81</v>
      </c>
      <c r="H539" t="s">
        <v>98</v>
      </c>
      <c r="I539">
        <v>5</v>
      </c>
      <c r="J539">
        <v>712.32</v>
      </c>
      <c r="K539">
        <v>0.15</v>
      </c>
      <c r="L539">
        <v>3027.36</v>
      </c>
      <c r="M539" t="s">
        <v>76</v>
      </c>
      <c r="N539" t="s">
        <v>34</v>
      </c>
      <c r="O539" t="s">
        <v>65</v>
      </c>
      <c r="P539" t="s">
        <v>26</v>
      </c>
      <c r="Q539" t="str">
        <f t="shared" si="56"/>
        <v>Completed</v>
      </c>
      <c r="R539" t="str">
        <f t="shared" si="57"/>
        <v>Store</v>
      </c>
      <c r="S539" t="str">
        <v>Cash On Delivery</v>
      </c>
      <c r="T539" t="str">
        <v>Accessories</v>
      </c>
      <c r="U539" t="str">
        <f t="shared" si="58"/>
        <v>VALID</v>
      </c>
      <c r="V539" t="str">
        <f t="shared" si="59"/>
        <v>NORMAL</v>
      </c>
      <c r="W539" t="str">
        <f t="shared" si="60"/>
        <v>Valid</v>
      </c>
      <c r="X539">
        <f t="shared" si="62"/>
        <v>3561.6000000000004</v>
      </c>
      <c r="Y539">
        <f t="shared" si="61"/>
        <v>3027.3600000000006</v>
      </c>
    </row>
    <row r="540" spans="1:25" x14ac:dyDescent="0.3">
      <c r="A540" t="s">
        <v>860</v>
      </c>
      <c r="B540" s="1">
        <v>45974</v>
      </c>
      <c r="C540" t="s">
        <v>78</v>
      </c>
      <c r="D540" t="s">
        <v>18</v>
      </c>
      <c r="E540" t="s">
        <v>19</v>
      </c>
      <c r="F540" t="s">
        <v>20</v>
      </c>
      <c r="G540" t="s">
        <v>56</v>
      </c>
      <c r="H540" t="s">
        <v>57</v>
      </c>
      <c r="I540">
        <v>2</v>
      </c>
      <c r="J540">
        <v>838.31</v>
      </c>
      <c r="K540">
        <v>0.05</v>
      </c>
      <c r="L540">
        <v>1592.79</v>
      </c>
      <c r="M540" t="s">
        <v>76</v>
      </c>
      <c r="N540" t="s">
        <v>58</v>
      </c>
      <c r="O540" t="s">
        <v>65</v>
      </c>
      <c r="P540" t="s">
        <v>116</v>
      </c>
      <c r="Q540" t="str">
        <f t="shared" si="56"/>
        <v>Completed</v>
      </c>
      <c r="R540" t="str">
        <f t="shared" si="57"/>
        <v>Store</v>
      </c>
      <c r="S540" t="str">
        <v>Credit Card</v>
      </c>
      <c r="T540" t="str">
        <v>Accessories</v>
      </c>
      <c r="U540" t="str">
        <f t="shared" si="58"/>
        <v>VALID</v>
      </c>
      <c r="V540" t="str">
        <f t="shared" si="59"/>
        <v>NORMAL</v>
      </c>
      <c r="W540" t="str">
        <f t="shared" si="60"/>
        <v>Valid</v>
      </c>
      <c r="X540">
        <f t="shared" si="62"/>
        <v>1676.62</v>
      </c>
      <c r="Y540">
        <f t="shared" si="61"/>
        <v>1592.789</v>
      </c>
    </row>
    <row r="541" spans="1:25" x14ac:dyDescent="0.3">
      <c r="A541" t="s">
        <v>861</v>
      </c>
      <c r="B541" s="1">
        <v>45880</v>
      </c>
      <c r="C541" t="s">
        <v>848</v>
      </c>
      <c r="D541" t="s">
        <v>89</v>
      </c>
      <c r="E541" t="s">
        <v>90</v>
      </c>
      <c r="F541" t="s">
        <v>20</v>
      </c>
      <c r="G541" t="s">
        <v>21</v>
      </c>
      <c r="H541" t="s">
        <v>41</v>
      </c>
      <c r="I541">
        <v>1</v>
      </c>
      <c r="J541">
        <v>699.61</v>
      </c>
      <c r="K541">
        <v>0.08</v>
      </c>
      <c r="L541">
        <v>643.64</v>
      </c>
      <c r="M541" t="s">
        <v>76</v>
      </c>
      <c r="N541" t="s">
        <v>49</v>
      </c>
      <c r="O541" t="s">
        <v>65</v>
      </c>
      <c r="P541" t="s">
        <v>42</v>
      </c>
      <c r="Q541" t="str">
        <f t="shared" si="56"/>
        <v>Completed</v>
      </c>
      <c r="R541" t="str">
        <f t="shared" si="57"/>
        <v>Store</v>
      </c>
      <c r="S541" t="str">
        <v>Net Banking</v>
      </c>
      <c r="T541" t="str">
        <v>Accessories</v>
      </c>
      <c r="U541" t="str">
        <f t="shared" si="58"/>
        <v>VALID</v>
      </c>
      <c r="V541" t="str">
        <f t="shared" si="59"/>
        <v>NORMAL</v>
      </c>
      <c r="W541" t="str">
        <f t="shared" si="60"/>
        <v>Valid</v>
      </c>
      <c r="X541">
        <f t="shared" si="62"/>
        <v>699.61</v>
      </c>
      <c r="Y541">
        <f t="shared" si="61"/>
        <v>643.64120000000003</v>
      </c>
    </row>
    <row r="542" spans="1:25" x14ac:dyDescent="0.3">
      <c r="A542" t="s">
        <v>862</v>
      </c>
      <c r="B542" s="1">
        <v>45765</v>
      </c>
      <c r="C542" t="s">
        <v>499</v>
      </c>
      <c r="D542" t="s">
        <v>89</v>
      </c>
      <c r="E542" t="s">
        <v>90</v>
      </c>
      <c r="F542" t="s">
        <v>20</v>
      </c>
      <c r="G542" t="s">
        <v>21</v>
      </c>
      <c r="H542" t="s">
        <v>93</v>
      </c>
      <c r="I542">
        <v>4</v>
      </c>
      <c r="J542">
        <v>752.78</v>
      </c>
      <c r="K542">
        <v>0</v>
      </c>
      <c r="L542">
        <v>3011.12</v>
      </c>
      <c r="M542" t="s">
        <v>48</v>
      </c>
      <c r="N542" t="s">
        <v>34</v>
      </c>
      <c r="O542" t="s">
        <v>35</v>
      </c>
      <c r="P542" t="s">
        <v>102</v>
      </c>
      <c r="Q542" t="str">
        <f t="shared" si="56"/>
        <v>Cancelled</v>
      </c>
      <c r="R542" t="str">
        <f t="shared" si="57"/>
        <v>Marketplace</v>
      </c>
      <c r="S542" t="str">
        <v>Cash On Delivery</v>
      </c>
      <c r="T542" t="str">
        <v>Accessories</v>
      </c>
      <c r="U542" t="str">
        <f t="shared" si="58"/>
        <v>VALID</v>
      </c>
      <c r="V542" t="str">
        <f t="shared" si="59"/>
        <v>NORMAL</v>
      </c>
      <c r="W542" t="str">
        <f t="shared" si="60"/>
        <v>Valid</v>
      </c>
      <c r="X542">
        <f t="shared" si="62"/>
        <v>3011.12</v>
      </c>
      <c r="Y542">
        <f t="shared" si="61"/>
        <v>3011.12</v>
      </c>
    </row>
    <row r="543" spans="1:25" x14ac:dyDescent="0.3">
      <c r="A543" t="s">
        <v>863</v>
      </c>
      <c r="B543" s="1">
        <v>45847</v>
      </c>
      <c r="C543" t="s">
        <v>516</v>
      </c>
      <c r="D543" t="s">
        <v>38</v>
      </c>
      <c r="E543" t="s">
        <v>39</v>
      </c>
      <c r="F543" t="s">
        <v>40</v>
      </c>
      <c r="G543" t="s">
        <v>81</v>
      </c>
      <c r="H543" t="s">
        <v>82</v>
      </c>
      <c r="I543">
        <v>1</v>
      </c>
      <c r="J543">
        <v>1667.94</v>
      </c>
      <c r="K543">
        <v>0.08</v>
      </c>
      <c r="L543">
        <v>1534.5</v>
      </c>
      <c r="M543" t="s">
        <v>76</v>
      </c>
      <c r="N543" t="s">
        <v>34</v>
      </c>
      <c r="O543" t="s">
        <v>25</v>
      </c>
      <c r="P543" t="s">
        <v>72</v>
      </c>
      <c r="Q543" t="str">
        <f t="shared" si="56"/>
        <v>Returned</v>
      </c>
      <c r="R543" t="str">
        <f t="shared" si="57"/>
        <v>Store</v>
      </c>
      <c r="S543" t="str">
        <v>Cash On Delivery</v>
      </c>
      <c r="T543" t="str">
        <v>Furniture</v>
      </c>
      <c r="U543" t="str">
        <f t="shared" si="58"/>
        <v>VALID</v>
      </c>
      <c r="V543" t="str">
        <f t="shared" si="59"/>
        <v>NORMAL</v>
      </c>
      <c r="W543" t="str">
        <f t="shared" si="60"/>
        <v>Valid</v>
      </c>
      <c r="X543">
        <f t="shared" si="62"/>
        <v>1667.94</v>
      </c>
      <c r="Y543">
        <f t="shared" si="61"/>
        <v>1534.5048000000002</v>
      </c>
    </row>
    <row r="544" spans="1:25" x14ac:dyDescent="0.3">
      <c r="A544" t="s">
        <v>864</v>
      </c>
      <c r="B544" s="1">
        <v>45835</v>
      </c>
      <c r="C544" t="s">
        <v>230</v>
      </c>
      <c r="D544" t="s">
        <v>105</v>
      </c>
      <c r="E544" t="s">
        <v>106</v>
      </c>
      <c r="F544" t="s">
        <v>40</v>
      </c>
      <c r="G544" t="s">
        <v>32</v>
      </c>
      <c r="H544" t="s">
        <v>47</v>
      </c>
      <c r="I544">
        <v>3</v>
      </c>
      <c r="J544">
        <v>6749.09</v>
      </c>
      <c r="K544">
        <v>0.2</v>
      </c>
      <c r="L544">
        <v>16197.82</v>
      </c>
      <c r="M544" t="s">
        <v>592</v>
      </c>
      <c r="N544" t="s">
        <v>58</v>
      </c>
      <c r="O544" t="s">
        <v>25</v>
      </c>
      <c r="P544" t="s">
        <v>102</v>
      </c>
      <c r="Q544" t="str">
        <f t="shared" si="56"/>
        <v>Returned</v>
      </c>
      <c r="R544" t="str">
        <f t="shared" si="57"/>
        <v>Online</v>
      </c>
      <c r="S544" t="str">
        <v>Credit Card</v>
      </c>
      <c r="T544" t="str">
        <v>Furniture</v>
      </c>
      <c r="U544" t="str">
        <f t="shared" si="58"/>
        <v>VALID</v>
      </c>
      <c r="V544" t="str">
        <f t="shared" si="59"/>
        <v>NORMAL</v>
      </c>
      <c r="W544" t="str">
        <f t="shared" si="60"/>
        <v>Valid</v>
      </c>
      <c r="X544">
        <f t="shared" si="62"/>
        <v>20247.27</v>
      </c>
      <c r="Y544">
        <f t="shared" si="61"/>
        <v>16197.816000000001</v>
      </c>
    </row>
    <row r="545" spans="1:25" x14ac:dyDescent="0.3">
      <c r="A545" t="s">
        <v>865</v>
      </c>
      <c r="B545" s="1">
        <v>45733</v>
      </c>
      <c r="C545" t="s">
        <v>299</v>
      </c>
      <c r="D545" t="s">
        <v>53</v>
      </c>
      <c r="E545" t="s">
        <v>54</v>
      </c>
      <c r="F545" t="s">
        <v>55</v>
      </c>
      <c r="G545" t="s">
        <v>81</v>
      </c>
      <c r="H545" t="s">
        <v>98</v>
      </c>
      <c r="I545">
        <v>5</v>
      </c>
      <c r="J545">
        <v>219.07</v>
      </c>
      <c r="K545">
        <v>0</v>
      </c>
      <c r="L545">
        <v>1095.3499999999999</v>
      </c>
      <c r="M545" t="s">
        <v>76</v>
      </c>
      <c r="N545" t="s">
        <v>49</v>
      </c>
      <c r="O545" t="s">
        <v>65</v>
      </c>
      <c r="P545" t="s">
        <v>111</v>
      </c>
      <c r="Q545" t="str">
        <f t="shared" si="56"/>
        <v>Completed</v>
      </c>
      <c r="R545" t="str">
        <f t="shared" si="57"/>
        <v>Store</v>
      </c>
      <c r="S545" t="str">
        <v>Net Banking</v>
      </c>
      <c r="T545" t="str">
        <v>Stationery</v>
      </c>
      <c r="U545" t="str">
        <f t="shared" si="58"/>
        <v>VALID</v>
      </c>
      <c r="V545" t="str">
        <f t="shared" si="59"/>
        <v>NORMAL</v>
      </c>
      <c r="W545" t="str">
        <f t="shared" si="60"/>
        <v>Valid</v>
      </c>
      <c r="X545">
        <f t="shared" si="62"/>
        <v>1095.3499999999999</v>
      </c>
      <c r="Y545">
        <f t="shared" si="61"/>
        <v>1095.3499999999999</v>
      </c>
    </row>
    <row r="546" spans="1:25" x14ac:dyDescent="0.3">
      <c r="A546" t="s">
        <v>866</v>
      </c>
      <c r="B546" s="1">
        <v>45846</v>
      </c>
      <c r="C546" t="s">
        <v>52</v>
      </c>
      <c r="D546" t="s">
        <v>79</v>
      </c>
      <c r="E546" t="s">
        <v>80</v>
      </c>
      <c r="F546" t="s">
        <v>31</v>
      </c>
      <c r="G546" t="s">
        <v>21</v>
      </c>
      <c r="H546" t="s">
        <v>93</v>
      </c>
      <c r="I546">
        <v>3</v>
      </c>
      <c r="J546">
        <v>12107.17</v>
      </c>
      <c r="K546">
        <v>0.15</v>
      </c>
      <c r="L546">
        <v>30873.279999999999</v>
      </c>
      <c r="M546" t="s">
        <v>48</v>
      </c>
      <c r="N546" t="s">
        <v>49</v>
      </c>
      <c r="O546" t="s">
        <v>65</v>
      </c>
      <c r="P546" t="s">
        <v>116</v>
      </c>
      <c r="Q546" t="str">
        <f t="shared" si="56"/>
        <v>Completed</v>
      </c>
      <c r="R546" t="str">
        <f t="shared" si="57"/>
        <v>Marketplace</v>
      </c>
      <c r="S546" t="str">
        <v>Net Banking</v>
      </c>
      <c r="T546" t="str">
        <v>Electronics</v>
      </c>
      <c r="U546" t="str">
        <f t="shared" si="58"/>
        <v>VALID</v>
      </c>
      <c r="V546" t="str">
        <f t="shared" si="59"/>
        <v>NORMAL</v>
      </c>
      <c r="W546" t="str">
        <f t="shared" si="60"/>
        <v>Valid</v>
      </c>
      <c r="X546">
        <f t="shared" si="62"/>
        <v>36321.51</v>
      </c>
      <c r="Y546">
        <f t="shared" si="61"/>
        <v>30873.283500000001</v>
      </c>
    </row>
    <row r="547" spans="1:25" x14ac:dyDescent="0.3">
      <c r="A547" t="s">
        <v>867</v>
      </c>
      <c r="B547" s="1">
        <v>46099</v>
      </c>
      <c r="C547" t="s">
        <v>419</v>
      </c>
      <c r="D547" t="s">
        <v>121</v>
      </c>
      <c r="E547" t="s">
        <v>122</v>
      </c>
      <c r="F547" t="s">
        <v>55</v>
      </c>
      <c r="G547" t="s">
        <v>81</v>
      </c>
      <c r="H547" t="s">
        <v>87</v>
      </c>
      <c r="I547">
        <v>1</v>
      </c>
      <c r="J547">
        <v>447.91</v>
      </c>
      <c r="K547">
        <v>0.05</v>
      </c>
      <c r="L547">
        <v>425.51</v>
      </c>
      <c r="M547" t="s">
        <v>48</v>
      </c>
      <c r="N547" t="s">
        <v>34</v>
      </c>
      <c r="O547" t="s">
        <v>65</v>
      </c>
      <c r="P547" t="s">
        <v>72</v>
      </c>
      <c r="Q547" t="str">
        <f t="shared" si="56"/>
        <v>Completed</v>
      </c>
      <c r="R547" t="str">
        <f t="shared" si="57"/>
        <v>Marketplace</v>
      </c>
      <c r="S547" t="str">
        <v>Cash On Delivery</v>
      </c>
      <c r="T547" t="str">
        <v>Stationery</v>
      </c>
      <c r="U547" t="str">
        <f t="shared" si="58"/>
        <v>VALID</v>
      </c>
      <c r="V547" t="str">
        <f t="shared" si="59"/>
        <v>NORMAL</v>
      </c>
      <c r="W547" t="str">
        <f t="shared" si="60"/>
        <v>Valid</v>
      </c>
      <c r="X547">
        <f t="shared" si="62"/>
        <v>447.91</v>
      </c>
      <c r="Y547">
        <f t="shared" si="61"/>
        <v>425.5145</v>
      </c>
    </row>
    <row r="548" spans="1:25" x14ac:dyDescent="0.3">
      <c r="A548" t="s">
        <v>868</v>
      </c>
      <c r="B548" s="1">
        <v>45514</v>
      </c>
      <c r="C548" t="s">
        <v>365</v>
      </c>
      <c r="D548" t="s">
        <v>38</v>
      </c>
      <c r="E548" t="s">
        <v>39</v>
      </c>
      <c r="F548" t="s">
        <v>40</v>
      </c>
      <c r="G548" t="s">
        <v>56</v>
      </c>
      <c r="H548" t="s">
        <v>64</v>
      </c>
      <c r="I548">
        <v>5</v>
      </c>
      <c r="J548">
        <v>1560.07</v>
      </c>
      <c r="K548">
        <v>0.1</v>
      </c>
      <c r="L548">
        <v>7020.31</v>
      </c>
      <c r="M548" t="s">
        <v>76</v>
      </c>
      <c r="N548" t="s">
        <v>58</v>
      </c>
      <c r="O548" t="s">
        <v>65</v>
      </c>
      <c r="P548" t="s">
        <v>72</v>
      </c>
      <c r="Q548" t="str">
        <f t="shared" si="56"/>
        <v>Completed</v>
      </c>
      <c r="R548" t="str">
        <f t="shared" si="57"/>
        <v>Store</v>
      </c>
      <c r="S548" t="str">
        <v>Credit Card</v>
      </c>
      <c r="T548" t="str">
        <v>Furniture</v>
      </c>
      <c r="U548" t="str">
        <f t="shared" si="58"/>
        <v>VALID</v>
      </c>
      <c r="V548" t="str">
        <f t="shared" si="59"/>
        <v>NORMAL</v>
      </c>
      <c r="W548" t="str">
        <f t="shared" si="60"/>
        <v>Valid</v>
      </c>
      <c r="X548">
        <f t="shared" si="62"/>
        <v>7800.3499999999995</v>
      </c>
      <c r="Y548">
        <f t="shared" si="61"/>
        <v>7020.3149999999996</v>
      </c>
    </row>
    <row r="549" spans="1:25" x14ac:dyDescent="0.3">
      <c r="A549" t="s">
        <v>869</v>
      </c>
      <c r="B549" s="1">
        <v>46020</v>
      </c>
      <c r="C549" t="s">
        <v>848</v>
      </c>
      <c r="D549" t="s">
        <v>89</v>
      </c>
      <c r="E549" t="s">
        <v>90</v>
      </c>
      <c r="F549" t="s">
        <v>20</v>
      </c>
      <c r="G549" t="s">
        <v>56</v>
      </c>
      <c r="H549" t="s">
        <v>101</v>
      </c>
      <c r="I549">
        <v>3</v>
      </c>
      <c r="J549">
        <v>713.74</v>
      </c>
      <c r="K549">
        <v>0.2</v>
      </c>
      <c r="L549">
        <v>1712.98</v>
      </c>
      <c r="M549" t="s">
        <v>76</v>
      </c>
      <c r="N549" t="s">
        <v>49</v>
      </c>
      <c r="O549" t="s">
        <v>65</v>
      </c>
      <c r="P549" t="s">
        <v>116</v>
      </c>
      <c r="Q549" t="str">
        <f t="shared" si="56"/>
        <v>Completed</v>
      </c>
      <c r="R549" t="str">
        <f t="shared" si="57"/>
        <v>Store</v>
      </c>
      <c r="S549" t="str">
        <v>Net Banking</v>
      </c>
      <c r="T549" t="str">
        <v>Accessories</v>
      </c>
      <c r="U549" t="str">
        <f t="shared" si="58"/>
        <v>VALID</v>
      </c>
      <c r="V549" t="str">
        <f t="shared" si="59"/>
        <v>NORMAL</v>
      </c>
      <c r="W549" t="str">
        <f t="shared" si="60"/>
        <v>Valid</v>
      </c>
      <c r="X549">
        <f t="shared" si="62"/>
        <v>2141.2200000000003</v>
      </c>
      <c r="Y549">
        <f t="shared" si="61"/>
        <v>1712.9760000000001</v>
      </c>
    </row>
    <row r="550" spans="1:25" x14ac:dyDescent="0.3">
      <c r="A550" t="s">
        <v>870</v>
      </c>
      <c r="B550" s="1">
        <v>45361</v>
      </c>
      <c r="C550" t="s">
        <v>871</v>
      </c>
      <c r="D550" t="s">
        <v>62</v>
      </c>
      <c r="E550" t="s">
        <v>63</v>
      </c>
      <c r="F550" t="s">
        <v>31</v>
      </c>
      <c r="G550" t="s">
        <v>32</v>
      </c>
      <c r="H550" t="s">
        <v>47</v>
      </c>
      <c r="I550">
        <v>1</v>
      </c>
      <c r="J550">
        <v>2939.86</v>
      </c>
      <c r="K550">
        <v>0.05</v>
      </c>
      <c r="L550">
        <v>2792.87</v>
      </c>
      <c r="M550" t="s">
        <v>48</v>
      </c>
      <c r="N550" t="s">
        <v>71</v>
      </c>
      <c r="O550" t="s">
        <v>65</v>
      </c>
      <c r="P550" t="s">
        <v>116</v>
      </c>
      <c r="Q550" t="str">
        <f t="shared" si="56"/>
        <v>Completed</v>
      </c>
      <c r="R550" t="str">
        <f t="shared" si="57"/>
        <v>Marketplace</v>
      </c>
      <c r="S550" t="str">
        <v>Upi</v>
      </c>
      <c r="T550" t="str">
        <v>Electronics</v>
      </c>
      <c r="U550" t="str">
        <f t="shared" si="58"/>
        <v>VALID</v>
      </c>
      <c r="V550" t="str">
        <f t="shared" si="59"/>
        <v>NORMAL</v>
      </c>
      <c r="W550" t="str">
        <f t="shared" si="60"/>
        <v>Valid</v>
      </c>
      <c r="X550">
        <f t="shared" si="62"/>
        <v>2939.86</v>
      </c>
      <c r="Y550">
        <f t="shared" si="61"/>
        <v>2792.8670000000002</v>
      </c>
    </row>
    <row r="551" spans="1:25" x14ac:dyDescent="0.3">
      <c r="A551" t="s">
        <v>872</v>
      </c>
      <c r="B551" s="1">
        <v>46055</v>
      </c>
      <c r="C551" t="s">
        <v>485</v>
      </c>
      <c r="D551" t="s">
        <v>79</v>
      </c>
      <c r="E551" t="s">
        <v>80</v>
      </c>
      <c r="F551" t="s">
        <v>31</v>
      </c>
      <c r="G551" t="s">
        <v>56</v>
      </c>
      <c r="H551" t="s">
        <v>123</v>
      </c>
      <c r="I551">
        <v>1</v>
      </c>
      <c r="J551">
        <v>11780.9</v>
      </c>
      <c r="L551">
        <v>10013.76</v>
      </c>
      <c r="M551" t="s">
        <v>48</v>
      </c>
      <c r="N551" t="s">
        <v>24</v>
      </c>
      <c r="O551" t="s">
        <v>65</v>
      </c>
      <c r="P551" t="s">
        <v>42</v>
      </c>
      <c r="Q551" t="str">
        <f t="shared" si="56"/>
        <v>Completed</v>
      </c>
      <c r="R551" t="str">
        <f t="shared" si="57"/>
        <v>Marketplace</v>
      </c>
      <c r="S551" t="str">
        <v>Debit Card</v>
      </c>
      <c r="T551" t="str">
        <v>Electronics</v>
      </c>
      <c r="U551" t="str">
        <f t="shared" si="58"/>
        <v>VALID</v>
      </c>
      <c r="V551" t="str">
        <f t="shared" si="59"/>
        <v>NORMAL</v>
      </c>
      <c r="W551" t="str">
        <f t="shared" si="60"/>
        <v>Valid</v>
      </c>
      <c r="X551">
        <f t="shared" si="62"/>
        <v>11780.9</v>
      </c>
      <c r="Y551">
        <f t="shared" si="61"/>
        <v>11780.9</v>
      </c>
    </row>
    <row r="552" spans="1:25" x14ac:dyDescent="0.3">
      <c r="A552" t="s">
        <v>873</v>
      </c>
      <c r="B552" s="1">
        <v>45837</v>
      </c>
      <c r="C552" t="s">
        <v>289</v>
      </c>
      <c r="D552" t="s">
        <v>105</v>
      </c>
      <c r="E552" t="s">
        <v>106</v>
      </c>
      <c r="F552" t="s">
        <v>40</v>
      </c>
      <c r="G552" t="s">
        <v>81</v>
      </c>
      <c r="H552" t="s">
        <v>98</v>
      </c>
      <c r="I552">
        <v>5</v>
      </c>
      <c r="J552">
        <v>7482.56</v>
      </c>
      <c r="K552">
        <v>0.05</v>
      </c>
      <c r="L552">
        <v>35542.160000000003</v>
      </c>
      <c r="M552" t="s">
        <v>23</v>
      </c>
      <c r="N552" t="s">
        <v>71</v>
      </c>
      <c r="O552" t="s">
        <v>35</v>
      </c>
      <c r="P552" t="s">
        <v>26</v>
      </c>
      <c r="Q552" t="str">
        <f t="shared" si="56"/>
        <v>Cancelled</v>
      </c>
      <c r="R552" t="str">
        <f t="shared" si="57"/>
        <v>Online</v>
      </c>
      <c r="S552" t="str">
        <v>Upi</v>
      </c>
      <c r="T552" t="str">
        <v>Furniture</v>
      </c>
      <c r="U552" t="str">
        <f t="shared" si="58"/>
        <v>VALID</v>
      </c>
      <c r="V552" t="str">
        <f t="shared" si="59"/>
        <v>NORMAL</v>
      </c>
      <c r="W552" t="str">
        <f t="shared" si="60"/>
        <v>Valid</v>
      </c>
      <c r="X552">
        <f t="shared" si="62"/>
        <v>37412.800000000003</v>
      </c>
      <c r="Y552">
        <f t="shared" si="61"/>
        <v>35542.160000000003</v>
      </c>
    </row>
    <row r="553" spans="1:25" x14ac:dyDescent="0.3">
      <c r="A553" t="s">
        <v>874</v>
      </c>
      <c r="B553" s="1">
        <v>46014</v>
      </c>
      <c r="C553" t="s">
        <v>283</v>
      </c>
      <c r="D553" t="s">
        <v>176</v>
      </c>
      <c r="E553" t="s">
        <v>177</v>
      </c>
      <c r="F553" t="s">
        <v>31</v>
      </c>
      <c r="G553" t="s">
        <v>56</v>
      </c>
      <c r="H553" t="s">
        <v>57</v>
      </c>
      <c r="I553">
        <v>3</v>
      </c>
      <c r="J553">
        <v>2346.13</v>
      </c>
      <c r="K553">
        <v>0.15</v>
      </c>
      <c r="L553">
        <v>5982.63</v>
      </c>
      <c r="M553" t="s">
        <v>48</v>
      </c>
      <c r="N553" t="s">
        <v>58</v>
      </c>
      <c r="O553" t="s">
        <v>65</v>
      </c>
      <c r="P553" t="s">
        <v>59</v>
      </c>
      <c r="Q553" t="str">
        <f t="shared" si="56"/>
        <v>Completed</v>
      </c>
      <c r="R553" t="str">
        <f t="shared" si="57"/>
        <v>Marketplace</v>
      </c>
      <c r="S553" t="str">
        <v>Credit Card</v>
      </c>
      <c r="T553" t="str">
        <v>Electronics</v>
      </c>
      <c r="U553" t="str">
        <f t="shared" si="58"/>
        <v>VALID</v>
      </c>
      <c r="V553" t="str">
        <f t="shared" si="59"/>
        <v>NORMAL</v>
      </c>
      <c r="W553" t="str">
        <f t="shared" si="60"/>
        <v>Valid</v>
      </c>
      <c r="X553">
        <f t="shared" si="62"/>
        <v>7038.39</v>
      </c>
      <c r="Y553">
        <f t="shared" si="61"/>
        <v>5982.6315000000004</v>
      </c>
    </row>
    <row r="554" spans="1:25" x14ac:dyDescent="0.3">
      <c r="A554" t="s">
        <v>875</v>
      </c>
      <c r="B554" s="1">
        <v>45972</v>
      </c>
      <c r="C554" t="s">
        <v>556</v>
      </c>
      <c r="D554" t="s">
        <v>18</v>
      </c>
      <c r="E554" t="s">
        <v>19</v>
      </c>
      <c r="F554" t="s">
        <v>20</v>
      </c>
      <c r="G554" t="s">
        <v>56</v>
      </c>
      <c r="H554" t="s">
        <v>64</v>
      </c>
      <c r="I554">
        <v>2</v>
      </c>
      <c r="J554">
        <v>826.62</v>
      </c>
      <c r="K554">
        <v>0.08</v>
      </c>
      <c r="L554">
        <v>1520.98</v>
      </c>
      <c r="M554" t="s">
        <v>48</v>
      </c>
      <c r="N554" t="s">
        <v>24</v>
      </c>
      <c r="O554" t="s">
        <v>65</v>
      </c>
      <c r="P554" t="s">
        <v>42</v>
      </c>
      <c r="Q554" t="str">
        <f t="shared" si="56"/>
        <v>Completed</v>
      </c>
      <c r="R554" t="str">
        <f t="shared" si="57"/>
        <v>Marketplace</v>
      </c>
      <c r="S554" t="str">
        <v>Debit Card</v>
      </c>
      <c r="T554" t="str">
        <v>Accessories</v>
      </c>
      <c r="U554" t="str">
        <f t="shared" si="58"/>
        <v>VALID</v>
      </c>
      <c r="V554" t="str">
        <f t="shared" si="59"/>
        <v>NORMAL</v>
      </c>
      <c r="W554" t="str">
        <f t="shared" si="60"/>
        <v>Valid</v>
      </c>
      <c r="X554">
        <f t="shared" si="62"/>
        <v>1653.24</v>
      </c>
      <c r="Y554">
        <f t="shared" si="61"/>
        <v>1520.9808</v>
      </c>
    </row>
    <row r="555" spans="1:25" x14ac:dyDescent="0.3">
      <c r="A555" t="s">
        <v>876</v>
      </c>
      <c r="B555" s="1">
        <v>45332</v>
      </c>
      <c r="C555" t="s">
        <v>134</v>
      </c>
      <c r="D555" t="s">
        <v>53</v>
      </c>
      <c r="E555" t="s">
        <v>54</v>
      </c>
      <c r="F555" t="s">
        <v>55</v>
      </c>
      <c r="G555" t="s">
        <v>32</v>
      </c>
      <c r="H555" t="s">
        <v>47</v>
      </c>
      <c r="I555">
        <v>3</v>
      </c>
      <c r="J555">
        <v>233.48</v>
      </c>
      <c r="K555">
        <v>0.2</v>
      </c>
      <c r="L555">
        <v>560.35</v>
      </c>
      <c r="M555" t="s">
        <v>23</v>
      </c>
      <c r="N555" t="s">
        <v>24</v>
      </c>
      <c r="O555" t="s">
        <v>35</v>
      </c>
      <c r="P555" t="s">
        <v>42</v>
      </c>
      <c r="Q555" t="str">
        <f t="shared" si="56"/>
        <v>Cancelled</v>
      </c>
      <c r="R555" t="str">
        <f t="shared" si="57"/>
        <v>Online</v>
      </c>
      <c r="S555" t="str">
        <v>Debit Card</v>
      </c>
      <c r="T555" t="str">
        <v>Stationery</v>
      </c>
      <c r="U555" t="str">
        <f t="shared" si="58"/>
        <v>VALID</v>
      </c>
      <c r="V555" t="str">
        <f t="shared" si="59"/>
        <v>NORMAL</v>
      </c>
      <c r="W555" t="str">
        <f t="shared" si="60"/>
        <v>Valid</v>
      </c>
      <c r="X555">
        <f t="shared" si="62"/>
        <v>700.43999999999994</v>
      </c>
      <c r="Y555">
        <f t="shared" si="61"/>
        <v>560.35199999999998</v>
      </c>
    </row>
    <row r="556" spans="1:25" x14ac:dyDescent="0.3">
      <c r="A556" t="s">
        <v>877</v>
      </c>
      <c r="B556" s="1">
        <v>45533</v>
      </c>
      <c r="C556" t="s">
        <v>574</v>
      </c>
      <c r="D556" t="s">
        <v>96</v>
      </c>
      <c r="E556" t="s">
        <v>97</v>
      </c>
      <c r="F556" t="s">
        <v>31</v>
      </c>
      <c r="G556" t="s">
        <v>81</v>
      </c>
      <c r="H556" t="s">
        <v>135</v>
      </c>
      <c r="I556">
        <v>3</v>
      </c>
      <c r="J556">
        <v>1283.6300000000001</v>
      </c>
      <c r="K556">
        <v>0.2</v>
      </c>
      <c r="L556">
        <v>3080.71</v>
      </c>
      <c r="M556" t="s">
        <v>23</v>
      </c>
      <c r="N556" t="s">
        <v>24</v>
      </c>
      <c r="O556" t="s">
        <v>65</v>
      </c>
      <c r="P556" t="s">
        <v>50</v>
      </c>
      <c r="Q556" t="str">
        <f t="shared" si="56"/>
        <v>Completed</v>
      </c>
      <c r="R556" t="str">
        <f t="shared" si="57"/>
        <v>Online</v>
      </c>
      <c r="S556" t="str">
        <v>Debit Card</v>
      </c>
      <c r="T556" t="str">
        <v>Electronics</v>
      </c>
      <c r="U556" t="str">
        <f t="shared" si="58"/>
        <v>VALID</v>
      </c>
      <c r="V556" t="str">
        <f t="shared" si="59"/>
        <v>NORMAL</v>
      </c>
      <c r="W556" t="str">
        <f t="shared" si="60"/>
        <v>Valid</v>
      </c>
      <c r="X556">
        <f t="shared" si="62"/>
        <v>3850.8900000000003</v>
      </c>
      <c r="Y556">
        <f t="shared" si="61"/>
        <v>3080.7120000000004</v>
      </c>
    </row>
    <row r="557" spans="1:25" x14ac:dyDescent="0.3">
      <c r="A557" t="s">
        <v>878</v>
      </c>
      <c r="B557" s="1">
        <v>45516</v>
      </c>
      <c r="C557" t="s">
        <v>879</v>
      </c>
      <c r="D557" t="s">
        <v>176</v>
      </c>
      <c r="E557" t="s">
        <v>177</v>
      </c>
      <c r="F557" t="s">
        <v>31</v>
      </c>
      <c r="G557" t="s">
        <v>81</v>
      </c>
      <c r="H557" t="s">
        <v>87</v>
      </c>
      <c r="I557">
        <v>2</v>
      </c>
      <c r="J557">
        <v>2254.9299999999998</v>
      </c>
      <c r="K557">
        <v>0.03</v>
      </c>
      <c r="L557">
        <v>4374.5600000000004</v>
      </c>
      <c r="M557" t="s">
        <v>76</v>
      </c>
      <c r="N557" t="s">
        <v>49</v>
      </c>
      <c r="O557" t="s">
        <v>65</v>
      </c>
      <c r="P557" t="s">
        <v>102</v>
      </c>
      <c r="Q557" t="str">
        <f t="shared" si="56"/>
        <v>Completed</v>
      </c>
      <c r="R557" t="str">
        <f t="shared" si="57"/>
        <v>Store</v>
      </c>
      <c r="S557" t="str">
        <v>Net Banking</v>
      </c>
      <c r="T557" t="str">
        <v>Electronics</v>
      </c>
      <c r="U557" t="str">
        <f t="shared" si="58"/>
        <v>VALID</v>
      </c>
      <c r="V557" t="str">
        <f t="shared" si="59"/>
        <v>NORMAL</v>
      </c>
      <c r="W557" t="str">
        <f t="shared" si="60"/>
        <v>Valid</v>
      </c>
      <c r="X557">
        <f t="shared" si="62"/>
        <v>4509.8599999999997</v>
      </c>
      <c r="Y557">
        <f t="shared" si="61"/>
        <v>4374.5641999999998</v>
      </c>
    </row>
    <row r="558" spans="1:25" x14ac:dyDescent="0.3">
      <c r="A558" t="s">
        <v>880</v>
      </c>
      <c r="B558" s="1">
        <v>46127</v>
      </c>
      <c r="C558" t="s">
        <v>181</v>
      </c>
      <c r="D558" t="s">
        <v>176</v>
      </c>
      <c r="E558" t="s">
        <v>177</v>
      </c>
      <c r="F558" t="s">
        <v>31</v>
      </c>
      <c r="G558" t="s">
        <v>21</v>
      </c>
      <c r="H558" t="s">
        <v>41</v>
      </c>
      <c r="I558">
        <v>4</v>
      </c>
      <c r="J558">
        <v>2080.23</v>
      </c>
      <c r="K558">
        <v>0.08</v>
      </c>
      <c r="L558">
        <v>7655.25</v>
      </c>
      <c r="M558" t="s">
        <v>23</v>
      </c>
      <c r="N558" t="s">
        <v>58</v>
      </c>
      <c r="O558" t="s">
        <v>25</v>
      </c>
      <c r="P558" t="s">
        <v>116</v>
      </c>
      <c r="Q558" t="str">
        <f t="shared" si="56"/>
        <v>Returned</v>
      </c>
      <c r="R558" t="str">
        <f t="shared" si="57"/>
        <v>Online</v>
      </c>
      <c r="S558" t="str">
        <v>Credit Card</v>
      </c>
      <c r="T558" t="str">
        <v>Electronics</v>
      </c>
      <c r="U558" t="str">
        <f t="shared" si="58"/>
        <v>VALID</v>
      </c>
      <c r="V558" t="str">
        <f t="shared" si="59"/>
        <v>NORMAL</v>
      </c>
      <c r="W558" t="str">
        <f t="shared" si="60"/>
        <v>Valid</v>
      </c>
      <c r="X558">
        <f t="shared" si="62"/>
        <v>8320.92</v>
      </c>
      <c r="Y558">
        <f t="shared" si="61"/>
        <v>7655.2464</v>
      </c>
    </row>
    <row r="559" spans="1:25" x14ac:dyDescent="0.3">
      <c r="A559" t="s">
        <v>881</v>
      </c>
      <c r="B559" s="1">
        <v>45859</v>
      </c>
      <c r="C559" t="s">
        <v>225</v>
      </c>
      <c r="D559" t="s">
        <v>79</v>
      </c>
      <c r="E559" t="s">
        <v>80</v>
      </c>
      <c r="F559" t="s">
        <v>31</v>
      </c>
      <c r="G559" t="s">
        <v>56</v>
      </c>
      <c r="H559" t="s">
        <v>101</v>
      </c>
      <c r="I559">
        <v>4</v>
      </c>
      <c r="J559">
        <v>13171.03</v>
      </c>
      <c r="K559">
        <v>0.08</v>
      </c>
      <c r="L559">
        <v>48469.39</v>
      </c>
      <c r="M559" t="s">
        <v>76</v>
      </c>
      <c r="N559" t="s">
        <v>24</v>
      </c>
      <c r="O559" t="s">
        <v>35</v>
      </c>
      <c r="P559" t="s">
        <v>102</v>
      </c>
      <c r="Q559" t="str">
        <f t="shared" si="56"/>
        <v>Cancelled</v>
      </c>
      <c r="R559" t="str">
        <f t="shared" si="57"/>
        <v>Store</v>
      </c>
      <c r="S559" t="str">
        <v>Debit Card</v>
      </c>
      <c r="T559" t="str">
        <v>Electronics</v>
      </c>
      <c r="U559" t="str">
        <f t="shared" si="58"/>
        <v>VALID</v>
      </c>
      <c r="V559" t="str">
        <f t="shared" si="59"/>
        <v>NORMAL</v>
      </c>
      <c r="W559" t="str">
        <f t="shared" si="60"/>
        <v>Valid</v>
      </c>
      <c r="X559">
        <f t="shared" si="62"/>
        <v>52684.12</v>
      </c>
      <c r="Y559">
        <f t="shared" si="61"/>
        <v>48469.390400000004</v>
      </c>
    </row>
    <row r="560" spans="1:25" x14ac:dyDescent="0.3">
      <c r="A560" t="s">
        <v>882</v>
      </c>
      <c r="B560" s="1">
        <v>45481</v>
      </c>
      <c r="C560" t="s">
        <v>504</v>
      </c>
      <c r="D560" t="s">
        <v>29</v>
      </c>
      <c r="E560" t="s">
        <v>30</v>
      </c>
      <c r="F560" t="s">
        <v>31</v>
      </c>
      <c r="G560" t="s">
        <v>32</v>
      </c>
      <c r="H560" t="s">
        <v>47</v>
      </c>
      <c r="I560">
        <v>4</v>
      </c>
      <c r="J560">
        <v>2998.47</v>
      </c>
      <c r="K560">
        <v>0.03</v>
      </c>
      <c r="L560">
        <v>11634.06</v>
      </c>
      <c r="M560" t="s">
        <v>48</v>
      </c>
      <c r="N560" t="s">
        <v>24</v>
      </c>
      <c r="O560" t="s">
        <v>65</v>
      </c>
      <c r="P560" t="s">
        <v>111</v>
      </c>
      <c r="Q560" t="str">
        <f t="shared" si="56"/>
        <v>Completed</v>
      </c>
      <c r="R560" t="str">
        <f t="shared" si="57"/>
        <v>Marketplace</v>
      </c>
      <c r="S560" t="str">
        <v>Debit Card</v>
      </c>
      <c r="T560" t="str">
        <v>Electronics</v>
      </c>
      <c r="U560" t="str">
        <f t="shared" si="58"/>
        <v>VALID</v>
      </c>
      <c r="V560" t="str">
        <f t="shared" si="59"/>
        <v>NORMAL</v>
      </c>
      <c r="W560" t="str">
        <f t="shared" si="60"/>
        <v>Valid</v>
      </c>
      <c r="X560">
        <f t="shared" si="62"/>
        <v>11993.88</v>
      </c>
      <c r="Y560">
        <f t="shared" si="61"/>
        <v>11634.063599999999</v>
      </c>
    </row>
    <row r="561" spans="1:25" x14ac:dyDescent="0.3">
      <c r="A561" t="s">
        <v>883</v>
      </c>
      <c r="B561" s="1">
        <v>45671</v>
      </c>
      <c r="C561" t="s">
        <v>583</v>
      </c>
      <c r="D561" t="s">
        <v>53</v>
      </c>
      <c r="E561" t="s">
        <v>54</v>
      </c>
      <c r="F561" t="s">
        <v>55</v>
      </c>
      <c r="G561" t="s">
        <v>21</v>
      </c>
      <c r="H561" t="s">
        <v>22</v>
      </c>
      <c r="I561">
        <v>2</v>
      </c>
      <c r="J561">
        <v>231.34</v>
      </c>
      <c r="K561">
        <v>0</v>
      </c>
      <c r="L561">
        <v>462.68</v>
      </c>
      <c r="M561" t="s">
        <v>23</v>
      </c>
      <c r="N561" t="s">
        <v>34</v>
      </c>
      <c r="O561" t="s">
        <v>65</v>
      </c>
      <c r="P561" t="s">
        <v>116</v>
      </c>
      <c r="Q561" t="str">
        <f t="shared" si="56"/>
        <v>Completed</v>
      </c>
      <c r="R561" t="str">
        <f t="shared" si="57"/>
        <v>Online</v>
      </c>
      <c r="S561" t="str">
        <v>Cash On Delivery</v>
      </c>
      <c r="T561" t="str">
        <v>Stationery</v>
      </c>
      <c r="U561" t="str">
        <f t="shared" si="58"/>
        <v>VALID</v>
      </c>
      <c r="V561" t="str">
        <f t="shared" si="59"/>
        <v>NORMAL</v>
      </c>
      <c r="W561" t="str">
        <f t="shared" si="60"/>
        <v>Valid</v>
      </c>
      <c r="X561">
        <f t="shared" si="62"/>
        <v>462.68</v>
      </c>
      <c r="Y561">
        <f t="shared" si="61"/>
        <v>462.68</v>
      </c>
    </row>
    <row r="562" spans="1:25" x14ac:dyDescent="0.3">
      <c r="A562" t="s">
        <v>884</v>
      </c>
      <c r="B562" s="1">
        <v>45880</v>
      </c>
      <c r="C562" t="s">
        <v>625</v>
      </c>
      <c r="D562" t="s">
        <v>131</v>
      </c>
      <c r="E562" t="s">
        <v>132</v>
      </c>
      <c r="F562" t="s">
        <v>40</v>
      </c>
      <c r="G562" t="s">
        <v>21</v>
      </c>
      <c r="H562" t="s">
        <v>93</v>
      </c>
      <c r="I562">
        <v>1</v>
      </c>
      <c r="J562">
        <v>9008.2199999999993</v>
      </c>
      <c r="K562">
        <v>0</v>
      </c>
      <c r="L562">
        <v>9008.2199999999993</v>
      </c>
      <c r="M562" t="s">
        <v>23</v>
      </c>
      <c r="N562" t="s">
        <v>49</v>
      </c>
      <c r="O562" t="s">
        <v>35</v>
      </c>
      <c r="P562" t="s">
        <v>42</v>
      </c>
      <c r="Q562" t="str">
        <f t="shared" si="56"/>
        <v>Cancelled</v>
      </c>
      <c r="R562" t="str">
        <f t="shared" si="57"/>
        <v>Online</v>
      </c>
      <c r="S562" t="str">
        <v>Net Banking</v>
      </c>
      <c r="T562" t="str">
        <v>Furniture</v>
      </c>
      <c r="U562" t="str">
        <f t="shared" si="58"/>
        <v>VALID</v>
      </c>
      <c r="V562" t="str">
        <f t="shared" si="59"/>
        <v>NORMAL</v>
      </c>
      <c r="W562" t="str">
        <f t="shared" si="60"/>
        <v>Valid</v>
      </c>
      <c r="X562">
        <f t="shared" si="62"/>
        <v>9008.2199999999993</v>
      </c>
      <c r="Y562">
        <f t="shared" si="61"/>
        <v>9008.2199999999993</v>
      </c>
    </row>
    <row r="563" spans="1:25" x14ac:dyDescent="0.3">
      <c r="A563" t="s">
        <v>885</v>
      </c>
      <c r="B563" s="1">
        <v>45611</v>
      </c>
      <c r="C563" t="s">
        <v>157</v>
      </c>
      <c r="D563" t="s">
        <v>79</v>
      </c>
      <c r="E563" t="s">
        <v>80</v>
      </c>
      <c r="F563" t="s">
        <v>31</v>
      </c>
      <c r="G563" t="s">
        <v>56</v>
      </c>
      <c r="H563" t="s">
        <v>123</v>
      </c>
      <c r="I563">
        <v>2</v>
      </c>
      <c r="J563">
        <v>13218.36</v>
      </c>
      <c r="K563">
        <v>0.03</v>
      </c>
      <c r="L563">
        <v>25643.62</v>
      </c>
      <c r="M563" t="s">
        <v>48</v>
      </c>
      <c r="N563" t="s">
        <v>58</v>
      </c>
      <c r="O563" t="s">
        <v>25</v>
      </c>
      <c r="P563" t="s">
        <v>42</v>
      </c>
      <c r="Q563" t="str">
        <f t="shared" si="56"/>
        <v>Returned</v>
      </c>
      <c r="R563" t="str">
        <f t="shared" si="57"/>
        <v>Marketplace</v>
      </c>
      <c r="S563" t="str">
        <v>Credit Card</v>
      </c>
      <c r="T563" t="str">
        <v>Electronics</v>
      </c>
      <c r="U563" t="str">
        <f t="shared" si="58"/>
        <v>VALID</v>
      </c>
      <c r="V563" t="str">
        <f t="shared" si="59"/>
        <v>NORMAL</v>
      </c>
      <c r="W563" t="str">
        <f t="shared" si="60"/>
        <v>Valid</v>
      </c>
      <c r="X563">
        <f t="shared" si="62"/>
        <v>26436.720000000001</v>
      </c>
      <c r="Y563">
        <f t="shared" si="61"/>
        <v>25643.618399999999</v>
      </c>
    </row>
    <row r="564" spans="1:25" x14ac:dyDescent="0.3">
      <c r="A564" t="s">
        <v>886</v>
      </c>
      <c r="B564" s="1">
        <v>45784</v>
      </c>
      <c r="C564" t="s">
        <v>787</v>
      </c>
      <c r="D564" t="s">
        <v>79</v>
      </c>
      <c r="E564" t="s">
        <v>80</v>
      </c>
      <c r="F564" t="s">
        <v>31</v>
      </c>
      <c r="G564" t="s">
        <v>32</v>
      </c>
      <c r="H564" t="s">
        <v>47</v>
      </c>
      <c r="I564">
        <v>2</v>
      </c>
      <c r="J564">
        <v>11817.06</v>
      </c>
      <c r="K564">
        <v>0.2</v>
      </c>
      <c r="L564">
        <v>18907.3</v>
      </c>
      <c r="M564" t="s">
        <v>76</v>
      </c>
      <c r="N564" t="s">
        <v>49</v>
      </c>
      <c r="O564" t="s">
        <v>25</v>
      </c>
      <c r="P564" t="s">
        <v>116</v>
      </c>
      <c r="Q564" t="str">
        <f t="shared" si="56"/>
        <v>Returned</v>
      </c>
      <c r="R564" t="str">
        <f t="shared" si="57"/>
        <v>Store</v>
      </c>
      <c r="S564" t="str">
        <v>Net Banking</v>
      </c>
      <c r="T564" t="str">
        <v>Electronics</v>
      </c>
      <c r="U564" t="str">
        <f t="shared" si="58"/>
        <v>VALID</v>
      </c>
      <c r="V564" t="str">
        <f t="shared" si="59"/>
        <v>NORMAL</v>
      </c>
      <c r="W564" t="str">
        <f t="shared" si="60"/>
        <v>Valid</v>
      </c>
      <c r="X564">
        <f t="shared" si="62"/>
        <v>23634.12</v>
      </c>
      <c r="Y564">
        <f t="shared" si="61"/>
        <v>18907.295999999998</v>
      </c>
    </row>
    <row r="565" spans="1:25" x14ac:dyDescent="0.3">
      <c r="A565" t="s">
        <v>887</v>
      </c>
      <c r="B565" s="1">
        <v>45344</v>
      </c>
      <c r="C565" t="s">
        <v>249</v>
      </c>
      <c r="D565" t="s">
        <v>79</v>
      </c>
      <c r="E565" t="s">
        <v>80</v>
      </c>
      <c r="F565" t="s">
        <v>31</v>
      </c>
      <c r="G565" t="s">
        <v>81</v>
      </c>
      <c r="H565" t="s">
        <v>82</v>
      </c>
      <c r="I565">
        <v>5</v>
      </c>
      <c r="J565">
        <v>13280.03</v>
      </c>
      <c r="K565">
        <v>0.2</v>
      </c>
      <c r="L565">
        <v>53120.12</v>
      </c>
      <c r="M565" t="s">
        <v>76</v>
      </c>
      <c r="N565" t="s">
        <v>58</v>
      </c>
      <c r="O565" t="s">
        <v>65</v>
      </c>
      <c r="P565" t="s">
        <v>59</v>
      </c>
      <c r="Q565" t="str">
        <f t="shared" si="56"/>
        <v>Completed</v>
      </c>
      <c r="R565" t="str">
        <f t="shared" si="57"/>
        <v>Store</v>
      </c>
      <c r="S565" t="str">
        <v>Credit Card</v>
      </c>
      <c r="T565" t="str">
        <v>Electronics</v>
      </c>
      <c r="U565" t="str">
        <f t="shared" si="58"/>
        <v>VALID</v>
      </c>
      <c r="V565" t="str">
        <f t="shared" si="59"/>
        <v>NORMAL</v>
      </c>
      <c r="W565" t="str">
        <f t="shared" si="60"/>
        <v>Valid</v>
      </c>
      <c r="X565">
        <f t="shared" si="62"/>
        <v>66400.150000000009</v>
      </c>
      <c r="Y565">
        <f t="shared" si="61"/>
        <v>53120.12000000001</v>
      </c>
    </row>
    <row r="566" spans="1:25" x14ac:dyDescent="0.3">
      <c r="A566" t="s">
        <v>888</v>
      </c>
      <c r="B566" s="1">
        <v>45601</v>
      </c>
      <c r="C566" t="s">
        <v>334</v>
      </c>
      <c r="D566" t="s">
        <v>79</v>
      </c>
      <c r="E566" t="s">
        <v>80</v>
      </c>
      <c r="F566" t="s">
        <v>31</v>
      </c>
      <c r="G566" t="s">
        <v>56</v>
      </c>
      <c r="H566" t="s">
        <v>57</v>
      </c>
      <c r="I566">
        <v>1</v>
      </c>
      <c r="J566">
        <v>12651.64</v>
      </c>
      <c r="K566">
        <v>0.2</v>
      </c>
      <c r="L566">
        <v>10121.31</v>
      </c>
      <c r="M566" t="s">
        <v>76</v>
      </c>
      <c r="N566" t="s">
        <v>34</v>
      </c>
      <c r="O566" t="s">
        <v>65</v>
      </c>
      <c r="P566" t="s">
        <v>26</v>
      </c>
      <c r="Q566" t="str">
        <f t="shared" si="56"/>
        <v>Completed</v>
      </c>
      <c r="R566" t="str">
        <f t="shared" si="57"/>
        <v>Store</v>
      </c>
      <c r="S566" t="str">
        <v>Cash On Delivery</v>
      </c>
      <c r="T566" t="str">
        <v>Electronics</v>
      </c>
      <c r="U566" t="str">
        <f t="shared" si="58"/>
        <v>VALID</v>
      </c>
      <c r="V566" t="str">
        <f t="shared" si="59"/>
        <v>NORMAL</v>
      </c>
      <c r="W566" t="str">
        <f t="shared" si="60"/>
        <v>Valid</v>
      </c>
      <c r="X566">
        <f t="shared" si="62"/>
        <v>12651.64</v>
      </c>
      <c r="Y566">
        <f t="shared" si="61"/>
        <v>10121.312</v>
      </c>
    </row>
    <row r="567" spans="1:25" x14ac:dyDescent="0.3">
      <c r="A567" t="s">
        <v>889</v>
      </c>
      <c r="B567" s="1">
        <v>45562</v>
      </c>
      <c r="C567" t="s">
        <v>746</v>
      </c>
      <c r="D567" t="s">
        <v>170</v>
      </c>
      <c r="E567" t="s">
        <v>171</v>
      </c>
      <c r="F567" t="s">
        <v>31</v>
      </c>
      <c r="G567" t="s">
        <v>56</v>
      </c>
      <c r="H567" t="s">
        <v>123</v>
      </c>
      <c r="I567">
        <v>5</v>
      </c>
      <c r="J567">
        <v>68934.47</v>
      </c>
      <c r="K567">
        <v>0.15</v>
      </c>
      <c r="L567">
        <v>292971.5</v>
      </c>
      <c r="M567" t="s">
        <v>48</v>
      </c>
      <c r="N567" t="s">
        <v>24</v>
      </c>
      <c r="O567" t="s">
        <v>65</v>
      </c>
      <c r="P567" t="s">
        <v>42</v>
      </c>
      <c r="Q567" t="str">
        <f t="shared" si="56"/>
        <v>Completed</v>
      </c>
      <c r="R567" t="str">
        <f t="shared" si="57"/>
        <v>Marketplace</v>
      </c>
      <c r="S567" t="str">
        <v>Debit Card</v>
      </c>
      <c r="T567" t="str">
        <v>Electronics</v>
      </c>
      <c r="U567" t="str">
        <f t="shared" si="58"/>
        <v>VALID</v>
      </c>
      <c r="V567" t="str">
        <f t="shared" si="59"/>
        <v>NORMAL</v>
      </c>
      <c r="W567" t="str">
        <f t="shared" si="60"/>
        <v>Valid</v>
      </c>
      <c r="X567">
        <f t="shared" si="62"/>
        <v>344672.35</v>
      </c>
      <c r="Y567">
        <f t="shared" si="61"/>
        <v>292971.4975</v>
      </c>
    </row>
    <row r="568" spans="1:25" x14ac:dyDescent="0.3">
      <c r="A568" t="s">
        <v>890</v>
      </c>
      <c r="B568" s="1">
        <v>46092</v>
      </c>
      <c r="C568" t="s">
        <v>416</v>
      </c>
      <c r="D568" t="s">
        <v>170</v>
      </c>
      <c r="E568" t="s">
        <v>171</v>
      </c>
      <c r="F568" t="s">
        <v>31</v>
      </c>
      <c r="G568" t="s">
        <v>81</v>
      </c>
      <c r="H568" t="s">
        <v>82</v>
      </c>
      <c r="I568">
        <v>4</v>
      </c>
      <c r="J568">
        <v>64227.41</v>
      </c>
      <c r="K568">
        <v>0</v>
      </c>
      <c r="L568">
        <v>256909.64</v>
      </c>
      <c r="M568" t="s">
        <v>76</v>
      </c>
      <c r="N568" t="s">
        <v>71</v>
      </c>
      <c r="O568" t="s">
        <v>65</v>
      </c>
      <c r="P568" t="s">
        <v>111</v>
      </c>
      <c r="Q568" t="str">
        <f t="shared" si="56"/>
        <v>Completed</v>
      </c>
      <c r="R568" t="str">
        <f t="shared" si="57"/>
        <v>Store</v>
      </c>
      <c r="S568" t="str">
        <v>Upi</v>
      </c>
      <c r="T568" t="str">
        <v>Electronics</v>
      </c>
      <c r="U568" t="str">
        <f t="shared" si="58"/>
        <v>VALID</v>
      </c>
      <c r="V568" t="str">
        <f t="shared" si="59"/>
        <v>NORMAL</v>
      </c>
      <c r="W568" t="str">
        <f t="shared" si="60"/>
        <v>Valid</v>
      </c>
      <c r="X568">
        <f t="shared" si="62"/>
        <v>256909.64</v>
      </c>
      <c r="Y568">
        <f t="shared" si="61"/>
        <v>256909.64</v>
      </c>
    </row>
    <row r="569" spans="1:25" x14ac:dyDescent="0.3">
      <c r="A569" t="s">
        <v>891</v>
      </c>
      <c r="B569" s="1">
        <v>45378</v>
      </c>
      <c r="C569" t="s">
        <v>572</v>
      </c>
      <c r="D569" t="s">
        <v>85</v>
      </c>
      <c r="E569" t="s">
        <v>86</v>
      </c>
      <c r="F569" t="s">
        <v>20</v>
      </c>
      <c r="G569" t="s">
        <v>56</v>
      </c>
      <c r="H569" t="s">
        <v>123</v>
      </c>
      <c r="I569">
        <v>2</v>
      </c>
      <c r="J569">
        <v>1833.16</v>
      </c>
      <c r="K569">
        <v>0.2</v>
      </c>
      <c r="L569">
        <v>2933.06</v>
      </c>
      <c r="M569" t="s">
        <v>48</v>
      </c>
      <c r="N569" t="s">
        <v>71</v>
      </c>
      <c r="O569" t="s">
        <v>65</v>
      </c>
      <c r="P569" t="s">
        <v>116</v>
      </c>
      <c r="Q569" t="str">
        <f t="shared" si="56"/>
        <v>Completed</v>
      </c>
      <c r="R569" t="str">
        <f t="shared" si="57"/>
        <v>Marketplace</v>
      </c>
      <c r="S569" t="str">
        <v>Upi</v>
      </c>
      <c r="T569" t="str">
        <v>Accessories</v>
      </c>
      <c r="U569" t="str">
        <f t="shared" si="58"/>
        <v>VALID</v>
      </c>
      <c r="V569" t="str">
        <f t="shared" si="59"/>
        <v>NORMAL</v>
      </c>
      <c r="W569" t="str">
        <f t="shared" si="60"/>
        <v>Valid</v>
      </c>
      <c r="X569">
        <f t="shared" si="62"/>
        <v>3666.32</v>
      </c>
      <c r="Y569">
        <f t="shared" si="61"/>
        <v>2933.056</v>
      </c>
    </row>
    <row r="570" spans="1:25" x14ac:dyDescent="0.3">
      <c r="A570" t="s">
        <v>892</v>
      </c>
      <c r="B570" s="1">
        <v>45860</v>
      </c>
      <c r="C570" t="s">
        <v>370</v>
      </c>
      <c r="D570" t="s">
        <v>96</v>
      </c>
      <c r="E570" t="s">
        <v>97</v>
      </c>
      <c r="F570" t="s">
        <v>31</v>
      </c>
      <c r="G570" t="s">
        <v>32</v>
      </c>
      <c r="I570">
        <v>3</v>
      </c>
      <c r="J570">
        <v>1185.33</v>
      </c>
      <c r="K570">
        <v>0.03</v>
      </c>
      <c r="L570">
        <v>3449.31</v>
      </c>
      <c r="M570" t="s">
        <v>23</v>
      </c>
      <c r="N570" t="s">
        <v>24</v>
      </c>
      <c r="O570" t="s">
        <v>65</v>
      </c>
      <c r="P570" t="s">
        <v>59</v>
      </c>
      <c r="Q570" t="str">
        <f t="shared" si="56"/>
        <v>Completed</v>
      </c>
      <c r="R570" t="str">
        <f t="shared" si="57"/>
        <v>Online</v>
      </c>
      <c r="S570" t="str">
        <v>Debit Card</v>
      </c>
      <c r="T570" t="str">
        <v>Electronics</v>
      </c>
      <c r="U570" t="str">
        <f t="shared" si="58"/>
        <v>VALID</v>
      </c>
      <c r="V570" t="str">
        <f t="shared" si="59"/>
        <v>NORMAL</v>
      </c>
      <c r="W570" t="str">
        <f t="shared" si="60"/>
        <v>Valid</v>
      </c>
      <c r="X570">
        <f t="shared" si="62"/>
        <v>3555.99</v>
      </c>
      <c r="Y570">
        <f t="shared" si="61"/>
        <v>3449.3102999999996</v>
      </c>
    </row>
    <row r="571" spans="1:25" x14ac:dyDescent="0.3">
      <c r="A571" t="s">
        <v>893</v>
      </c>
      <c r="B571" s="1">
        <v>45314</v>
      </c>
      <c r="C571" t="s">
        <v>419</v>
      </c>
      <c r="D571" t="s">
        <v>170</v>
      </c>
      <c r="E571" t="s">
        <v>171</v>
      </c>
      <c r="F571" t="s">
        <v>31</v>
      </c>
      <c r="G571" t="s">
        <v>56</v>
      </c>
      <c r="H571" t="s">
        <v>101</v>
      </c>
      <c r="I571">
        <v>4</v>
      </c>
      <c r="J571">
        <v>62338.25</v>
      </c>
      <c r="K571">
        <v>0.2</v>
      </c>
      <c r="L571">
        <v>199482.4</v>
      </c>
      <c r="M571" t="s">
        <v>48</v>
      </c>
      <c r="N571" t="s">
        <v>49</v>
      </c>
      <c r="O571" t="s">
        <v>65</v>
      </c>
      <c r="P571" t="s">
        <v>72</v>
      </c>
      <c r="Q571" t="str">
        <f t="shared" si="56"/>
        <v>Completed</v>
      </c>
      <c r="R571" t="str">
        <f t="shared" si="57"/>
        <v>Marketplace</v>
      </c>
      <c r="S571" t="str">
        <v>Net Banking</v>
      </c>
      <c r="T571" t="str">
        <v>Electronics</v>
      </c>
      <c r="U571" t="str">
        <f t="shared" si="58"/>
        <v>VALID</v>
      </c>
      <c r="V571" t="str">
        <f t="shared" si="59"/>
        <v>NORMAL</v>
      </c>
      <c r="W571" t="str">
        <f t="shared" si="60"/>
        <v>Valid</v>
      </c>
      <c r="X571">
        <f t="shared" si="62"/>
        <v>249353</v>
      </c>
      <c r="Y571">
        <f t="shared" si="61"/>
        <v>199482.4</v>
      </c>
    </row>
    <row r="572" spans="1:25" x14ac:dyDescent="0.3">
      <c r="A572" t="s">
        <v>894</v>
      </c>
      <c r="B572" s="1">
        <v>45365</v>
      </c>
      <c r="C572" t="s">
        <v>275</v>
      </c>
      <c r="D572" t="s">
        <v>45</v>
      </c>
      <c r="E572" t="s">
        <v>46</v>
      </c>
      <c r="F572" t="s">
        <v>31</v>
      </c>
      <c r="G572" t="s">
        <v>21</v>
      </c>
      <c r="H572" t="s">
        <v>41</v>
      </c>
      <c r="I572">
        <v>2</v>
      </c>
      <c r="J572">
        <v>1782.44</v>
      </c>
      <c r="K572">
        <v>0.03</v>
      </c>
      <c r="L572">
        <v>3457.93</v>
      </c>
      <c r="M572" t="s">
        <v>48</v>
      </c>
      <c r="N572" t="s">
        <v>49</v>
      </c>
      <c r="O572" t="s">
        <v>25</v>
      </c>
      <c r="P572" t="s">
        <v>50</v>
      </c>
      <c r="Q572" t="str">
        <f t="shared" si="56"/>
        <v>Returned</v>
      </c>
      <c r="R572" t="str">
        <f t="shared" si="57"/>
        <v>Marketplace</v>
      </c>
      <c r="S572" t="str">
        <v>Net Banking</v>
      </c>
      <c r="T572" t="str">
        <v>Electronics</v>
      </c>
      <c r="U572" t="str">
        <f t="shared" si="58"/>
        <v>VALID</v>
      </c>
      <c r="V572" t="str">
        <f t="shared" si="59"/>
        <v>NORMAL</v>
      </c>
      <c r="W572" t="str">
        <f t="shared" si="60"/>
        <v>Valid</v>
      </c>
      <c r="X572">
        <f t="shared" si="62"/>
        <v>3564.88</v>
      </c>
      <c r="Y572">
        <f t="shared" si="61"/>
        <v>3457.9336000000003</v>
      </c>
    </row>
    <row r="573" spans="1:25" x14ac:dyDescent="0.3">
      <c r="A573" t="s">
        <v>895</v>
      </c>
      <c r="B573" s="1">
        <v>45983</v>
      </c>
      <c r="C573" t="s">
        <v>283</v>
      </c>
      <c r="D573" t="s">
        <v>89</v>
      </c>
      <c r="E573" t="s">
        <v>90</v>
      </c>
      <c r="F573" t="s">
        <v>20</v>
      </c>
      <c r="G573" t="s">
        <v>32</v>
      </c>
      <c r="H573" t="s">
        <v>47</v>
      </c>
      <c r="I573">
        <v>3</v>
      </c>
      <c r="J573">
        <v>739.44</v>
      </c>
      <c r="K573">
        <v>0.15</v>
      </c>
      <c r="L573">
        <v>1885.57</v>
      </c>
      <c r="M573" t="s">
        <v>76</v>
      </c>
      <c r="N573" t="s">
        <v>49</v>
      </c>
      <c r="O573" t="s">
        <v>65</v>
      </c>
      <c r="P573" t="s">
        <v>111</v>
      </c>
      <c r="Q573" t="str">
        <f t="shared" si="56"/>
        <v>Completed</v>
      </c>
      <c r="R573" t="str">
        <f t="shared" si="57"/>
        <v>Store</v>
      </c>
      <c r="S573" t="str">
        <v>Net Banking</v>
      </c>
      <c r="T573" t="str">
        <v>Accessories</v>
      </c>
      <c r="U573" t="str">
        <f t="shared" si="58"/>
        <v>VALID</v>
      </c>
      <c r="V573" t="str">
        <f t="shared" si="59"/>
        <v>NORMAL</v>
      </c>
      <c r="W573" t="str">
        <f t="shared" si="60"/>
        <v>Valid</v>
      </c>
      <c r="X573">
        <f t="shared" si="62"/>
        <v>2218.3200000000002</v>
      </c>
      <c r="Y573">
        <f t="shared" si="61"/>
        <v>1885.5720000000001</v>
      </c>
    </row>
    <row r="574" spans="1:25" x14ac:dyDescent="0.3">
      <c r="A574" t="s">
        <v>896</v>
      </c>
      <c r="B574" s="1">
        <v>46030</v>
      </c>
      <c r="C574" t="s">
        <v>70</v>
      </c>
      <c r="D574" t="s">
        <v>89</v>
      </c>
      <c r="E574" t="s">
        <v>90</v>
      </c>
      <c r="F574" t="s">
        <v>20</v>
      </c>
      <c r="G574" t="s">
        <v>21</v>
      </c>
      <c r="H574" t="s">
        <v>126</v>
      </c>
      <c r="I574">
        <v>3</v>
      </c>
      <c r="J574">
        <v>701.67</v>
      </c>
      <c r="K574">
        <v>0.03</v>
      </c>
      <c r="L574">
        <v>2041.86</v>
      </c>
      <c r="M574" t="s">
        <v>48</v>
      </c>
      <c r="N574" t="s">
        <v>71</v>
      </c>
      <c r="O574" t="s">
        <v>65</v>
      </c>
      <c r="P574" t="s">
        <v>26</v>
      </c>
      <c r="Q574" t="str">
        <f t="shared" si="56"/>
        <v>Completed</v>
      </c>
      <c r="R574" t="str">
        <f t="shared" si="57"/>
        <v>Marketplace</v>
      </c>
      <c r="S574" t="str">
        <v>Upi</v>
      </c>
      <c r="T574" t="str">
        <v>Accessories</v>
      </c>
      <c r="U574" t="str">
        <f t="shared" si="58"/>
        <v>VALID</v>
      </c>
      <c r="V574" t="str">
        <f t="shared" si="59"/>
        <v>NORMAL</v>
      </c>
      <c r="W574" t="str">
        <f t="shared" si="60"/>
        <v>Valid</v>
      </c>
      <c r="X574">
        <f t="shared" si="62"/>
        <v>2105.0099999999998</v>
      </c>
      <c r="Y574">
        <f t="shared" si="61"/>
        <v>2041.8596999999997</v>
      </c>
    </row>
    <row r="575" spans="1:25" x14ac:dyDescent="0.3">
      <c r="A575" t="s">
        <v>897</v>
      </c>
      <c r="B575" s="1">
        <v>46039</v>
      </c>
      <c r="C575" t="s">
        <v>640</v>
      </c>
      <c r="D575" t="s">
        <v>18</v>
      </c>
      <c r="E575" t="s">
        <v>19</v>
      </c>
      <c r="F575" t="s">
        <v>20</v>
      </c>
      <c r="G575" t="s">
        <v>32</v>
      </c>
      <c r="H575" t="s">
        <v>75</v>
      </c>
      <c r="I575">
        <v>5</v>
      </c>
      <c r="J575">
        <v>815.85</v>
      </c>
      <c r="K575">
        <v>0.2</v>
      </c>
      <c r="L575">
        <v>3263.4</v>
      </c>
      <c r="M575" t="s">
        <v>23</v>
      </c>
      <c r="N575" t="s">
        <v>49</v>
      </c>
      <c r="O575" t="s">
        <v>65</v>
      </c>
      <c r="P575" t="s">
        <v>102</v>
      </c>
      <c r="Q575" t="str">
        <f t="shared" si="56"/>
        <v>Completed</v>
      </c>
      <c r="R575" t="str">
        <f t="shared" si="57"/>
        <v>Online</v>
      </c>
      <c r="S575" t="str">
        <v>Net Banking</v>
      </c>
      <c r="T575" t="str">
        <v>Accessories</v>
      </c>
      <c r="U575" t="str">
        <f t="shared" si="58"/>
        <v>VALID</v>
      </c>
      <c r="V575" t="str">
        <f t="shared" si="59"/>
        <v>NORMAL</v>
      </c>
      <c r="W575" t="str">
        <f t="shared" si="60"/>
        <v>Valid</v>
      </c>
      <c r="X575">
        <f t="shared" si="62"/>
        <v>4079.25</v>
      </c>
      <c r="Y575">
        <f t="shared" si="61"/>
        <v>3263.4</v>
      </c>
    </row>
    <row r="576" spans="1:25" x14ac:dyDescent="0.3">
      <c r="A576" t="s">
        <v>898</v>
      </c>
      <c r="B576" s="1">
        <v>45485</v>
      </c>
      <c r="C576" t="s">
        <v>535</v>
      </c>
      <c r="D576" t="s">
        <v>62</v>
      </c>
      <c r="E576" t="s">
        <v>63</v>
      </c>
      <c r="F576" t="s">
        <v>31</v>
      </c>
      <c r="G576" t="s">
        <v>56</v>
      </c>
      <c r="H576" t="s">
        <v>101</v>
      </c>
      <c r="I576">
        <v>3</v>
      </c>
      <c r="J576">
        <v>2650.95</v>
      </c>
      <c r="K576">
        <v>0.1</v>
      </c>
      <c r="L576">
        <v>7157.56</v>
      </c>
      <c r="M576" t="s">
        <v>48</v>
      </c>
      <c r="N576" t="s">
        <v>58</v>
      </c>
      <c r="O576" t="s">
        <v>65</v>
      </c>
      <c r="P576" t="s">
        <v>59</v>
      </c>
      <c r="Q576" t="str">
        <f t="shared" si="56"/>
        <v>Completed</v>
      </c>
      <c r="R576" t="str">
        <f t="shared" si="57"/>
        <v>Marketplace</v>
      </c>
      <c r="S576" t="str">
        <v>Credit Card</v>
      </c>
      <c r="T576" t="str">
        <v>Electronics</v>
      </c>
      <c r="U576" t="str">
        <f t="shared" si="58"/>
        <v>VALID</v>
      </c>
      <c r="V576" t="str">
        <f t="shared" si="59"/>
        <v>NORMAL</v>
      </c>
      <c r="W576" t="str">
        <f t="shared" si="60"/>
        <v>Valid</v>
      </c>
      <c r="X576">
        <f t="shared" si="62"/>
        <v>7952.8499999999995</v>
      </c>
      <c r="Y576">
        <f t="shared" si="61"/>
        <v>7157.5649999999996</v>
      </c>
    </row>
    <row r="577" spans="1:25" x14ac:dyDescent="0.3">
      <c r="A577" t="s">
        <v>899</v>
      </c>
      <c r="B577" s="1">
        <v>45952</v>
      </c>
      <c r="D577" t="s">
        <v>89</v>
      </c>
      <c r="E577" t="s">
        <v>90</v>
      </c>
      <c r="F577" t="s">
        <v>20</v>
      </c>
      <c r="G577" t="s">
        <v>32</v>
      </c>
      <c r="H577" t="s">
        <v>68</v>
      </c>
      <c r="I577">
        <v>4</v>
      </c>
      <c r="J577">
        <v>667.65</v>
      </c>
      <c r="K577">
        <v>0.08</v>
      </c>
      <c r="L577">
        <v>2456.9499999999998</v>
      </c>
      <c r="M577" t="s">
        <v>23</v>
      </c>
      <c r="N577" t="s">
        <v>34</v>
      </c>
      <c r="O577" t="s">
        <v>35</v>
      </c>
      <c r="P577" t="s">
        <v>116</v>
      </c>
      <c r="Q577" t="str">
        <f t="shared" si="56"/>
        <v>Cancelled</v>
      </c>
      <c r="R577" t="str">
        <f t="shared" si="57"/>
        <v>Online</v>
      </c>
      <c r="S577" t="str">
        <v>Cash On Delivery</v>
      </c>
      <c r="T577" t="str">
        <v>Accessories</v>
      </c>
      <c r="U577" t="str">
        <f t="shared" si="58"/>
        <v>VALID</v>
      </c>
      <c r="V577" t="str">
        <f t="shared" si="59"/>
        <v>NORMAL</v>
      </c>
      <c r="W577" t="str">
        <f t="shared" si="60"/>
        <v>Valid</v>
      </c>
      <c r="X577">
        <f t="shared" si="62"/>
        <v>2670.6</v>
      </c>
      <c r="Y577">
        <f t="shared" si="61"/>
        <v>2456.9519999999998</v>
      </c>
    </row>
    <row r="578" spans="1:25" x14ac:dyDescent="0.3">
      <c r="A578" t="s">
        <v>900</v>
      </c>
      <c r="B578" s="1">
        <v>45305</v>
      </c>
      <c r="C578" t="s">
        <v>348</v>
      </c>
      <c r="D578" t="s">
        <v>96</v>
      </c>
      <c r="E578" t="s">
        <v>97</v>
      </c>
      <c r="F578" t="s">
        <v>31</v>
      </c>
      <c r="G578" t="s">
        <v>81</v>
      </c>
      <c r="H578" t="s">
        <v>135</v>
      </c>
      <c r="I578">
        <v>4</v>
      </c>
      <c r="J578">
        <v>1272.27</v>
      </c>
      <c r="K578">
        <v>0.03</v>
      </c>
      <c r="L578">
        <v>4936.41</v>
      </c>
      <c r="M578" t="s">
        <v>23</v>
      </c>
      <c r="N578" t="s">
        <v>24</v>
      </c>
      <c r="O578" t="s">
        <v>65</v>
      </c>
      <c r="P578" t="s">
        <v>111</v>
      </c>
      <c r="Q578" t="str">
        <f t="shared" si="56"/>
        <v>Completed</v>
      </c>
      <c r="R578" t="str">
        <f t="shared" si="57"/>
        <v>Online</v>
      </c>
      <c r="S578" t="str">
        <v>Debit Card</v>
      </c>
      <c r="T578" t="str">
        <v>Electronics</v>
      </c>
      <c r="U578" t="str">
        <f t="shared" si="58"/>
        <v>VALID</v>
      </c>
      <c r="V578" t="str">
        <f t="shared" si="59"/>
        <v>NORMAL</v>
      </c>
      <c r="W578" t="str">
        <f t="shared" si="60"/>
        <v>Valid</v>
      </c>
      <c r="X578">
        <f t="shared" si="62"/>
        <v>5089.08</v>
      </c>
      <c r="Y578">
        <f t="shared" si="61"/>
        <v>4936.4075999999995</v>
      </c>
    </row>
    <row r="579" spans="1:25" x14ac:dyDescent="0.3">
      <c r="A579" t="s">
        <v>901</v>
      </c>
      <c r="B579" s="1">
        <v>45369</v>
      </c>
      <c r="C579" t="s">
        <v>391</v>
      </c>
      <c r="D579" t="s">
        <v>18</v>
      </c>
      <c r="E579" t="s">
        <v>19</v>
      </c>
      <c r="F579" t="s">
        <v>20</v>
      </c>
      <c r="G579" t="s">
        <v>21</v>
      </c>
      <c r="H579" t="s">
        <v>93</v>
      </c>
      <c r="I579">
        <v>4</v>
      </c>
      <c r="J579">
        <v>884.18</v>
      </c>
      <c r="K579">
        <v>0.08</v>
      </c>
      <c r="L579">
        <v>3253.78</v>
      </c>
      <c r="M579" t="s">
        <v>76</v>
      </c>
      <c r="N579" t="s">
        <v>58</v>
      </c>
      <c r="O579" t="s">
        <v>65</v>
      </c>
      <c r="P579" t="s">
        <v>42</v>
      </c>
      <c r="Q579" t="str">
        <f t="shared" ref="Q579:Q642" si="63">PROPER(O579)</f>
        <v>Completed</v>
      </c>
      <c r="R579" t="str">
        <f t="shared" ref="R579:R642" si="64">PROPER(M579)</f>
        <v>Store</v>
      </c>
      <c r="S579" t="str">
        <v>Credit Card</v>
      </c>
      <c r="T579" t="str">
        <v>Accessories</v>
      </c>
      <c r="U579" t="str">
        <f t="shared" ref="U579:U642" si="65">IF(I579&lt;=0,"INVALID","VALID")</f>
        <v>VALID</v>
      </c>
      <c r="V579" t="str">
        <f t="shared" ref="V579:V642" si="66">IF(I579&gt;100,"REVIEW","NORMAL")</f>
        <v>NORMAL</v>
      </c>
      <c r="W579" t="str">
        <f t="shared" ref="W579:W642" si="67">IF(OR(K579&lt;0,K579&gt;1),"Invalid","Valid")</f>
        <v>Valid</v>
      </c>
      <c r="X579">
        <f t="shared" si="62"/>
        <v>3536.72</v>
      </c>
      <c r="Y579">
        <f t="shared" ref="Y579:Y642" si="68">I579*J579-(I579*J579*K579)</f>
        <v>3253.7824000000001</v>
      </c>
    </row>
    <row r="580" spans="1:25" x14ac:dyDescent="0.3">
      <c r="A580" t="s">
        <v>902</v>
      </c>
      <c r="B580" s="1">
        <v>45549</v>
      </c>
      <c r="C580" t="s">
        <v>468</v>
      </c>
      <c r="D580" t="s">
        <v>131</v>
      </c>
      <c r="E580" t="s">
        <v>132</v>
      </c>
      <c r="F580" t="s">
        <v>40</v>
      </c>
      <c r="G580" t="s">
        <v>81</v>
      </c>
      <c r="H580" t="s">
        <v>87</v>
      </c>
      <c r="I580">
        <v>5</v>
      </c>
      <c r="J580">
        <v>10242.030000000001</v>
      </c>
      <c r="K580">
        <v>0.03</v>
      </c>
      <c r="L580">
        <v>49673.85</v>
      </c>
      <c r="M580" t="s">
        <v>23</v>
      </c>
      <c r="N580" t="s">
        <v>24</v>
      </c>
      <c r="O580" t="s">
        <v>65</v>
      </c>
      <c r="P580" t="s">
        <v>42</v>
      </c>
      <c r="Q580" t="str">
        <f t="shared" si="63"/>
        <v>Completed</v>
      </c>
      <c r="R580" t="str">
        <f t="shared" si="64"/>
        <v>Online</v>
      </c>
      <c r="S580" t="str">
        <v>Debit Card</v>
      </c>
      <c r="T580" t="str">
        <v>Furniture</v>
      </c>
      <c r="U580" t="str">
        <f t="shared" si="65"/>
        <v>VALID</v>
      </c>
      <c r="V580" t="str">
        <f t="shared" si="66"/>
        <v>NORMAL</v>
      </c>
      <c r="W580" t="str">
        <f t="shared" si="67"/>
        <v>Valid</v>
      </c>
      <c r="X580">
        <f t="shared" ref="X580:X643" si="69">I580*J580</f>
        <v>51210.15</v>
      </c>
      <c r="Y580">
        <f t="shared" si="68"/>
        <v>49673.845500000003</v>
      </c>
    </row>
    <row r="581" spans="1:25" x14ac:dyDescent="0.3">
      <c r="A581" t="s">
        <v>903</v>
      </c>
      <c r="B581" s="1">
        <v>45518</v>
      </c>
      <c r="C581" t="s">
        <v>574</v>
      </c>
      <c r="D581" t="s">
        <v>38</v>
      </c>
      <c r="E581" t="s">
        <v>39</v>
      </c>
      <c r="F581" t="s">
        <v>40</v>
      </c>
      <c r="G581" t="s">
        <v>81</v>
      </c>
      <c r="H581" t="s">
        <v>87</v>
      </c>
      <c r="I581">
        <v>3</v>
      </c>
      <c r="J581">
        <v>1603.21</v>
      </c>
      <c r="K581">
        <v>0.15</v>
      </c>
      <c r="L581">
        <v>4088.19</v>
      </c>
      <c r="M581" t="s">
        <v>23</v>
      </c>
      <c r="N581" t="s">
        <v>49</v>
      </c>
      <c r="O581" t="s">
        <v>65</v>
      </c>
      <c r="P581" t="s">
        <v>26</v>
      </c>
      <c r="Q581" t="str">
        <f t="shared" si="63"/>
        <v>Completed</v>
      </c>
      <c r="R581" t="str">
        <f t="shared" si="64"/>
        <v>Online</v>
      </c>
      <c r="S581" t="str">
        <v>Net Banking</v>
      </c>
      <c r="T581" t="str">
        <v>Furniture</v>
      </c>
      <c r="U581" t="str">
        <f t="shared" si="65"/>
        <v>VALID</v>
      </c>
      <c r="V581" t="str">
        <f t="shared" si="66"/>
        <v>NORMAL</v>
      </c>
      <c r="W581" t="str">
        <f t="shared" si="67"/>
        <v>Valid</v>
      </c>
      <c r="X581">
        <f t="shared" si="69"/>
        <v>4809.63</v>
      </c>
      <c r="Y581">
        <f t="shared" si="68"/>
        <v>4088.1855</v>
      </c>
    </row>
    <row r="582" spans="1:25" x14ac:dyDescent="0.3">
      <c r="A582" t="s">
        <v>904</v>
      </c>
      <c r="B582" s="1">
        <v>45889</v>
      </c>
      <c r="C582" t="s">
        <v>208</v>
      </c>
      <c r="D582" t="s">
        <v>89</v>
      </c>
      <c r="E582" t="s">
        <v>90</v>
      </c>
      <c r="F582" t="s">
        <v>20</v>
      </c>
      <c r="G582" t="s">
        <v>56</v>
      </c>
      <c r="H582" t="s">
        <v>123</v>
      </c>
      <c r="I582">
        <v>5</v>
      </c>
      <c r="J582">
        <v>735.6</v>
      </c>
      <c r="K582">
        <v>0.05</v>
      </c>
      <c r="L582">
        <v>3494.1</v>
      </c>
      <c r="M582" t="s">
        <v>48</v>
      </c>
      <c r="O582" t="s">
        <v>65</v>
      </c>
      <c r="P582" t="s">
        <v>59</v>
      </c>
      <c r="Q582" t="str">
        <f t="shared" si="63"/>
        <v>Completed</v>
      </c>
      <c r="R582" t="str">
        <f t="shared" si="64"/>
        <v>Marketplace</v>
      </c>
      <c r="S582" t="str">
        <v/>
      </c>
      <c r="T582" t="str">
        <v>Accessories</v>
      </c>
      <c r="U582" t="str">
        <f t="shared" si="65"/>
        <v>VALID</v>
      </c>
      <c r="V582" t="str">
        <f t="shared" si="66"/>
        <v>NORMAL</v>
      </c>
      <c r="W582" t="str">
        <f t="shared" si="67"/>
        <v>Valid</v>
      </c>
      <c r="X582">
        <f t="shared" si="69"/>
        <v>3678</v>
      </c>
      <c r="Y582">
        <f t="shared" si="68"/>
        <v>3494.1</v>
      </c>
    </row>
    <row r="583" spans="1:25" x14ac:dyDescent="0.3">
      <c r="A583" t="s">
        <v>905</v>
      </c>
      <c r="B583" s="1">
        <v>45934</v>
      </c>
      <c r="C583" t="s">
        <v>115</v>
      </c>
      <c r="D583" t="s">
        <v>176</v>
      </c>
      <c r="E583" t="s">
        <v>177</v>
      </c>
      <c r="F583" t="s">
        <v>31</v>
      </c>
      <c r="G583" t="s">
        <v>81</v>
      </c>
      <c r="H583" t="s">
        <v>98</v>
      </c>
      <c r="I583">
        <v>5</v>
      </c>
      <c r="J583">
        <v>2362.5700000000002</v>
      </c>
      <c r="K583">
        <v>0.15</v>
      </c>
      <c r="L583">
        <v>10040.92</v>
      </c>
      <c r="M583" t="s">
        <v>76</v>
      </c>
      <c r="N583" t="s">
        <v>34</v>
      </c>
      <c r="O583" t="s">
        <v>65</v>
      </c>
      <c r="P583" t="s">
        <v>102</v>
      </c>
      <c r="Q583" t="str">
        <f t="shared" si="63"/>
        <v>Completed</v>
      </c>
      <c r="R583" t="str">
        <f t="shared" si="64"/>
        <v>Store</v>
      </c>
      <c r="S583" t="str">
        <v>Cash On Delivery</v>
      </c>
      <c r="T583" t="str">
        <v>Electronics</v>
      </c>
      <c r="U583" t="str">
        <f t="shared" si="65"/>
        <v>VALID</v>
      </c>
      <c r="V583" t="str">
        <f t="shared" si="66"/>
        <v>NORMAL</v>
      </c>
      <c r="W583" t="str">
        <f t="shared" si="67"/>
        <v>Valid</v>
      </c>
      <c r="X583">
        <f t="shared" si="69"/>
        <v>11812.85</v>
      </c>
      <c r="Y583">
        <f t="shared" si="68"/>
        <v>10040.922500000001</v>
      </c>
    </row>
    <row r="584" spans="1:25" x14ac:dyDescent="0.3">
      <c r="A584" t="s">
        <v>906</v>
      </c>
      <c r="B584" s="1">
        <v>45673</v>
      </c>
      <c r="C584" t="s">
        <v>599</v>
      </c>
      <c r="D584" t="s">
        <v>79</v>
      </c>
      <c r="E584" t="s">
        <v>80</v>
      </c>
      <c r="F584" t="s">
        <v>31</v>
      </c>
      <c r="G584" t="s">
        <v>56</v>
      </c>
      <c r="H584" t="s">
        <v>101</v>
      </c>
      <c r="I584">
        <v>3</v>
      </c>
      <c r="J584">
        <v>13420.45</v>
      </c>
      <c r="K584">
        <v>0.1</v>
      </c>
      <c r="L584">
        <v>36235.22</v>
      </c>
      <c r="M584" t="s">
        <v>23</v>
      </c>
      <c r="N584" t="s">
        <v>34</v>
      </c>
      <c r="O584" t="s">
        <v>65</v>
      </c>
      <c r="P584" t="s">
        <v>116</v>
      </c>
      <c r="Q584" t="str">
        <f t="shared" si="63"/>
        <v>Completed</v>
      </c>
      <c r="R584" t="str">
        <f t="shared" si="64"/>
        <v>Online</v>
      </c>
      <c r="S584" t="str">
        <v>Cash On Delivery</v>
      </c>
      <c r="T584" t="str">
        <v>Electronics</v>
      </c>
      <c r="U584" t="str">
        <f t="shared" si="65"/>
        <v>VALID</v>
      </c>
      <c r="V584" t="str">
        <f t="shared" si="66"/>
        <v>NORMAL</v>
      </c>
      <c r="W584" t="str">
        <f t="shared" si="67"/>
        <v>Valid</v>
      </c>
      <c r="X584">
        <f t="shared" si="69"/>
        <v>40261.350000000006</v>
      </c>
      <c r="Y584">
        <f t="shared" si="68"/>
        <v>36235.215000000004</v>
      </c>
    </row>
    <row r="585" spans="1:25" x14ac:dyDescent="0.3">
      <c r="A585" t="s">
        <v>907</v>
      </c>
      <c r="B585" s="1">
        <v>45928</v>
      </c>
      <c r="C585" t="s">
        <v>406</v>
      </c>
      <c r="D585" t="s">
        <v>170</v>
      </c>
      <c r="E585" t="s">
        <v>171</v>
      </c>
      <c r="F585" t="s">
        <v>31</v>
      </c>
      <c r="G585" t="s">
        <v>81</v>
      </c>
      <c r="H585" t="s">
        <v>98</v>
      </c>
      <c r="I585">
        <v>4</v>
      </c>
      <c r="J585">
        <v>60042.23</v>
      </c>
      <c r="K585">
        <v>0.05</v>
      </c>
      <c r="L585">
        <v>228160.47</v>
      </c>
      <c r="M585" t="s">
        <v>23</v>
      </c>
      <c r="N585" t="s">
        <v>24</v>
      </c>
      <c r="O585" t="s">
        <v>65</v>
      </c>
      <c r="P585" t="s">
        <v>26</v>
      </c>
      <c r="Q585" t="str">
        <f t="shared" si="63"/>
        <v>Completed</v>
      </c>
      <c r="R585" t="str">
        <f t="shared" si="64"/>
        <v>Online</v>
      </c>
      <c r="S585" t="str">
        <v>Debit Card</v>
      </c>
      <c r="T585" t="str">
        <v>Electronics</v>
      </c>
      <c r="U585" t="str">
        <f t="shared" si="65"/>
        <v>VALID</v>
      </c>
      <c r="V585" t="str">
        <f t="shared" si="66"/>
        <v>NORMAL</v>
      </c>
      <c r="W585" t="str">
        <f t="shared" si="67"/>
        <v>Valid</v>
      </c>
      <c r="X585">
        <f t="shared" si="69"/>
        <v>240168.92</v>
      </c>
      <c r="Y585">
        <f t="shared" si="68"/>
        <v>228160.47400000002</v>
      </c>
    </row>
    <row r="586" spans="1:25" x14ac:dyDescent="0.3">
      <c r="A586" t="s">
        <v>908</v>
      </c>
      <c r="B586" s="1">
        <v>45788</v>
      </c>
      <c r="C586" t="s">
        <v>554</v>
      </c>
      <c r="D586" t="s">
        <v>176</v>
      </c>
      <c r="E586" t="s">
        <v>177</v>
      </c>
      <c r="F586" t="s">
        <v>31</v>
      </c>
      <c r="G586" t="s">
        <v>56</v>
      </c>
      <c r="H586" t="s">
        <v>64</v>
      </c>
      <c r="I586">
        <v>4</v>
      </c>
      <c r="J586">
        <v>2120.27</v>
      </c>
      <c r="K586">
        <v>0.1</v>
      </c>
      <c r="L586">
        <v>7632.97</v>
      </c>
      <c r="M586" t="s">
        <v>23</v>
      </c>
      <c r="N586" t="s">
        <v>58</v>
      </c>
      <c r="O586" t="s">
        <v>65</v>
      </c>
      <c r="Q586" t="str">
        <f t="shared" si="63"/>
        <v>Completed</v>
      </c>
      <c r="R586" t="str">
        <f t="shared" si="64"/>
        <v>Online</v>
      </c>
      <c r="S586" t="str">
        <v>Credit Card</v>
      </c>
      <c r="T586" t="str">
        <v>Electronics</v>
      </c>
      <c r="U586" t="str">
        <f t="shared" si="65"/>
        <v>VALID</v>
      </c>
      <c r="V586" t="str">
        <f t="shared" si="66"/>
        <v>NORMAL</v>
      </c>
      <c r="W586" t="str">
        <f t="shared" si="67"/>
        <v>Valid</v>
      </c>
      <c r="X586">
        <f t="shared" si="69"/>
        <v>8481.08</v>
      </c>
      <c r="Y586">
        <f t="shared" si="68"/>
        <v>7632.9719999999998</v>
      </c>
    </row>
    <row r="587" spans="1:25" x14ac:dyDescent="0.3">
      <c r="A587" t="s">
        <v>909</v>
      </c>
      <c r="B587" s="1">
        <v>45576</v>
      </c>
      <c r="C587" t="s">
        <v>357</v>
      </c>
      <c r="D587" t="s">
        <v>53</v>
      </c>
      <c r="E587" t="s">
        <v>54</v>
      </c>
      <c r="F587" t="s">
        <v>55</v>
      </c>
      <c r="G587" t="s">
        <v>81</v>
      </c>
      <c r="H587" t="s">
        <v>82</v>
      </c>
      <c r="I587">
        <v>2</v>
      </c>
      <c r="J587">
        <v>207.94</v>
      </c>
      <c r="K587">
        <v>0</v>
      </c>
      <c r="L587">
        <v>415.88</v>
      </c>
      <c r="M587" t="s">
        <v>48</v>
      </c>
      <c r="N587" t="s">
        <v>49</v>
      </c>
      <c r="O587" t="s">
        <v>65</v>
      </c>
      <c r="P587" t="s">
        <v>102</v>
      </c>
      <c r="Q587" t="str">
        <f t="shared" si="63"/>
        <v>Completed</v>
      </c>
      <c r="R587" t="str">
        <f t="shared" si="64"/>
        <v>Marketplace</v>
      </c>
      <c r="S587" t="str">
        <v>Net Banking</v>
      </c>
      <c r="T587" t="str">
        <v>Stationery</v>
      </c>
      <c r="U587" t="str">
        <f t="shared" si="65"/>
        <v>VALID</v>
      </c>
      <c r="V587" t="str">
        <f t="shared" si="66"/>
        <v>NORMAL</v>
      </c>
      <c r="W587" t="str">
        <f t="shared" si="67"/>
        <v>Valid</v>
      </c>
      <c r="X587">
        <f t="shared" si="69"/>
        <v>415.88</v>
      </c>
      <c r="Y587">
        <f t="shared" si="68"/>
        <v>415.88</v>
      </c>
    </row>
    <row r="588" spans="1:25" x14ac:dyDescent="0.3">
      <c r="A588" t="s">
        <v>910</v>
      </c>
      <c r="B588" s="1">
        <v>45525</v>
      </c>
      <c r="C588" t="s">
        <v>188</v>
      </c>
      <c r="D588" t="s">
        <v>18</v>
      </c>
      <c r="E588" t="s">
        <v>19</v>
      </c>
      <c r="F588" t="s">
        <v>20</v>
      </c>
      <c r="G588" t="s">
        <v>32</v>
      </c>
      <c r="H588" t="s">
        <v>68</v>
      </c>
      <c r="I588">
        <v>3</v>
      </c>
      <c r="J588">
        <v>858.71</v>
      </c>
      <c r="K588">
        <v>0.15</v>
      </c>
      <c r="L588">
        <v>2189.71</v>
      </c>
      <c r="M588" t="s">
        <v>23</v>
      </c>
      <c r="N588" t="s">
        <v>49</v>
      </c>
      <c r="O588" t="s">
        <v>65</v>
      </c>
      <c r="P588" t="s">
        <v>42</v>
      </c>
      <c r="Q588" t="str">
        <f t="shared" si="63"/>
        <v>Completed</v>
      </c>
      <c r="R588" t="str">
        <f t="shared" si="64"/>
        <v>Online</v>
      </c>
      <c r="S588" t="str">
        <v>Net Banking</v>
      </c>
      <c r="T588" t="str">
        <v>Accessories</v>
      </c>
      <c r="U588" t="str">
        <f t="shared" si="65"/>
        <v>VALID</v>
      </c>
      <c r="V588" t="str">
        <f t="shared" si="66"/>
        <v>NORMAL</v>
      </c>
      <c r="W588" t="str">
        <f t="shared" si="67"/>
        <v>Valid</v>
      </c>
      <c r="X588">
        <f t="shared" si="69"/>
        <v>2576.13</v>
      </c>
      <c r="Y588">
        <f t="shared" si="68"/>
        <v>2189.7105000000001</v>
      </c>
    </row>
    <row r="589" spans="1:25" x14ac:dyDescent="0.3">
      <c r="A589" t="s">
        <v>911</v>
      </c>
      <c r="B589" s="1">
        <v>45647</v>
      </c>
      <c r="C589" t="s">
        <v>243</v>
      </c>
      <c r="D589" t="s">
        <v>89</v>
      </c>
      <c r="E589" t="s">
        <v>90</v>
      </c>
      <c r="F589" t="s">
        <v>20</v>
      </c>
      <c r="G589" t="s">
        <v>56</v>
      </c>
      <c r="H589" t="s">
        <v>57</v>
      </c>
      <c r="I589">
        <v>1</v>
      </c>
      <c r="J589">
        <v>720.81</v>
      </c>
      <c r="K589">
        <v>0.03</v>
      </c>
      <c r="L589">
        <v>699.19</v>
      </c>
      <c r="M589" t="s">
        <v>76</v>
      </c>
      <c r="N589" t="s">
        <v>49</v>
      </c>
      <c r="O589" t="s">
        <v>65</v>
      </c>
      <c r="P589" t="s">
        <v>26</v>
      </c>
      <c r="Q589" t="str">
        <f t="shared" si="63"/>
        <v>Completed</v>
      </c>
      <c r="R589" t="str">
        <f t="shared" si="64"/>
        <v>Store</v>
      </c>
      <c r="S589" t="str">
        <v>Net Banking</v>
      </c>
      <c r="T589" t="str">
        <v>Accessories</v>
      </c>
      <c r="U589" t="str">
        <f t="shared" si="65"/>
        <v>VALID</v>
      </c>
      <c r="V589" t="str">
        <f t="shared" si="66"/>
        <v>NORMAL</v>
      </c>
      <c r="W589" t="str">
        <f t="shared" si="67"/>
        <v>Valid</v>
      </c>
      <c r="X589">
        <f t="shared" si="69"/>
        <v>720.81</v>
      </c>
      <c r="Y589">
        <f t="shared" si="68"/>
        <v>699.1857</v>
      </c>
    </row>
    <row r="590" spans="1:25" x14ac:dyDescent="0.3">
      <c r="A590" t="s">
        <v>912</v>
      </c>
      <c r="B590" s="1">
        <v>45389</v>
      </c>
      <c r="C590" t="s">
        <v>190</v>
      </c>
      <c r="D590" t="s">
        <v>85</v>
      </c>
      <c r="E590" t="s">
        <v>86</v>
      </c>
      <c r="F590" t="s">
        <v>20</v>
      </c>
      <c r="G590" t="s">
        <v>21</v>
      </c>
      <c r="I590">
        <v>1</v>
      </c>
      <c r="J590">
        <v>1812.96</v>
      </c>
      <c r="K590">
        <v>0.08</v>
      </c>
      <c r="L590">
        <v>1667.92</v>
      </c>
      <c r="M590" t="s">
        <v>23</v>
      </c>
      <c r="N590" t="s">
        <v>71</v>
      </c>
      <c r="O590" t="s">
        <v>65</v>
      </c>
      <c r="P590" t="s">
        <v>111</v>
      </c>
      <c r="Q590" t="str">
        <f t="shared" si="63"/>
        <v>Completed</v>
      </c>
      <c r="R590" t="str">
        <f t="shared" si="64"/>
        <v>Online</v>
      </c>
      <c r="S590" t="str">
        <v>Upi</v>
      </c>
      <c r="T590" t="str">
        <v>Accessories</v>
      </c>
      <c r="U590" t="str">
        <f t="shared" si="65"/>
        <v>VALID</v>
      </c>
      <c r="V590" t="str">
        <f t="shared" si="66"/>
        <v>NORMAL</v>
      </c>
      <c r="W590" t="str">
        <f t="shared" si="67"/>
        <v>Valid</v>
      </c>
      <c r="X590">
        <f t="shared" si="69"/>
        <v>1812.96</v>
      </c>
      <c r="Y590">
        <f t="shared" si="68"/>
        <v>1667.9232</v>
      </c>
    </row>
    <row r="591" spans="1:25" x14ac:dyDescent="0.3">
      <c r="A591" t="s">
        <v>913</v>
      </c>
      <c r="B591" s="1">
        <v>46145</v>
      </c>
      <c r="C591" t="s">
        <v>483</v>
      </c>
      <c r="D591" t="s">
        <v>176</v>
      </c>
      <c r="E591" t="s">
        <v>177</v>
      </c>
      <c r="F591" t="s">
        <v>31</v>
      </c>
      <c r="G591" t="s">
        <v>21</v>
      </c>
      <c r="H591" t="s">
        <v>93</v>
      </c>
      <c r="I591">
        <v>4</v>
      </c>
      <c r="J591">
        <v>2242.56</v>
      </c>
      <c r="K591">
        <v>0.08</v>
      </c>
      <c r="L591">
        <v>8252.6200000000008</v>
      </c>
      <c r="M591" t="s">
        <v>76</v>
      </c>
      <c r="N591" t="s">
        <v>24</v>
      </c>
      <c r="O591" t="s">
        <v>65</v>
      </c>
      <c r="P591" t="s">
        <v>42</v>
      </c>
      <c r="Q591" t="str">
        <f t="shared" si="63"/>
        <v>Completed</v>
      </c>
      <c r="R591" t="str">
        <f t="shared" si="64"/>
        <v>Store</v>
      </c>
      <c r="S591" t="str">
        <v>Debit Card</v>
      </c>
      <c r="T591" t="str">
        <v>Electronics</v>
      </c>
      <c r="U591" t="str">
        <f t="shared" si="65"/>
        <v>VALID</v>
      </c>
      <c r="V591" t="str">
        <f t="shared" si="66"/>
        <v>NORMAL</v>
      </c>
      <c r="W591" t="str">
        <f t="shared" si="67"/>
        <v>Valid</v>
      </c>
      <c r="X591">
        <f t="shared" si="69"/>
        <v>8970.24</v>
      </c>
      <c r="Y591">
        <f t="shared" si="68"/>
        <v>8252.6208000000006</v>
      </c>
    </row>
    <row r="592" spans="1:25" x14ac:dyDescent="0.3">
      <c r="A592" t="s">
        <v>914</v>
      </c>
      <c r="B592" s="1">
        <v>45363</v>
      </c>
      <c r="C592" t="s">
        <v>462</v>
      </c>
      <c r="D592" t="s">
        <v>121</v>
      </c>
      <c r="E592" t="s">
        <v>122</v>
      </c>
      <c r="F592" t="s">
        <v>55</v>
      </c>
      <c r="G592" t="s">
        <v>21</v>
      </c>
      <c r="H592" t="s">
        <v>93</v>
      </c>
      <c r="I592">
        <v>4</v>
      </c>
      <c r="J592">
        <v>471.24</v>
      </c>
      <c r="K592">
        <v>0.2</v>
      </c>
      <c r="L592">
        <v>1507.97</v>
      </c>
      <c r="M592" t="s">
        <v>23</v>
      </c>
      <c r="N592" t="s">
        <v>58</v>
      </c>
      <c r="O592" t="s">
        <v>35</v>
      </c>
      <c r="P592" t="s">
        <v>111</v>
      </c>
      <c r="Q592" t="str">
        <f t="shared" si="63"/>
        <v>Cancelled</v>
      </c>
      <c r="R592" t="str">
        <f t="shared" si="64"/>
        <v>Online</v>
      </c>
      <c r="S592" t="str">
        <v>Credit Card</v>
      </c>
      <c r="T592" t="str">
        <v>Stationery</v>
      </c>
      <c r="U592" t="str">
        <f t="shared" si="65"/>
        <v>VALID</v>
      </c>
      <c r="V592" t="str">
        <f t="shared" si="66"/>
        <v>NORMAL</v>
      </c>
      <c r="W592" t="str">
        <f t="shared" si="67"/>
        <v>Valid</v>
      </c>
      <c r="X592">
        <f t="shared" si="69"/>
        <v>1884.96</v>
      </c>
      <c r="Y592">
        <f t="shared" si="68"/>
        <v>1507.9680000000001</v>
      </c>
    </row>
    <row r="593" spans="1:25" x14ac:dyDescent="0.3">
      <c r="A593" t="s">
        <v>915</v>
      </c>
      <c r="B593" s="1">
        <v>45878</v>
      </c>
      <c r="C593" t="s">
        <v>490</v>
      </c>
      <c r="D593" t="s">
        <v>53</v>
      </c>
      <c r="E593" t="s">
        <v>54</v>
      </c>
      <c r="F593" t="s">
        <v>55</v>
      </c>
      <c r="G593" t="s">
        <v>21</v>
      </c>
      <c r="H593" t="s">
        <v>126</v>
      </c>
      <c r="I593">
        <v>1</v>
      </c>
      <c r="J593">
        <v>236.16</v>
      </c>
      <c r="K593">
        <v>0.1</v>
      </c>
      <c r="L593">
        <v>212.54</v>
      </c>
      <c r="M593" t="s">
        <v>76</v>
      </c>
      <c r="N593" t="s">
        <v>49</v>
      </c>
      <c r="O593" t="s">
        <v>65</v>
      </c>
      <c r="P593" t="s">
        <v>26</v>
      </c>
      <c r="Q593" t="str">
        <f t="shared" si="63"/>
        <v>Completed</v>
      </c>
      <c r="R593" t="str">
        <f t="shared" si="64"/>
        <v>Store</v>
      </c>
      <c r="S593" t="str">
        <v>Net Banking</v>
      </c>
      <c r="T593" t="str">
        <v>Stationery</v>
      </c>
      <c r="U593" t="str">
        <f t="shared" si="65"/>
        <v>VALID</v>
      </c>
      <c r="V593" t="str">
        <f t="shared" si="66"/>
        <v>NORMAL</v>
      </c>
      <c r="W593" t="str">
        <f t="shared" si="67"/>
        <v>Valid</v>
      </c>
      <c r="X593">
        <f t="shared" si="69"/>
        <v>236.16</v>
      </c>
      <c r="Y593">
        <f t="shared" si="68"/>
        <v>212.54399999999998</v>
      </c>
    </row>
    <row r="594" spans="1:25" x14ac:dyDescent="0.3">
      <c r="A594" t="s">
        <v>916</v>
      </c>
      <c r="B594" s="1">
        <v>45762</v>
      </c>
      <c r="C594" t="s">
        <v>159</v>
      </c>
      <c r="D594" t="s">
        <v>79</v>
      </c>
      <c r="E594" t="s">
        <v>80</v>
      </c>
      <c r="F594" t="s">
        <v>31</v>
      </c>
      <c r="G594" t="s">
        <v>81</v>
      </c>
      <c r="H594" t="s">
        <v>135</v>
      </c>
      <c r="I594">
        <v>2</v>
      </c>
      <c r="J594">
        <v>12055.4</v>
      </c>
      <c r="K594">
        <v>0.08</v>
      </c>
      <c r="L594">
        <v>22181.94</v>
      </c>
      <c r="M594" t="s">
        <v>76</v>
      </c>
      <c r="N594" t="s">
        <v>34</v>
      </c>
      <c r="O594" t="s">
        <v>65</v>
      </c>
      <c r="P594" t="s">
        <v>59</v>
      </c>
      <c r="Q594" t="str">
        <f t="shared" si="63"/>
        <v>Completed</v>
      </c>
      <c r="R594" t="str">
        <f t="shared" si="64"/>
        <v>Store</v>
      </c>
      <c r="S594" t="str">
        <v>Cash On Delivery</v>
      </c>
      <c r="T594" t="str">
        <v>Electronics</v>
      </c>
      <c r="U594" t="str">
        <f t="shared" si="65"/>
        <v>VALID</v>
      </c>
      <c r="V594" t="str">
        <f t="shared" si="66"/>
        <v>NORMAL</v>
      </c>
      <c r="W594" t="str">
        <f t="shared" si="67"/>
        <v>Valid</v>
      </c>
      <c r="X594">
        <f t="shared" si="69"/>
        <v>24110.799999999999</v>
      </c>
      <c r="Y594">
        <f t="shared" si="68"/>
        <v>22181.935999999998</v>
      </c>
    </row>
    <row r="595" spans="1:25" x14ac:dyDescent="0.3">
      <c r="A595" t="s">
        <v>917</v>
      </c>
      <c r="B595" s="1">
        <v>45842</v>
      </c>
      <c r="C595" t="s">
        <v>275</v>
      </c>
      <c r="D595" t="s">
        <v>79</v>
      </c>
      <c r="E595" t="s">
        <v>80</v>
      </c>
      <c r="F595" t="s">
        <v>31</v>
      </c>
      <c r="G595" t="s">
        <v>81</v>
      </c>
      <c r="H595" t="s">
        <v>82</v>
      </c>
      <c r="I595">
        <v>2</v>
      </c>
      <c r="J595">
        <v>12375.07</v>
      </c>
      <c r="K595">
        <v>0.15</v>
      </c>
      <c r="L595">
        <v>21037.62</v>
      </c>
      <c r="M595" t="s">
        <v>76</v>
      </c>
      <c r="N595" t="s">
        <v>71</v>
      </c>
      <c r="O595" t="s">
        <v>65</v>
      </c>
      <c r="P595" t="s">
        <v>59</v>
      </c>
      <c r="Q595" t="str">
        <f t="shared" si="63"/>
        <v>Completed</v>
      </c>
      <c r="R595" t="str">
        <f t="shared" si="64"/>
        <v>Store</v>
      </c>
      <c r="S595" t="str">
        <v>Upi</v>
      </c>
      <c r="T595" t="str">
        <v>Electronics</v>
      </c>
      <c r="U595" t="str">
        <f t="shared" si="65"/>
        <v>VALID</v>
      </c>
      <c r="V595" t="str">
        <f t="shared" si="66"/>
        <v>NORMAL</v>
      </c>
      <c r="W595" t="str">
        <f t="shared" si="67"/>
        <v>Valid</v>
      </c>
      <c r="X595">
        <f t="shared" si="69"/>
        <v>24750.14</v>
      </c>
      <c r="Y595">
        <f t="shared" si="68"/>
        <v>21037.618999999999</v>
      </c>
    </row>
    <row r="596" spans="1:25" x14ac:dyDescent="0.3">
      <c r="A596" t="s">
        <v>918</v>
      </c>
      <c r="B596" s="1">
        <v>46030</v>
      </c>
      <c r="C596" t="s">
        <v>329</v>
      </c>
      <c r="D596" t="s">
        <v>170</v>
      </c>
      <c r="E596" t="s">
        <v>171</v>
      </c>
      <c r="F596" t="s">
        <v>31</v>
      </c>
      <c r="G596" t="s">
        <v>32</v>
      </c>
      <c r="H596" t="s">
        <v>75</v>
      </c>
      <c r="I596">
        <v>4</v>
      </c>
      <c r="J596">
        <v>69672.23</v>
      </c>
      <c r="K596">
        <v>0</v>
      </c>
      <c r="L596">
        <v>278688.92</v>
      </c>
      <c r="M596" t="s">
        <v>23</v>
      </c>
      <c r="N596" t="s">
        <v>58</v>
      </c>
      <c r="O596" t="s">
        <v>65</v>
      </c>
      <c r="P596" t="s">
        <v>72</v>
      </c>
      <c r="Q596" t="str">
        <f t="shared" si="63"/>
        <v>Completed</v>
      </c>
      <c r="R596" t="str">
        <f t="shared" si="64"/>
        <v>Online</v>
      </c>
      <c r="S596" t="str">
        <v>Credit Card</v>
      </c>
      <c r="T596" t="str">
        <v>Electronics</v>
      </c>
      <c r="U596" t="str">
        <f t="shared" si="65"/>
        <v>VALID</v>
      </c>
      <c r="V596" t="str">
        <f t="shared" si="66"/>
        <v>NORMAL</v>
      </c>
      <c r="W596" t="str">
        <f t="shared" si="67"/>
        <v>Valid</v>
      </c>
      <c r="X596">
        <f t="shared" si="69"/>
        <v>278688.92</v>
      </c>
      <c r="Y596">
        <f t="shared" si="68"/>
        <v>278688.92</v>
      </c>
    </row>
    <row r="597" spans="1:25" x14ac:dyDescent="0.3">
      <c r="A597" t="s">
        <v>919</v>
      </c>
      <c r="B597" s="1">
        <v>45526</v>
      </c>
      <c r="C597" t="s">
        <v>194</v>
      </c>
      <c r="D597" t="s">
        <v>45</v>
      </c>
      <c r="E597" t="s">
        <v>46</v>
      </c>
      <c r="F597" t="s">
        <v>31</v>
      </c>
      <c r="G597" t="s">
        <v>21</v>
      </c>
      <c r="H597" t="s">
        <v>22</v>
      </c>
      <c r="I597">
        <v>4</v>
      </c>
      <c r="J597">
        <v>1762.74</v>
      </c>
      <c r="K597">
        <v>0.08</v>
      </c>
      <c r="L597">
        <v>6486.88</v>
      </c>
      <c r="M597" t="s">
        <v>23</v>
      </c>
      <c r="N597" t="s">
        <v>71</v>
      </c>
      <c r="O597" t="s">
        <v>35</v>
      </c>
      <c r="P597" t="s">
        <v>72</v>
      </c>
      <c r="Q597" t="str">
        <f t="shared" si="63"/>
        <v>Cancelled</v>
      </c>
      <c r="R597" t="str">
        <f t="shared" si="64"/>
        <v>Online</v>
      </c>
      <c r="S597" t="str">
        <v>Upi</v>
      </c>
      <c r="T597" t="str">
        <v>Electronics</v>
      </c>
      <c r="U597" t="str">
        <f t="shared" si="65"/>
        <v>VALID</v>
      </c>
      <c r="V597" t="str">
        <f t="shared" si="66"/>
        <v>NORMAL</v>
      </c>
      <c r="W597" t="str">
        <f t="shared" si="67"/>
        <v>Valid</v>
      </c>
      <c r="X597">
        <f t="shared" si="69"/>
        <v>7050.96</v>
      </c>
      <c r="Y597">
        <f t="shared" si="68"/>
        <v>6486.8832000000002</v>
      </c>
    </row>
    <row r="598" spans="1:25" x14ac:dyDescent="0.3">
      <c r="A598" t="s">
        <v>920</v>
      </c>
      <c r="B598" s="1">
        <v>45822</v>
      </c>
      <c r="C598" t="s">
        <v>299</v>
      </c>
      <c r="D598" t="s">
        <v>89</v>
      </c>
      <c r="E598" t="s">
        <v>90</v>
      </c>
      <c r="F598" t="s">
        <v>20</v>
      </c>
      <c r="G598" t="s">
        <v>21</v>
      </c>
      <c r="H598" t="s">
        <v>22</v>
      </c>
      <c r="I598">
        <v>3</v>
      </c>
      <c r="J598">
        <v>750.73</v>
      </c>
      <c r="K598">
        <v>0.03</v>
      </c>
      <c r="L598">
        <v>2184.62</v>
      </c>
      <c r="M598" t="s">
        <v>23</v>
      </c>
      <c r="N598" t="s">
        <v>34</v>
      </c>
      <c r="O598" t="s">
        <v>65</v>
      </c>
      <c r="P598" t="s">
        <v>42</v>
      </c>
      <c r="Q598" t="str">
        <f t="shared" si="63"/>
        <v>Completed</v>
      </c>
      <c r="R598" t="str">
        <f t="shared" si="64"/>
        <v>Online</v>
      </c>
      <c r="S598" t="str">
        <v>Cash On Delivery</v>
      </c>
      <c r="T598" t="str">
        <v>Accessories</v>
      </c>
      <c r="U598" t="str">
        <f t="shared" si="65"/>
        <v>VALID</v>
      </c>
      <c r="V598" t="str">
        <f t="shared" si="66"/>
        <v>NORMAL</v>
      </c>
      <c r="W598" t="str">
        <f t="shared" si="67"/>
        <v>Valid</v>
      </c>
      <c r="X598">
        <f t="shared" si="69"/>
        <v>2252.19</v>
      </c>
      <c r="Y598">
        <f t="shared" si="68"/>
        <v>2184.6242999999999</v>
      </c>
    </row>
    <row r="599" spans="1:25" x14ac:dyDescent="0.3">
      <c r="A599" t="s">
        <v>921</v>
      </c>
      <c r="B599" s="1">
        <v>45946</v>
      </c>
      <c r="C599" t="s">
        <v>287</v>
      </c>
      <c r="D599" t="s">
        <v>53</v>
      </c>
      <c r="E599" t="s">
        <v>54</v>
      </c>
      <c r="F599" t="s">
        <v>55</v>
      </c>
      <c r="G599" t="s">
        <v>32</v>
      </c>
      <c r="H599" t="s">
        <v>47</v>
      </c>
      <c r="I599">
        <v>3</v>
      </c>
      <c r="J599">
        <v>218.72</v>
      </c>
      <c r="K599">
        <v>0.1</v>
      </c>
      <c r="L599">
        <v>590.54</v>
      </c>
      <c r="M599" t="s">
        <v>23</v>
      </c>
      <c r="N599" t="s">
        <v>71</v>
      </c>
      <c r="O599" t="s">
        <v>65</v>
      </c>
      <c r="P599" t="s">
        <v>102</v>
      </c>
      <c r="Q599" t="str">
        <f t="shared" si="63"/>
        <v>Completed</v>
      </c>
      <c r="R599" t="str">
        <f t="shared" si="64"/>
        <v>Online</v>
      </c>
      <c r="S599" t="str">
        <v>Upi</v>
      </c>
      <c r="T599" t="str">
        <v>Stationery</v>
      </c>
      <c r="U599" t="str">
        <f t="shared" si="65"/>
        <v>VALID</v>
      </c>
      <c r="V599" t="str">
        <f t="shared" si="66"/>
        <v>NORMAL</v>
      </c>
      <c r="W599" t="str">
        <f t="shared" si="67"/>
        <v>Valid</v>
      </c>
      <c r="X599">
        <f t="shared" si="69"/>
        <v>656.16</v>
      </c>
      <c r="Y599">
        <f t="shared" si="68"/>
        <v>590.54399999999998</v>
      </c>
    </row>
    <row r="600" spans="1:25" x14ac:dyDescent="0.3">
      <c r="A600" t="s">
        <v>922</v>
      </c>
      <c r="B600" s="1">
        <v>45370</v>
      </c>
      <c r="C600" t="s">
        <v>289</v>
      </c>
      <c r="D600" t="s">
        <v>38</v>
      </c>
      <c r="E600" t="s">
        <v>39</v>
      </c>
      <c r="F600" t="s">
        <v>40</v>
      </c>
      <c r="G600" t="s">
        <v>32</v>
      </c>
      <c r="H600" t="s">
        <v>47</v>
      </c>
      <c r="I600">
        <v>5</v>
      </c>
      <c r="J600">
        <v>1508.47</v>
      </c>
      <c r="K600">
        <v>0.05</v>
      </c>
      <c r="L600">
        <v>7165.23</v>
      </c>
      <c r="M600" t="s">
        <v>76</v>
      </c>
      <c r="N600" t="s">
        <v>24</v>
      </c>
      <c r="O600" t="s">
        <v>65</v>
      </c>
      <c r="P600" t="s">
        <v>26</v>
      </c>
      <c r="Q600" t="str">
        <f t="shared" si="63"/>
        <v>Completed</v>
      </c>
      <c r="R600" t="str">
        <f t="shared" si="64"/>
        <v>Store</v>
      </c>
      <c r="S600" t="str">
        <v>Debit Card</v>
      </c>
      <c r="T600" t="str">
        <v>Furniture</v>
      </c>
      <c r="U600" t="str">
        <f t="shared" si="65"/>
        <v>VALID</v>
      </c>
      <c r="V600" t="str">
        <f t="shared" si="66"/>
        <v>NORMAL</v>
      </c>
      <c r="W600" t="str">
        <f t="shared" si="67"/>
        <v>Valid</v>
      </c>
      <c r="X600">
        <f t="shared" si="69"/>
        <v>7542.35</v>
      </c>
      <c r="Y600">
        <f t="shared" si="68"/>
        <v>7165.2325000000001</v>
      </c>
    </row>
    <row r="601" spans="1:25" x14ac:dyDescent="0.3">
      <c r="A601" t="s">
        <v>923</v>
      </c>
      <c r="B601" s="1">
        <v>45769</v>
      </c>
      <c r="C601" t="s">
        <v>460</v>
      </c>
      <c r="D601" t="s">
        <v>38</v>
      </c>
      <c r="E601" t="s">
        <v>39</v>
      </c>
      <c r="F601" t="s">
        <v>40</v>
      </c>
      <c r="G601" t="s">
        <v>32</v>
      </c>
      <c r="H601" t="s">
        <v>33</v>
      </c>
      <c r="I601">
        <v>5</v>
      </c>
      <c r="J601">
        <v>1551.63</v>
      </c>
      <c r="K601">
        <v>0.1</v>
      </c>
      <c r="L601">
        <v>6982.34</v>
      </c>
      <c r="M601" t="s">
        <v>48</v>
      </c>
      <c r="N601" t="s">
        <v>71</v>
      </c>
      <c r="O601" t="s">
        <v>65</v>
      </c>
      <c r="P601" t="s">
        <v>50</v>
      </c>
      <c r="Q601" t="str">
        <f t="shared" si="63"/>
        <v>Completed</v>
      </c>
      <c r="R601" t="str">
        <f t="shared" si="64"/>
        <v>Marketplace</v>
      </c>
      <c r="S601" t="str">
        <v>Upi</v>
      </c>
      <c r="T601" t="str">
        <v>Furniture</v>
      </c>
      <c r="U601" t="str">
        <f t="shared" si="65"/>
        <v>VALID</v>
      </c>
      <c r="V601" t="str">
        <f t="shared" si="66"/>
        <v>NORMAL</v>
      </c>
      <c r="W601" t="str">
        <f t="shared" si="67"/>
        <v>Valid</v>
      </c>
      <c r="X601">
        <f t="shared" si="69"/>
        <v>7758.1500000000005</v>
      </c>
      <c r="Y601">
        <f t="shared" si="68"/>
        <v>6982.3350000000009</v>
      </c>
    </row>
    <row r="602" spans="1:25" x14ac:dyDescent="0.3">
      <c r="A602" t="s">
        <v>924</v>
      </c>
      <c r="B602" s="1">
        <v>45683</v>
      </c>
      <c r="C602" t="s">
        <v>74</v>
      </c>
      <c r="D602" t="s">
        <v>45</v>
      </c>
      <c r="E602" t="s">
        <v>46</v>
      </c>
      <c r="F602" t="s">
        <v>31</v>
      </c>
      <c r="G602" t="s">
        <v>21</v>
      </c>
      <c r="H602" t="s">
        <v>22</v>
      </c>
      <c r="I602">
        <v>5</v>
      </c>
      <c r="J602">
        <v>1808.74</v>
      </c>
      <c r="K602">
        <v>0.15</v>
      </c>
      <c r="L602">
        <v>7687.15</v>
      </c>
      <c r="M602" t="s">
        <v>76</v>
      </c>
      <c r="N602" t="s">
        <v>24</v>
      </c>
      <c r="O602" t="s">
        <v>35</v>
      </c>
      <c r="P602" t="s">
        <v>72</v>
      </c>
      <c r="Q602" t="str">
        <f t="shared" si="63"/>
        <v>Cancelled</v>
      </c>
      <c r="R602" t="str">
        <f t="shared" si="64"/>
        <v>Store</v>
      </c>
      <c r="S602" t="str">
        <v>Debit Card</v>
      </c>
      <c r="T602" t="str">
        <v>Electronics</v>
      </c>
      <c r="U602" t="str">
        <f t="shared" si="65"/>
        <v>VALID</v>
      </c>
      <c r="V602" t="str">
        <f t="shared" si="66"/>
        <v>NORMAL</v>
      </c>
      <c r="W602" t="str">
        <f t="shared" si="67"/>
        <v>Valid</v>
      </c>
      <c r="X602">
        <f t="shared" si="69"/>
        <v>9043.7000000000007</v>
      </c>
      <c r="Y602">
        <f t="shared" si="68"/>
        <v>7687.1450000000004</v>
      </c>
    </row>
    <row r="603" spans="1:25" x14ac:dyDescent="0.3">
      <c r="A603" t="s">
        <v>925</v>
      </c>
      <c r="B603" s="1">
        <v>46033</v>
      </c>
      <c r="C603" t="s">
        <v>52</v>
      </c>
      <c r="D603" t="s">
        <v>121</v>
      </c>
      <c r="E603" t="s">
        <v>122</v>
      </c>
      <c r="F603" t="s">
        <v>55</v>
      </c>
      <c r="G603" t="s">
        <v>32</v>
      </c>
      <c r="H603" t="s">
        <v>75</v>
      </c>
      <c r="I603">
        <v>3</v>
      </c>
      <c r="J603">
        <v>473.03</v>
      </c>
      <c r="K603">
        <v>0.08</v>
      </c>
      <c r="L603">
        <v>1305.56</v>
      </c>
      <c r="M603" t="s">
        <v>23</v>
      </c>
      <c r="N603" t="s">
        <v>24</v>
      </c>
      <c r="O603" t="s">
        <v>35</v>
      </c>
      <c r="P603" t="s">
        <v>111</v>
      </c>
      <c r="Q603" t="str">
        <f t="shared" si="63"/>
        <v>Cancelled</v>
      </c>
      <c r="R603" t="str">
        <f t="shared" si="64"/>
        <v>Online</v>
      </c>
      <c r="S603" t="str">
        <v>Debit Card</v>
      </c>
      <c r="T603" t="str">
        <v>Stationery</v>
      </c>
      <c r="U603" t="str">
        <f t="shared" si="65"/>
        <v>VALID</v>
      </c>
      <c r="V603" t="str">
        <f t="shared" si="66"/>
        <v>NORMAL</v>
      </c>
      <c r="W603" t="str">
        <f t="shared" si="67"/>
        <v>Valid</v>
      </c>
      <c r="X603">
        <f t="shared" si="69"/>
        <v>1419.09</v>
      </c>
      <c r="Y603">
        <f t="shared" si="68"/>
        <v>1305.5627999999999</v>
      </c>
    </row>
    <row r="604" spans="1:25" x14ac:dyDescent="0.3">
      <c r="A604" t="s">
        <v>926</v>
      </c>
      <c r="B604" s="1">
        <v>45550</v>
      </c>
      <c r="C604" t="s">
        <v>84</v>
      </c>
      <c r="D604" t="s">
        <v>105</v>
      </c>
      <c r="E604" t="s">
        <v>106</v>
      </c>
      <c r="F604" t="s">
        <v>40</v>
      </c>
      <c r="G604" t="s">
        <v>21</v>
      </c>
      <c r="H604" t="s">
        <v>41</v>
      </c>
      <c r="I604">
        <v>2</v>
      </c>
      <c r="J604">
        <v>7221.54</v>
      </c>
      <c r="K604">
        <v>0.03</v>
      </c>
      <c r="L604">
        <v>14009.79</v>
      </c>
      <c r="M604" t="s">
        <v>76</v>
      </c>
      <c r="N604" t="s">
        <v>58</v>
      </c>
      <c r="O604" t="s">
        <v>65</v>
      </c>
      <c r="P604" t="s">
        <v>111</v>
      </c>
      <c r="Q604" t="str">
        <f t="shared" si="63"/>
        <v>Completed</v>
      </c>
      <c r="R604" t="str">
        <f t="shared" si="64"/>
        <v>Store</v>
      </c>
      <c r="S604" t="str">
        <v>Credit Card</v>
      </c>
      <c r="T604" t="str">
        <v>Furniture</v>
      </c>
      <c r="U604" t="str">
        <f t="shared" si="65"/>
        <v>VALID</v>
      </c>
      <c r="V604" t="str">
        <f t="shared" si="66"/>
        <v>NORMAL</v>
      </c>
      <c r="W604" t="str">
        <f t="shared" si="67"/>
        <v>Valid</v>
      </c>
      <c r="X604">
        <f t="shared" si="69"/>
        <v>14443.08</v>
      </c>
      <c r="Y604">
        <f t="shared" si="68"/>
        <v>14009.7876</v>
      </c>
    </row>
    <row r="605" spans="1:25" x14ac:dyDescent="0.3">
      <c r="A605" t="s">
        <v>927</v>
      </c>
      <c r="B605" s="1">
        <v>45684</v>
      </c>
      <c r="C605" t="s">
        <v>216</v>
      </c>
      <c r="D605" t="s">
        <v>53</v>
      </c>
      <c r="E605" t="s">
        <v>54</v>
      </c>
      <c r="F605" t="s">
        <v>55</v>
      </c>
      <c r="G605" t="s">
        <v>81</v>
      </c>
      <c r="H605" t="s">
        <v>135</v>
      </c>
      <c r="I605">
        <v>5</v>
      </c>
      <c r="J605">
        <v>214.58</v>
      </c>
      <c r="K605">
        <v>0.2</v>
      </c>
      <c r="L605">
        <v>858.32</v>
      </c>
      <c r="M605" t="s">
        <v>23</v>
      </c>
      <c r="N605" t="s">
        <v>58</v>
      </c>
      <c r="O605" t="s">
        <v>65</v>
      </c>
      <c r="P605" t="s">
        <v>116</v>
      </c>
      <c r="Q605" t="str">
        <f t="shared" si="63"/>
        <v>Completed</v>
      </c>
      <c r="R605" t="str">
        <f t="shared" si="64"/>
        <v>Online</v>
      </c>
      <c r="S605" t="str">
        <v>Credit Card</v>
      </c>
      <c r="T605" t="str">
        <v>Stationery</v>
      </c>
      <c r="U605" t="str">
        <f t="shared" si="65"/>
        <v>VALID</v>
      </c>
      <c r="V605" t="str">
        <f t="shared" si="66"/>
        <v>NORMAL</v>
      </c>
      <c r="W605" t="str">
        <f t="shared" si="67"/>
        <v>Valid</v>
      </c>
      <c r="X605">
        <f t="shared" si="69"/>
        <v>1072.9000000000001</v>
      </c>
      <c r="Y605">
        <f t="shared" si="68"/>
        <v>858.32</v>
      </c>
    </row>
    <row r="606" spans="1:25" x14ac:dyDescent="0.3">
      <c r="A606" t="s">
        <v>928</v>
      </c>
      <c r="B606" s="1">
        <v>45519</v>
      </c>
      <c r="C606" t="s">
        <v>447</v>
      </c>
      <c r="D606" t="s">
        <v>85</v>
      </c>
      <c r="E606" t="s">
        <v>86</v>
      </c>
      <c r="F606" t="s">
        <v>20</v>
      </c>
      <c r="G606" t="s">
        <v>21</v>
      </c>
      <c r="H606" t="s">
        <v>126</v>
      </c>
      <c r="I606">
        <v>5</v>
      </c>
      <c r="J606">
        <v>1918.06</v>
      </c>
      <c r="K606">
        <v>0</v>
      </c>
      <c r="L606">
        <v>9590.2999999999993</v>
      </c>
      <c r="M606" t="s">
        <v>76</v>
      </c>
      <c r="N606" t="s">
        <v>49</v>
      </c>
      <c r="O606" t="s">
        <v>65</v>
      </c>
      <c r="P606" t="s">
        <v>50</v>
      </c>
      <c r="Q606" t="str">
        <f t="shared" si="63"/>
        <v>Completed</v>
      </c>
      <c r="R606" t="str">
        <f t="shared" si="64"/>
        <v>Store</v>
      </c>
      <c r="S606" t="str">
        <v>Net Banking</v>
      </c>
      <c r="T606" t="str">
        <v>Accessories</v>
      </c>
      <c r="U606" t="str">
        <f t="shared" si="65"/>
        <v>VALID</v>
      </c>
      <c r="V606" t="str">
        <f t="shared" si="66"/>
        <v>NORMAL</v>
      </c>
      <c r="W606" t="str">
        <f t="shared" si="67"/>
        <v>Valid</v>
      </c>
      <c r="X606">
        <f t="shared" si="69"/>
        <v>9590.2999999999993</v>
      </c>
      <c r="Y606">
        <f t="shared" si="68"/>
        <v>9590.2999999999993</v>
      </c>
    </row>
    <row r="607" spans="1:25" x14ac:dyDescent="0.3">
      <c r="A607" t="s">
        <v>929</v>
      </c>
      <c r="B607" s="1">
        <v>45757</v>
      </c>
      <c r="C607" t="s">
        <v>108</v>
      </c>
      <c r="D607" t="s">
        <v>29</v>
      </c>
      <c r="E607" t="s">
        <v>30</v>
      </c>
      <c r="F607" t="s">
        <v>31</v>
      </c>
      <c r="G607" t="s">
        <v>81</v>
      </c>
      <c r="H607" t="s">
        <v>87</v>
      </c>
      <c r="I607">
        <v>4</v>
      </c>
      <c r="J607">
        <v>3078.94</v>
      </c>
      <c r="K607">
        <v>0.08</v>
      </c>
      <c r="L607">
        <v>11330.5</v>
      </c>
      <c r="M607" t="s">
        <v>23</v>
      </c>
      <c r="N607" t="s">
        <v>49</v>
      </c>
      <c r="O607" t="s">
        <v>65</v>
      </c>
      <c r="P607" t="s">
        <v>59</v>
      </c>
      <c r="Q607" t="str">
        <f t="shared" si="63"/>
        <v>Completed</v>
      </c>
      <c r="R607" t="str">
        <f t="shared" si="64"/>
        <v>Online</v>
      </c>
      <c r="S607" t="str">
        <v>Net Banking</v>
      </c>
      <c r="T607" t="str">
        <v>Electronics</v>
      </c>
      <c r="U607" t="str">
        <f t="shared" si="65"/>
        <v>VALID</v>
      </c>
      <c r="V607" t="str">
        <f t="shared" si="66"/>
        <v>NORMAL</v>
      </c>
      <c r="W607" t="str">
        <f t="shared" si="67"/>
        <v>Valid</v>
      </c>
      <c r="X607">
        <f t="shared" si="69"/>
        <v>12315.76</v>
      </c>
      <c r="Y607">
        <f t="shared" si="68"/>
        <v>11330.4992</v>
      </c>
    </row>
    <row r="608" spans="1:25" x14ac:dyDescent="0.3">
      <c r="A608" t="s">
        <v>930</v>
      </c>
      <c r="B608" s="1">
        <v>46020</v>
      </c>
      <c r="C608" t="s">
        <v>470</v>
      </c>
      <c r="D608" t="s">
        <v>96</v>
      </c>
      <c r="E608" t="s">
        <v>97</v>
      </c>
      <c r="F608" t="s">
        <v>31</v>
      </c>
      <c r="G608" t="s">
        <v>56</v>
      </c>
      <c r="H608" t="s">
        <v>123</v>
      </c>
      <c r="I608">
        <v>1</v>
      </c>
      <c r="J608">
        <v>1140.6500000000001</v>
      </c>
      <c r="K608">
        <v>0.2</v>
      </c>
      <c r="L608">
        <v>912.52</v>
      </c>
      <c r="M608" t="s">
        <v>76</v>
      </c>
      <c r="N608" t="s">
        <v>34</v>
      </c>
      <c r="O608" t="s">
        <v>65</v>
      </c>
      <c r="P608" t="s">
        <v>50</v>
      </c>
      <c r="Q608" t="str">
        <f t="shared" si="63"/>
        <v>Completed</v>
      </c>
      <c r="R608" t="str">
        <f t="shared" si="64"/>
        <v>Store</v>
      </c>
      <c r="S608" t="str">
        <v>Cash On Delivery</v>
      </c>
      <c r="T608" t="str">
        <v>Electronics</v>
      </c>
      <c r="U608" t="str">
        <f t="shared" si="65"/>
        <v>VALID</v>
      </c>
      <c r="V608" t="str">
        <f t="shared" si="66"/>
        <v>NORMAL</v>
      </c>
      <c r="W608" t="str">
        <f t="shared" si="67"/>
        <v>Valid</v>
      </c>
      <c r="X608">
        <f t="shared" si="69"/>
        <v>1140.6500000000001</v>
      </c>
      <c r="Y608">
        <f t="shared" si="68"/>
        <v>912.5200000000001</v>
      </c>
    </row>
    <row r="609" spans="1:25" x14ac:dyDescent="0.3">
      <c r="A609" t="s">
        <v>931</v>
      </c>
      <c r="B609" s="1">
        <v>46096</v>
      </c>
      <c r="C609" t="s">
        <v>78</v>
      </c>
      <c r="D609" t="s">
        <v>131</v>
      </c>
      <c r="E609" t="s">
        <v>132</v>
      </c>
      <c r="F609" t="s">
        <v>40</v>
      </c>
      <c r="G609" t="s">
        <v>81</v>
      </c>
      <c r="H609" t="s">
        <v>87</v>
      </c>
      <c r="I609">
        <v>4</v>
      </c>
      <c r="J609">
        <v>10071.129999999999</v>
      </c>
      <c r="K609">
        <v>0</v>
      </c>
      <c r="L609">
        <v>40284.519999999997</v>
      </c>
      <c r="M609" t="s">
        <v>23</v>
      </c>
      <c r="N609" t="s">
        <v>24</v>
      </c>
      <c r="O609" t="s">
        <v>65</v>
      </c>
      <c r="P609" t="s">
        <v>102</v>
      </c>
      <c r="Q609" t="str">
        <f t="shared" si="63"/>
        <v>Completed</v>
      </c>
      <c r="R609" t="str">
        <f t="shared" si="64"/>
        <v>Online</v>
      </c>
      <c r="S609" t="str">
        <v>Debit Card</v>
      </c>
      <c r="T609" t="str">
        <v>Furniture</v>
      </c>
      <c r="U609" t="str">
        <f t="shared" si="65"/>
        <v>VALID</v>
      </c>
      <c r="V609" t="str">
        <f t="shared" si="66"/>
        <v>NORMAL</v>
      </c>
      <c r="W609" t="str">
        <f t="shared" si="67"/>
        <v>Valid</v>
      </c>
      <c r="X609">
        <f t="shared" si="69"/>
        <v>40284.519999999997</v>
      </c>
      <c r="Y609">
        <f t="shared" si="68"/>
        <v>40284.519999999997</v>
      </c>
    </row>
    <row r="610" spans="1:25" x14ac:dyDescent="0.3">
      <c r="A610" t="s">
        <v>932</v>
      </c>
      <c r="B610" s="1">
        <v>45868</v>
      </c>
      <c r="C610" t="s">
        <v>236</v>
      </c>
      <c r="D610" t="s">
        <v>89</v>
      </c>
      <c r="E610" t="s">
        <v>90</v>
      </c>
      <c r="F610" t="s">
        <v>20</v>
      </c>
      <c r="G610" t="s">
        <v>32</v>
      </c>
      <c r="H610" t="s">
        <v>68</v>
      </c>
      <c r="I610">
        <v>4</v>
      </c>
      <c r="J610">
        <v>710.45</v>
      </c>
      <c r="K610">
        <v>0</v>
      </c>
      <c r="L610">
        <v>2841.8</v>
      </c>
      <c r="M610" t="s">
        <v>48</v>
      </c>
      <c r="N610" t="s">
        <v>71</v>
      </c>
      <c r="O610" t="s">
        <v>25</v>
      </c>
      <c r="P610" t="s">
        <v>26</v>
      </c>
      <c r="Q610" t="str">
        <f t="shared" si="63"/>
        <v>Returned</v>
      </c>
      <c r="R610" t="str">
        <f t="shared" si="64"/>
        <v>Marketplace</v>
      </c>
      <c r="S610" t="str">
        <v>Upi</v>
      </c>
      <c r="T610" t="str">
        <v>Accessories</v>
      </c>
      <c r="U610" t="str">
        <f t="shared" si="65"/>
        <v>VALID</v>
      </c>
      <c r="V610" t="str">
        <f t="shared" si="66"/>
        <v>NORMAL</v>
      </c>
      <c r="W610" t="str">
        <f t="shared" si="67"/>
        <v>Valid</v>
      </c>
      <c r="X610">
        <f t="shared" si="69"/>
        <v>2841.8</v>
      </c>
      <c r="Y610">
        <f t="shared" si="68"/>
        <v>2841.8</v>
      </c>
    </row>
    <row r="611" spans="1:25" x14ac:dyDescent="0.3">
      <c r="A611" t="s">
        <v>933</v>
      </c>
      <c r="B611" s="1">
        <v>45388</v>
      </c>
      <c r="C611" t="s">
        <v>441</v>
      </c>
      <c r="D611" t="s">
        <v>170</v>
      </c>
      <c r="E611" t="s">
        <v>171</v>
      </c>
      <c r="F611" t="s">
        <v>31</v>
      </c>
      <c r="G611" t="s">
        <v>56</v>
      </c>
      <c r="H611" t="s">
        <v>101</v>
      </c>
      <c r="I611">
        <v>2</v>
      </c>
      <c r="J611">
        <v>61149.17</v>
      </c>
      <c r="K611">
        <v>0.05</v>
      </c>
      <c r="L611">
        <v>116183.42</v>
      </c>
      <c r="M611" t="s">
        <v>48</v>
      </c>
      <c r="N611" t="s">
        <v>58</v>
      </c>
      <c r="O611" t="s">
        <v>25</v>
      </c>
      <c r="P611" t="s">
        <v>42</v>
      </c>
      <c r="Q611" t="str">
        <f t="shared" si="63"/>
        <v>Returned</v>
      </c>
      <c r="R611" t="str">
        <f t="shared" si="64"/>
        <v>Marketplace</v>
      </c>
      <c r="S611" t="str">
        <v>Credit Card</v>
      </c>
      <c r="T611" t="str">
        <v>Electronics</v>
      </c>
      <c r="U611" t="str">
        <f t="shared" si="65"/>
        <v>VALID</v>
      </c>
      <c r="V611" t="str">
        <f t="shared" si="66"/>
        <v>NORMAL</v>
      </c>
      <c r="W611" t="str">
        <f t="shared" si="67"/>
        <v>Valid</v>
      </c>
      <c r="X611">
        <f t="shared" si="69"/>
        <v>122298.34</v>
      </c>
      <c r="Y611">
        <f t="shared" si="68"/>
        <v>116183.423</v>
      </c>
    </row>
    <row r="612" spans="1:25" x14ac:dyDescent="0.3">
      <c r="A612" t="s">
        <v>934</v>
      </c>
      <c r="B612" s="1">
        <v>45598</v>
      </c>
      <c r="C612" t="s">
        <v>935</v>
      </c>
      <c r="D612" t="s">
        <v>96</v>
      </c>
      <c r="E612" t="s">
        <v>97</v>
      </c>
      <c r="F612" t="s">
        <v>31</v>
      </c>
      <c r="G612" t="s">
        <v>56</v>
      </c>
      <c r="H612" t="s">
        <v>64</v>
      </c>
      <c r="I612">
        <v>3</v>
      </c>
      <c r="J612">
        <v>1186.96</v>
      </c>
      <c r="K612">
        <v>0.1</v>
      </c>
      <c r="L612">
        <v>3204.79</v>
      </c>
      <c r="M612" t="s">
        <v>23</v>
      </c>
      <c r="N612" t="s">
        <v>49</v>
      </c>
      <c r="O612" t="s">
        <v>25</v>
      </c>
      <c r="P612" t="s">
        <v>116</v>
      </c>
      <c r="Q612" t="str">
        <f t="shared" si="63"/>
        <v>Returned</v>
      </c>
      <c r="R612" t="str">
        <f t="shared" si="64"/>
        <v>Online</v>
      </c>
      <c r="S612" t="str">
        <v>Net Banking</v>
      </c>
      <c r="T612" t="str">
        <v>Electronics</v>
      </c>
      <c r="U612" t="str">
        <f t="shared" si="65"/>
        <v>VALID</v>
      </c>
      <c r="V612" t="str">
        <f t="shared" si="66"/>
        <v>NORMAL</v>
      </c>
      <c r="W612" t="str">
        <f t="shared" si="67"/>
        <v>Valid</v>
      </c>
      <c r="X612">
        <f t="shared" si="69"/>
        <v>3560.88</v>
      </c>
      <c r="Y612">
        <f t="shared" si="68"/>
        <v>3204.7919999999999</v>
      </c>
    </row>
    <row r="613" spans="1:25" x14ac:dyDescent="0.3">
      <c r="A613" t="s">
        <v>936</v>
      </c>
      <c r="B613" s="1">
        <v>45424</v>
      </c>
      <c r="C613" t="s">
        <v>385</v>
      </c>
      <c r="D613" t="s">
        <v>89</v>
      </c>
      <c r="E613" t="s">
        <v>90</v>
      </c>
      <c r="F613" t="s">
        <v>20</v>
      </c>
      <c r="G613" t="s">
        <v>21</v>
      </c>
      <c r="H613" t="s">
        <v>22</v>
      </c>
      <c r="I613">
        <v>4</v>
      </c>
      <c r="J613">
        <v>652.54999999999995</v>
      </c>
      <c r="K613">
        <v>0.03</v>
      </c>
      <c r="L613">
        <v>2531.89</v>
      </c>
      <c r="M613" t="s">
        <v>48</v>
      </c>
      <c r="N613" t="s">
        <v>71</v>
      </c>
      <c r="O613" t="s">
        <v>65</v>
      </c>
      <c r="P613" t="s">
        <v>50</v>
      </c>
      <c r="Q613" t="str">
        <f t="shared" si="63"/>
        <v>Completed</v>
      </c>
      <c r="R613" t="str">
        <f t="shared" si="64"/>
        <v>Marketplace</v>
      </c>
      <c r="S613" t="str">
        <v>Upi</v>
      </c>
      <c r="T613" t="str">
        <v>Accessories</v>
      </c>
      <c r="U613" t="str">
        <f t="shared" si="65"/>
        <v>VALID</v>
      </c>
      <c r="V613" t="str">
        <f t="shared" si="66"/>
        <v>NORMAL</v>
      </c>
      <c r="W613" t="str">
        <f t="shared" si="67"/>
        <v>Valid</v>
      </c>
      <c r="X613">
        <f t="shared" si="69"/>
        <v>2610.1999999999998</v>
      </c>
      <c r="Y613">
        <f t="shared" si="68"/>
        <v>2531.8939999999998</v>
      </c>
    </row>
    <row r="614" spans="1:25" x14ac:dyDescent="0.3">
      <c r="A614" t="s">
        <v>937</v>
      </c>
      <c r="B614" s="1">
        <v>45918</v>
      </c>
      <c r="C614" t="s">
        <v>544</v>
      </c>
      <c r="D614" t="s">
        <v>53</v>
      </c>
      <c r="E614" t="s">
        <v>54</v>
      </c>
      <c r="F614" t="s">
        <v>55</v>
      </c>
      <c r="G614" t="s">
        <v>32</v>
      </c>
      <c r="H614" t="s">
        <v>68</v>
      </c>
      <c r="I614">
        <v>4</v>
      </c>
      <c r="J614">
        <v>217.92</v>
      </c>
      <c r="K614">
        <v>0.05</v>
      </c>
      <c r="L614">
        <v>828.1</v>
      </c>
      <c r="M614" t="s">
        <v>76</v>
      </c>
      <c r="N614" t="s">
        <v>58</v>
      </c>
      <c r="O614" t="s">
        <v>65</v>
      </c>
      <c r="P614" t="s">
        <v>72</v>
      </c>
      <c r="Q614" t="str">
        <f t="shared" si="63"/>
        <v>Completed</v>
      </c>
      <c r="R614" t="str">
        <f t="shared" si="64"/>
        <v>Store</v>
      </c>
      <c r="S614" t="str">
        <v>Credit Card</v>
      </c>
      <c r="T614" t="str">
        <v>Stationery</v>
      </c>
      <c r="U614" t="str">
        <f t="shared" si="65"/>
        <v>VALID</v>
      </c>
      <c r="V614" t="str">
        <f t="shared" si="66"/>
        <v>NORMAL</v>
      </c>
      <c r="W614" t="str">
        <f t="shared" si="67"/>
        <v>Valid</v>
      </c>
      <c r="X614">
        <f t="shared" si="69"/>
        <v>871.68</v>
      </c>
      <c r="Y614">
        <f t="shared" si="68"/>
        <v>828.096</v>
      </c>
    </row>
    <row r="615" spans="1:25" x14ac:dyDescent="0.3">
      <c r="A615" t="s">
        <v>938</v>
      </c>
      <c r="B615" s="1">
        <v>45631</v>
      </c>
      <c r="C615" t="s">
        <v>776</v>
      </c>
      <c r="D615" t="s">
        <v>79</v>
      </c>
      <c r="E615" t="s">
        <v>80</v>
      </c>
      <c r="F615" t="s">
        <v>31</v>
      </c>
      <c r="G615" t="s">
        <v>81</v>
      </c>
      <c r="H615" t="s">
        <v>135</v>
      </c>
      <c r="I615">
        <v>3</v>
      </c>
      <c r="J615">
        <v>12433.51</v>
      </c>
      <c r="K615">
        <v>0.03</v>
      </c>
      <c r="L615">
        <v>36181.51</v>
      </c>
      <c r="M615" t="s">
        <v>76</v>
      </c>
      <c r="N615" t="s">
        <v>34</v>
      </c>
      <c r="O615" t="s">
        <v>25</v>
      </c>
      <c r="P615" t="s">
        <v>102</v>
      </c>
      <c r="Q615" t="str">
        <f t="shared" si="63"/>
        <v>Returned</v>
      </c>
      <c r="R615" t="str">
        <f t="shared" si="64"/>
        <v>Store</v>
      </c>
      <c r="S615" t="str">
        <v>Cash On Delivery</v>
      </c>
      <c r="T615" t="str">
        <v>Electronics</v>
      </c>
      <c r="U615" t="str">
        <f t="shared" si="65"/>
        <v>VALID</v>
      </c>
      <c r="V615" t="str">
        <f t="shared" si="66"/>
        <v>NORMAL</v>
      </c>
      <c r="W615" t="str">
        <f t="shared" si="67"/>
        <v>Valid</v>
      </c>
      <c r="X615">
        <f t="shared" si="69"/>
        <v>37300.53</v>
      </c>
      <c r="Y615">
        <f t="shared" si="68"/>
        <v>36181.5141</v>
      </c>
    </row>
    <row r="616" spans="1:25" x14ac:dyDescent="0.3">
      <c r="A616" t="s">
        <v>939</v>
      </c>
      <c r="B616" s="1">
        <v>45786</v>
      </c>
      <c r="C616" t="s">
        <v>397</v>
      </c>
      <c r="D616" t="s">
        <v>121</v>
      </c>
      <c r="E616" t="s">
        <v>122</v>
      </c>
      <c r="F616" t="s">
        <v>55</v>
      </c>
      <c r="G616" t="s">
        <v>21</v>
      </c>
      <c r="H616" t="s">
        <v>22</v>
      </c>
      <c r="I616">
        <v>1</v>
      </c>
      <c r="J616">
        <v>431.12</v>
      </c>
      <c r="K616">
        <v>0.15</v>
      </c>
      <c r="L616">
        <v>366.45</v>
      </c>
      <c r="M616" t="s">
        <v>23</v>
      </c>
      <c r="N616" t="s">
        <v>49</v>
      </c>
      <c r="O616" t="s">
        <v>65</v>
      </c>
      <c r="P616" t="s">
        <v>111</v>
      </c>
      <c r="Q616" t="str">
        <f t="shared" si="63"/>
        <v>Completed</v>
      </c>
      <c r="R616" t="str">
        <f t="shared" si="64"/>
        <v>Online</v>
      </c>
      <c r="S616" t="str">
        <v>Net Banking</v>
      </c>
      <c r="T616" t="str">
        <v>Stationery</v>
      </c>
      <c r="U616" t="str">
        <f t="shared" si="65"/>
        <v>VALID</v>
      </c>
      <c r="V616" t="str">
        <f t="shared" si="66"/>
        <v>NORMAL</v>
      </c>
      <c r="W616" t="str">
        <f t="shared" si="67"/>
        <v>Valid</v>
      </c>
      <c r="X616">
        <f t="shared" si="69"/>
        <v>431.12</v>
      </c>
      <c r="Y616">
        <f t="shared" si="68"/>
        <v>366.452</v>
      </c>
    </row>
    <row r="617" spans="1:25" x14ac:dyDescent="0.3">
      <c r="A617" t="s">
        <v>940</v>
      </c>
      <c r="B617" s="1">
        <v>45705</v>
      </c>
      <c r="C617" t="s">
        <v>125</v>
      </c>
      <c r="D617" t="s">
        <v>29</v>
      </c>
      <c r="E617" t="s">
        <v>30</v>
      </c>
      <c r="F617" t="s">
        <v>31</v>
      </c>
      <c r="G617" t="s">
        <v>56</v>
      </c>
      <c r="H617" t="s">
        <v>123</v>
      </c>
      <c r="I617">
        <v>1</v>
      </c>
      <c r="J617">
        <v>3310.64</v>
      </c>
      <c r="K617">
        <v>0.03</v>
      </c>
      <c r="L617">
        <v>3211.32</v>
      </c>
      <c r="M617" t="s">
        <v>48</v>
      </c>
      <c r="N617" t="s">
        <v>34</v>
      </c>
      <c r="O617" t="s">
        <v>65</v>
      </c>
      <c r="P617" t="s">
        <v>50</v>
      </c>
      <c r="Q617" t="str">
        <f t="shared" si="63"/>
        <v>Completed</v>
      </c>
      <c r="R617" t="str">
        <f t="shared" si="64"/>
        <v>Marketplace</v>
      </c>
      <c r="S617" t="str">
        <v>Cash On Delivery</v>
      </c>
      <c r="T617" t="str">
        <v>Electronics</v>
      </c>
      <c r="U617" t="str">
        <f t="shared" si="65"/>
        <v>VALID</v>
      </c>
      <c r="V617" t="str">
        <f t="shared" si="66"/>
        <v>NORMAL</v>
      </c>
      <c r="W617" t="str">
        <f t="shared" si="67"/>
        <v>Valid</v>
      </c>
      <c r="X617">
        <f t="shared" si="69"/>
        <v>3310.64</v>
      </c>
      <c r="Y617">
        <f t="shared" si="68"/>
        <v>3211.3208</v>
      </c>
    </row>
    <row r="618" spans="1:25" x14ac:dyDescent="0.3">
      <c r="A618" t="s">
        <v>941</v>
      </c>
      <c r="B618" s="1">
        <v>45566</v>
      </c>
      <c r="C618" t="s">
        <v>104</v>
      </c>
      <c r="D618" t="s">
        <v>85</v>
      </c>
      <c r="E618" t="s">
        <v>86</v>
      </c>
      <c r="F618" t="s">
        <v>20</v>
      </c>
      <c r="G618" t="s">
        <v>21</v>
      </c>
      <c r="H618" t="s">
        <v>93</v>
      </c>
      <c r="I618">
        <v>1</v>
      </c>
      <c r="J618">
        <v>1699.91</v>
      </c>
      <c r="K618">
        <v>0</v>
      </c>
      <c r="L618">
        <v>1699.91</v>
      </c>
      <c r="M618" t="s">
        <v>23</v>
      </c>
      <c r="N618" t="s">
        <v>58</v>
      </c>
      <c r="O618" t="s">
        <v>65</v>
      </c>
      <c r="P618" t="s">
        <v>42</v>
      </c>
      <c r="Q618" t="str">
        <f t="shared" si="63"/>
        <v>Completed</v>
      </c>
      <c r="R618" t="str">
        <f t="shared" si="64"/>
        <v>Online</v>
      </c>
      <c r="S618" t="str">
        <v>Credit Card</v>
      </c>
      <c r="T618" t="str">
        <v>Accessories</v>
      </c>
      <c r="U618" t="str">
        <f t="shared" si="65"/>
        <v>VALID</v>
      </c>
      <c r="V618" t="str">
        <f t="shared" si="66"/>
        <v>NORMAL</v>
      </c>
      <c r="W618" t="str">
        <f t="shared" si="67"/>
        <v>Valid</v>
      </c>
      <c r="X618">
        <f t="shared" si="69"/>
        <v>1699.91</v>
      </c>
      <c r="Y618">
        <f t="shared" si="68"/>
        <v>1699.91</v>
      </c>
    </row>
    <row r="619" spans="1:25" x14ac:dyDescent="0.3">
      <c r="A619" t="s">
        <v>942</v>
      </c>
      <c r="B619" s="1">
        <v>45532</v>
      </c>
      <c r="C619" t="s">
        <v>159</v>
      </c>
      <c r="D619" t="s">
        <v>89</v>
      </c>
      <c r="E619" t="s">
        <v>90</v>
      </c>
      <c r="F619" t="s">
        <v>20</v>
      </c>
      <c r="G619" t="s">
        <v>81</v>
      </c>
      <c r="H619" t="s">
        <v>82</v>
      </c>
      <c r="I619">
        <v>1</v>
      </c>
      <c r="J619">
        <v>648.82000000000005</v>
      </c>
      <c r="K619">
        <v>0.2</v>
      </c>
      <c r="L619">
        <v>519.05999999999995</v>
      </c>
      <c r="M619" t="s">
        <v>23</v>
      </c>
      <c r="N619" t="s">
        <v>24</v>
      </c>
      <c r="O619" t="s">
        <v>65</v>
      </c>
      <c r="P619" t="s">
        <v>42</v>
      </c>
      <c r="Q619" t="str">
        <f t="shared" si="63"/>
        <v>Completed</v>
      </c>
      <c r="R619" t="str">
        <f t="shared" si="64"/>
        <v>Online</v>
      </c>
      <c r="S619" t="str">
        <v>Debit Card</v>
      </c>
      <c r="T619" t="str">
        <v>Accessories</v>
      </c>
      <c r="U619" t="str">
        <f t="shared" si="65"/>
        <v>VALID</v>
      </c>
      <c r="V619" t="str">
        <f t="shared" si="66"/>
        <v>NORMAL</v>
      </c>
      <c r="W619" t="str">
        <f t="shared" si="67"/>
        <v>Valid</v>
      </c>
      <c r="X619">
        <f t="shared" si="69"/>
        <v>648.82000000000005</v>
      </c>
      <c r="Y619">
        <f t="shared" si="68"/>
        <v>519.05600000000004</v>
      </c>
    </row>
    <row r="620" spans="1:25" x14ac:dyDescent="0.3">
      <c r="A620" t="s">
        <v>943</v>
      </c>
      <c r="B620" s="1">
        <v>46032</v>
      </c>
      <c r="C620" t="s">
        <v>190</v>
      </c>
      <c r="D620" t="s">
        <v>121</v>
      </c>
      <c r="E620" t="s">
        <v>122</v>
      </c>
      <c r="F620" t="s">
        <v>55</v>
      </c>
      <c r="G620" t="s">
        <v>32</v>
      </c>
      <c r="H620" t="s">
        <v>47</v>
      </c>
      <c r="I620">
        <v>1</v>
      </c>
      <c r="J620">
        <v>429.96</v>
      </c>
      <c r="K620">
        <v>0.05</v>
      </c>
      <c r="L620">
        <v>408.46</v>
      </c>
      <c r="M620" t="s">
        <v>23</v>
      </c>
      <c r="N620" t="s">
        <v>24</v>
      </c>
      <c r="O620" t="s">
        <v>65</v>
      </c>
      <c r="P620" t="s">
        <v>59</v>
      </c>
      <c r="Q620" t="str">
        <f t="shared" si="63"/>
        <v>Completed</v>
      </c>
      <c r="R620" t="str">
        <f t="shared" si="64"/>
        <v>Online</v>
      </c>
      <c r="S620" t="str">
        <v>Debit Card</v>
      </c>
      <c r="T620" t="str">
        <v>Stationery</v>
      </c>
      <c r="U620" t="str">
        <f t="shared" si="65"/>
        <v>VALID</v>
      </c>
      <c r="V620" t="str">
        <f t="shared" si="66"/>
        <v>NORMAL</v>
      </c>
      <c r="W620" t="str">
        <f t="shared" si="67"/>
        <v>Valid</v>
      </c>
      <c r="X620">
        <f t="shared" si="69"/>
        <v>429.96</v>
      </c>
      <c r="Y620">
        <f t="shared" si="68"/>
        <v>408.46199999999999</v>
      </c>
    </row>
    <row r="621" spans="1:25" x14ac:dyDescent="0.3">
      <c r="A621" t="s">
        <v>944</v>
      </c>
      <c r="B621" s="1">
        <v>46114</v>
      </c>
      <c r="C621" t="s">
        <v>373</v>
      </c>
      <c r="D621" t="s">
        <v>29</v>
      </c>
      <c r="E621" t="s">
        <v>30</v>
      </c>
      <c r="F621" t="s">
        <v>31</v>
      </c>
      <c r="G621" t="s">
        <v>32</v>
      </c>
      <c r="H621" t="s">
        <v>75</v>
      </c>
      <c r="I621">
        <v>2</v>
      </c>
      <c r="J621">
        <v>3277.8</v>
      </c>
      <c r="K621">
        <v>0.2</v>
      </c>
      <c r="L621">
        <v>5244.48</v>
      </c>
      <c r="M621" t="s">
        <v>76</v>
      </c>
      <c r="N621" t="s">
        <v>24</v>
      </c>
      <c r="O621" t="s">
        <v>65</v>
      </c>
      <c r="P621" t="s">
        <v>102</v>
      </c>
      <c r="Q621" t="str">
        <f t="shared" si="63"/>
        <v>Completed</v>
      </c>
      <c r="R621" t="str">
        <f t="shared" si="64"/>
        <v>Store</v>
      </c>
      <c r="S621" t="str">
        <v>Debit Card</v>
      </c>
      <c r="T621" t="str">
        <v>Electronics</v>
      </c>
      <c r="U621" t="str">
        <f t="shared" si="65"/>
        <v>VALID</v>
      </c>
      <c r="V621" t="str">
        <f t="shared" si="66"/>
        <v>NORMAL</v>
      </c>
      <c r="W621" t="str">
        <f t="shared" si="67"/>
        <v>Valid</v>
      </c>
      <c r="X621">
        <f t="shared" si="69"/>
        <v>6555.6</v>
      </c>
      <c r="Y621">
        <f t="shared" si="68"/>
        <v>5244.4800000000005</v>
      </c>
    </row>
    <row r="622" spans="1:25" x14ac:dyDescent="0.3">
      <c r="A622" t="s">
        <v>945</v>
      </c>
      <c r="B622" s="1">
        <v>45647</v>
      </c>
      <c r="C622" t="s">
        <v>946</v>
      </c>
      <c r="D622" t="s">
        <v>53</v>
      </c>
      <c r="E622" t="s">
        <v>54</v>
      </c>
      <c r="F622" t="s">
        <v>55</v>
      </c>
      <c r="G622" t="s">
        <v>81</v>
      </c>
      <c r="H622" t="s">
        <v>135</v>
      </c>
      <c r="I622">
        <v>2</v>
      </c>
      <c r="J622">
        <v>221.62</v>
      </c>
      <c r="K622">
        <v>0.15</v>
      </c>
      <c r="L622">
        <v>376.75</v>
      </c>
      <c r="M622" t="s">
        <v>23</v>
      </c>
      <c r="N622" t="s">
        <v>71</v>
      </c>
      <c r="O622" t="s">
        <v>65</v>
      </c>
      <c r="P622" t="s">
        <v>26</v>
      </c>
      <c r="Q622" t="str">
        <f t="shared" si="63"/>
        <v>Completed</v>
      </c>
      <c r="R622" t="str">
        <f t="shared" si="64"/>
        <v>Online</v>
      </c>
      <c r="S622" t="str">
        <v>Upi</v>
      </c>
      <c r="T622" t="str">
        <v>Stationery</v>
      </c>
      <c r="U622" t="str">
        <f t="shared" si="65"/>
        <v>VALID</v>
      </c>
      <c r="V622" t="str">
        <f t="shared" si="66"/>
        <v>NORMAL</v>
      </c>
      <c r="W622" t="str">
        <f t="shared" si="67"/>
        <v>Valid</v>
      </c>
      <c r="X622">
        <f t="shared" si="69"/>
        <v>443.24</v>
      </c>
      <c r="Y622">
        <f t="shared" si="68"/>
        <v>376.75400000000002</v>
      </c>
    </row>
    <row r="623" spans="1:25" x14ac:dyDescent="0.3">
      <c r="A623" t="s">
        <v>947</v>
      </c>
      <c r="B623" s="1">
        <v>45577</v>
      </c>
      <c r="C623" t="s">
        <v>352</v>
      </c>
      <c r="D623" t="s">
        <v>38</v>
      </c>
      <c r="E623" t="s">
        <v>39</v>
      </c>
      <c r="F623" t="s">
        <v>40</v>
      </c>
      <c r="G623" t="s">
        <v>32</v>
      </c>
      <c r="H623" t="s">
        <v>33</v>
      </c>
      <c r="I623">
        <v>3</v>
      </c>
      <c r="J623">
        <v>1682.32</v>
      </c>
      <c r="K623">
        <v>0.05</v>
      </c>
      <c r="L623">
        <v>4794.6099999999997</v>
      </c>
      <c r="M623" t="s">
        <v>76</v>
      </c>
      <c r="N623" t="s">
        <v>49</v>
      </c>
      <c r="O623" t="s">
        <v>35</v>
      </c>
      <c r="P623" t="s">
        <v>50</v>
      </c>
      <c r="Q623" t="str">
        <f t="shared" si="63"/>
        <v>Cancelled</v>
      </c>
      <c r="R623" t="str">
        <f t="shared" si="64"/>
        <v>Store</v>
      </c>
      <c r="S623" t="str">
        <v>Net Banking</v>
      </c>
      <c r="T623" t="str">
        <v>Furniture</v>
      </c>
      <c r="U623" t="str">
        <f t="shared" si="65"/>
        <v>VALID</v>
      </c>
      <c r="V623" t="str">
        <f t="shared" si="66"/>
        <v>NORMAL</v>
      </c>
      <c r="W623" t="str">
        <f t="shared" si="67"/>
        <v>Valid</v>
      </c>
      <c r="X623">
        <f t="shared" si="69"/>
        <v>5046.96</v>
      </c>
      <c r="Y623">
        <f t="shared" si="68"/>
        <v>4794.6120000000001</v>
      </c>
    </row>
    <row r="624" spans="1:25" x14ac:dyDescent="0.3">
      <c r="A624" t="s">
        <v>948</v>
      </c>
      <c r="B624" s="1">
        <v>45905</v>
      </c>
      <c r="C624" t="s">
        <v>949</v>
      </c>
      <c r="D624" t="s">
        <v>62</v>
      </c>
      <c r="E624" t="s">
        <v>63</v>
      </c>
      <c r="F624" t="s">
        <v>31</v>
      </c>
      <c r="G624" t="s">
        <v>32</v>
      </c>
      <c r="H624" t="s">
        <v>33</v>
      </c>
      <c r="I624">
        <v>3</v>
      </c>
      <c r="J624">
        <v>2684.19</v>
      </c>
      <c r="K624">
        <v>0.08</v>
      </c>
      <c r="L624">
        <v>7408.36</v>
      </c>
      <c r="M624" t="s">
        <v>23</v>
      </c>
      <c r="N624" t="s">
        <v>58</v>
      </c>
      <c r="O624" t="s">
        <v>65</v>
      </c>
      <c r="P624" t="s">
        <v>72</v>
      </c>
      <c r="Q624" t="str">
        <f t="shared" si="63"/>
        <v>Completed</v>
      </c>
      <c r="R624" t="str">
        <f t="shared" si="64"/>
        <v>Online</v>
      </c>
      <c r="S624" t="str">
        <v>Credit Card</v>
      </c>
      <c r="T624" t="str">
        <v>Electronics</v>
      </c>
      <c r="U624" t="str">
        <f t="shared" si="65"/>
        <v>VALID</v>
      </c>
      <c r="V624" t="str">
        <f t="shared" si="66"/>
        <v>NORMAL</v>
      </c>
      <c r="W624" t="str">
        <f t="shared" si="67"/>
        <v>Valid</v>
      </c>
      <c r="X624">
        <f t="shared" si="69"/>
        <v>8052.57</v>
      </c>
      <c r="Y624">
        <f t="shared" si="68"/>
        <v>7408.3643999999995</v>
      </c>
    </row>
    <row r="625" spans="1:25" x14ac:dyDescent="0.3">
      <c r="A625" t="s">
        <v>950</v>
      </c>
      <c r="B625" s="1">
        <v>45946</v>
      </c>
      <c r="C625" t="s">
        <v>297</v>
      </c>
      <c r="D625" t="s">
        <v>121</v>
      </c>
      <c r="E625" t="s">
        <v>122</v>
      </c>
      <c r="F625" t="s">
        <v>55</v>
      </c>
      <c r="G625" t="s">
        <v>32</v>
      </c>
      <c r="H625" t="s">
        <v>33</v>
      </c>
      <c r="I625">
        <v>1</v>
      </c>
      <c r="J625">
        <v>453.4</v>
      </c>
      <c r="K625">
        <v>0.1</v>
      </c>
      <c r="L625">
        <v>408.06</v>
      </c>
      <c r="M625" t="s">
        <v>76</v>
      </c>
      <c r="N625" t="s">
        <v>34</v>
      </c>
      <c r="O625" t="s">
        <v>65</v>
      </c>
      <c r="P625" t="s">
        <v>111</v>
      </c>
      <c r="Q625" t="str">
        <f t="shared" si="63"/>
        <v>Completed</v>
      </c>
      <c r="R625" t="str">
        <f t="shared" si="64"/>
        <v>Store</v>
      </c>
      <c r="S625" t="str">
        <v>Cash On Delivery</v>
      </c>
      <c r="T625" t="str">
        <v>Stationery</v>
      </c>
      <c r="U625" t="str">
        <f t="shared" si="65"/>
        <v>VALID</v>
      </c>
      <c r="V625" t="str">
        <f t="shared" si="66"/>
        <v>NORMAL</v>
      </c>
      <c r="W625" t="str">
        <f t="shared" si="67"/>
        <v>Valid</v>
      </c>
      <c r="X625">
        <f t="shared" si="69"/>
        <v>453.4</v>
      </c>
      <c r="Y625">
        <f t="shared" si="68"/>
        <v>408.05999999999995</v>
      </c>
    </row>
    <row r="626" spans="1:25" x14ac:dyDescent="0.3">
      <c r="A626" t="s">
        <v>951</v>
      </c>
      <c r="B626" s="1">
        <v>45460</v>
      </c>
      <c r="C626" t="s">
        <v>166</v>
      </c>
      <c r="D626" t="s">
        <v>131</v>
      </c>
      <c r="E626" t="s">
        <v>132</v>
      </c>
      <c r="F626" t="s">
        <v>40</v>
      </c>
      <c r="G626" t="s">
        <v>56</v>
      </c>
      <c r="H626" t="s">
        <v>123</v>
      </c>
      <c r="I626">
        <v>5</v>
      </c>
      <c r="J626">
        <v>9956.1200000000008</v>
      </c>
      <c r="K626">
        <v>0</v>
      </c>
      <c r="L626">
        <v>49780.6</v>
      </c>
      <c r="M626" t="s">
        <v>48</v>
      </c>
      <c r="N626" t="s">
        <v>49</v>
      </c>
      <c r="O626" t="s">
        <v>35</v>
      </c>
      <c r="P626" t="s">
        <v>111</v>
      </c>
      <c r="Q626" t="str">
        <f t="shared" si="63"/>
        <v>Cancelled</v>
      </c>
      <c r="R626" t="str">
        <f t="shared" si="64"/>
        <v>Marketplace</v>
      </c>
      <c r="S626" t="str">
        <v>Net Banking</v>
      </c>
      <c r="T626" t="str">
        <v>Furniture</v>
      </c>
      <c r="U626" t="str">
        <f t="shared" si="65"/>
        <v>VALID</v>
      </c>
      <c r="V626" t="str">
        <f t="shared" si="66"/>
        <v>NORMAL</v>
      </c>
      <c r="W626" t="str">
        <f t="shared" si="67"/>
        <v>Valid</v>
      </c>
      <c r="X626">
        <f t="shared" si="69"/>
        <v>49780.600000000006</v>
      </c>
      <c r="Y626">
        <f t="shared" si="68"/>
        <v>49780.600000000006</v>
      </c>
    </row>
    <row r="627" spans="1:25" x14ac:dyDescent="0.3">
      <c r="A627" t="s">
        <v>952</v>
      </c>
      <c r="B627" s="1">
        <v>45439</v>
      </c>
      <c r="C627" t="s">
        <v>375</v>
      </c>
      <c r="D627" t="s">
        <v>121</v>
      </c>
      <c r="E627" t="s">
        <v>122</v>
      </c>
      <c r="F627" t="s">
        <v>55</v>
      </c>
      <c r="G627" t="s">
        <v>21</v>
      </c>
      <c r="H627" t="s">
        <v>93</v>
      </c>
      <c r="I627">
        <v>2</v>
      </c>
      <c r="J627">
        <v>470.82</v>
      </c>
      <c r="L627">
        <v>941.64</v>
      </c>
      <c r="M627" t="s">
        <v>48</v>
      </c>
      <c r="N627" t="s">
        <v>49</v>
      </c>
      <c r="O627" t="s">
        <v>35</v>
      </c>
      <c r="P627" t="s">
        <v>102</v>
      </c>
      <c r="Q627" t="str">
        <f t="shared" si="63"/>
        <v>Cancelled</v>
      </c>
      <c r="R627" t="str">
        <f t="shared" si="64"/>
        <v>Marketplace</v>
      </c>
      <c r="S627" t="str">
        <v>Net Banking</v>
      </c>
      <c r="T627" t="str">
        <v>Stationery</v>
      </c>
      <c r="U627" t="str">
        <f t="shared" si="65"/>
        <v>VALID</v>
      </c>
      <c r="V627" t="str">
        <f t="shared" si="66"/>
        <v>NORMAL</v>
      </c>
      <c r="W627" t="str">
        <f t="shared" si="67"/>
        <v>Valid</v>
      </c>
      <c r="X627">
        <f t="shared" si="69"/>
        <v>941.64</v>
      </c>
      <c r="Y627">
        <f t="shared" si="68"/>
        <v>941.64</v>
      </c>
    </row>
    <row r="628" spans="1:25" x14ac:dyDescent="0.3">
      <c r="A628" t="s">
        <v>953</v>
      </c>
      <c r="B628" s="1">
        <v>46096</v>
      </c>
      <c r="C628" t="s">
        <v>404</v>
      </c>
      <c r="D628" t="s">
        <v>45</v>
      </c>
      <c r="E628" t="s">
        <v>46</v>
      </c>
      <c r="F628" t="s">
        <v>31</v>
      </c>
      <c r="G628" t="s">
        <v>32</v>
      </c>
      <c r="H628" t="s">
        <v>47</v>
      </c>
      <c r="I628">
        <v>2</v>
      </c>
      <c r="J628">
        <v>1776.86</v>
      </c>
      <c r="K628">
        <v>0.05</v>
      </c>
      <c r="L628">
        <v>3376.03</v>
      </c>
      <c r="M628" t="s">
        <v>23</v>
      </c>
      <c r="N628" t="s">
        <v>71</v>
      </c>
      <c r="O628" t="s">
        <v>65</v>
      </c>
      <c r="P628" t="s">
        <v>111</v>
      </c>
      <c r="Q628" t="str">
        <f t="shared" si="63"/>
        <v>Completed</v>
      </c>
      <c r="R628" t="str">
        <f t="shared" si="64"/>
        <v>Online</v>
      </c>
      <c r="S628" t="str">
        <v>Upi</v>
      </c>
      <c r="T628" t="str">
        <v>Electronics</v>
      </c>
      <c r="U628" t="str">
        <f t="shared" si="65"/>
        <v>VALID</v>
      </c>
      <c r="V628" t="str">
        <f t="shared" si="66"/>
        <v>NORMAL</v>
      </c>
      <c r="W628" t="str">
        <f t="shared" si="67"/>
        <v>Valid</v>
      </c>
      <c r="X628">
        <f t="shared" si="69"/>
        <v>3553.72</v>
      </c>
      <c r="Y628">
        <f t="shared" si="68"/>
        <v>3376.0339999999997</v>
      </c>
    </row>
    <row r="629" spans="1:25" x14ac:dyDescent="0.3">
      <c r="A629" t="s">
        <v>954</v>
      </c>
      <c r="B629" s="1">
        <v>45662</v>
      </c>
      <c r="C629" t="s">
        <v>411</v>
      </c>
      <c r="D629" t="s">
        <v>121</v>
      </c>
      <c r="E629" t="s">
        <v>122</v>
      </c>
      <c r="F629" t="s">
        <v>55</v>
      </c>
      <c r="G629" t="s">
        <v>21</v>
      </c>
      <c r="H629" t="s">
        <v>93</v>
      </c>
      <c r="I629">
        <v>3</v>
      </c>
      <c r="J629">
        <v>425.25</v>
      </c>
      <c r="K629">
        <v>0.1</v>
      </c>
      <c r="L629">
        <v>1148.17</v>
      </c>
      <c r="M629" t="s">
        <v>23</v>
      </c>
      <c r="N629" t="s">
        <v>58</v>
      </c>
      <c r="O629" t="s">
        <v>65</v>
      </c>
      <c r="P629" t="s">
        <v>42</v>
      </c>
      <c r="Q629" t="str">
        <f t="shared" si="63"/>
        <v>Completed</v>
      </c>
      <c r="R629" t="str">
        <f t="shared" si="64"/>
        <v>Online</v>
      </c>
      <c r="S629" t="str">
        <v>Credit Card</v>
      </c>
      <c r="T629" t="str">
        <v>Stationery</v>
      </c>
      <c r="U629" t="str">
        <f t="shared" si="65"/>
        <v>VALID</v>
      </c>
      <c r="V629" t="str">
        <f t="shared" si="66"/>
        <v>NORMAL</v>
      </c>
      <c r="W629" t="str">
        <f t="shared" si="67"/>
        <v>Valid</v>
      </c>
      <c r="X629">
        <f t="shared" si="69"/>
        <v>1275.75</v>
      </c>
      <c r="Y629">
        <f t="shared" si="68"/>
        <v>1148.175</v>
      </c>
    </row>
    <row r="630" spans="1:25" x14ac:dyDescent="0.3">
      <c r="A630" t="s">
        <v>955</v>
      </c>
      <c r="B630" s="1">
        <v>45559</v>
      </c>
      <c r="C630" t="s">
        <v>810</v>
      </c>
      <c r="D630" t="s">
        <v>29</v>
      </c>
      <c r="E630" t="s">
        <v>30</v>
      </c>
      <c r="F630" t="s">
        <v>31</v>
      </c>
      <c r="G630" t="s">
        <v>81</v>
      </c>
      <c r="H630" t="s">
        <v>87</v>
      </c>
      <c r="I630">
        <v>2</v>
      </c>
      <c r="J630">
        <v>3416.69</v>
      </c>
      <c r="K630">
        <v>0.08</v>
      </c>
      <c r="L630">
        <v>6286.71</v>
      </c>
      <c r="M630" t="s">
        <v>76</v>
      </c>
      <c r="N630" t="s">
        <v>71</v>
      </c>
      <c r="O630" t="s">
        <v>65</v>
      </c>
      <c r="P630" t="s">
        <v>50</v>
      </c>
      <c r="Q630" t="str">
        <f t="shared" si="63"/>
        <v>Completed</v>
      </c>
      <c r="R630" t="str">
        <f t="shared" si="64"/>
        <v>Store</v>
      </c>
      <c r="S630" t="str">
        <v>Upi</v>
      </c>
      <c r="T630" t="str">
        <v>Electronics</v>
      </c>
      <c r="U630" t="str">
        <f t="shared" si="65"/>
        <v>VALID</v>
      </c>
      <c r="V630" t="str">
        <f t="shared" si="66"/>
        <v>NORMAL</v>
      </c>
      <c r="W630" t="str">
        <f t="shared" si="67"/>
        <v>Valid</v>
      </c>
      <c r="X630">
        <f t="shared" si="69"/>
        <v>6833.38</v>
      </c>
      <c r="Y630">
        <f t="shared" si="68"/>
        <v>6286.7096000000001</v>
      </c>
    </row>
    <row r="631" spans="1:25" x14ac:dyDescent="0.3">
      <c r="A631" t="s">
        <v>956</v>
      </c>
      <c r="B631" s="1">
        <v>45358</v>
      </c>
      <c r="C631" t="s">
        <v>957</v>
      </c>
      <c r="D631" t="s">
        <v>29</v>
      </c>
      <c r="E631" t="s">
        <v>30</v>
      </c>
      <c r="F631" t="s">
        <v>31</v>
      </c>
      <c r="G631" t="s">
        <v>81</v>
      </c>
      <c r="H631" t="s">
        <v>135</v>
      </c>
      <c r="I631">
        <v>3</v>
      </c>
      <c r="J631">
        <v>3335.58</v>
      </c>
      <c r="K631">
        <v>0</v>
      </c>
      <c r="L631">
        <v>10006.74</v>
      </c>
      <c r="M631" t="s">
        <v>76</v>
      </c>
      <c r="N631" t="s">
        <v>71</v>
      </c>
      <c r="O631" t="s">
        <v>65</v>
      </c>
      <c r="P631" t="s">
        <v>50</v>
      </c>
      <c r="Q631" t="str">
        <f t="shared" si="63"/>
        <v>Completed</v>
      </c>
      <c r="R631" t="str">
        <f t="shared" si="64"/>
        <v>Store</v>
      </c>
      <c r="S631" t="str">
        <v>Upi</v>
      </c>
      <c r="T631" t="str">
        <v>Electronics</v>
      </c>
      <c r="U631" t="str">
        <f t="shared" si="65"/>
        <v>VALID</v>
      </c>
      <c r="V631" t="str">
        <f t="shared" si="66"/>
        <v>NORMAL</v>
      </c>
      <c r="W631" t="str">
        <f t="shared" si="67"/>
        <v>Valid</v>
      </c>
      <c r="X631">
        <f t="shared" si="69"/>
        <v>10006.74</v>
      </c>
      <c r="Y631">
        <f t="shared" si="68"/>
        <v>10006.74</v>
      </c>
    </row>
    <row r="632" spans="1:25" x14ac:dyDescent="0.3">
      <c r="A632" t="s">
        <v>958</v>
      </c>
      <c r="B632" s="1">
        <v>45474</v>
      </c>
      <c r="C632" t="s">
        <v>306</v>
      </c>
      <c r="D632" t="s">
        <v>131</v>
      </c>
      <c r="E632" t="s">
        <v>132</v>
      </c>
      <c r="F632" t="s">
        <v>40</v>
      </c>
      <c r="G632" t="s">
        <v>81</v>
      </c>
      <c r="H632" t="s">
        <v>82</v>
      </c>
      <c r="I632">
        <v>3</v>
      </c>
      <c r="J632">
        <v>9783.8700000000008</v>
      </c>
      <c r="K632">
        <v>0.03</v>
      </c>
      <c r="L632">
        <v>28471.06</v>
      </c>
      <c r="M632" t="s">
        <v>48</v>
      </c>
      <c r="N632" t="s">
        <v>24</v>
      </c>
      <c r="O632" t="s">
        <v>65</v>
      </c>
      <c r="P632" t="s">
        <v>116</v>
      </c>
      <c r="Q632" t="str">
        <f t="shared" si="63"/>
        <v>Completed</v>
      </c>
      <c r="R632" t="str">
        <f t="shared" si="64"/>
        <v>Marketplace</v>
      </c>
      <c r="S632" t="str">
        <v>Debit Card</v>
      </c>
      <c r="T632" t="str">
        <v>Furniture</v>
      </c>
      <c r="U632" t="str">
        <f t="shared" si="65"/>
        <v>VALID</v>
      </c>
      <c r="V632" t="str">
        <f t="shared" si="66"/>
        <v>NORMAL</v>
      </c>
      <c r="W632" t="str">
        <f t="shared" si="67"/>
        <v>Valid</v>
      </c>
      <c r="X632">
        <f t="shared" si="69"/>
        <v>29351.61</v>
      </c>
      <c r="Y632">
        <f t="shared" si="68"/>
        <v>28471.061700000002</v>
      </c>
    </row>
    <row r="633" spans="1:25" x14ac:dyDescent="0.3">
      <c r="A633" t="s">
        <v>959</v>
      </c>
      <c r="B633" s="1">
        <v>45892</v>
      </c>
      <c r="C633" t="s">
        <v>379</v>
      </c>
      <c r="D633" t="s">
        <v>121</v>
      </c>
      <c r="E633" t="s">
        <v>122</v>
      </c>
      <c r="F633" t="s">
        <v>55</v>
      </c>
      <c r="G633" t="s">
        <v>21</v>
      </c>
      <c r="H633" t="s">
        <v>22</v>
      </c>
      <c r="I633">
        <v>3</v>
      </c>
      <c r="J633">
        <v>479.33</v>
      </c>
      <c r="K633">
        <v>0.05</v>
      </c>
      <c r="L633">
        <v>1366.09</v>
      </c>
      <c r="M633" t="s">
        <v>48</v>
      </c>
      <c r="N633" t="s">
        <v>49</v>
      </c>
      <c r="O633" t="s">
        <v>65</v>
      </c>
      <c r="P633" t="s">
        <v>26</v>
      </c>
      <c r="Q633" t="str">
        <f t="shared" si="63"/>
        <v>Completed</v>
      </c>
      <c r="R633" t="str">
        <f t="shared" si="64"/>
        <v>Marketplace</v>
      </c>
      <c r="S633" t="str">
        <v>Net Banking</v>
      </c>
      <c r="T633" t="str">
        <v>Stationery</v>
      </c>
      <c r="U633" t="str">
        <f t="shared" si="65"/>
        <v>VALID</v>
      </c>
      <c r="V633" t="str">
        <f t="shared" si="66"/>
        <v>NORMAL</v>
      </c>
      <c r="W633" t="str">
        <f t="shared" si="67"/>
        <v>Valid</v>
      </c>
      <c r="X633">
        <f t="shared" si="69"/>
        <v>1437.99</v>
      </c>
      <c r="Y633">
        <f t="shared" si="68"/>
        <v>1366.0905</v>
      </c>
    </row>
    <row r="634" spans="1:25" x14ac:dyDescent="0.3">
      <c r="A634" t="s">
        <v>960</v>
      </c>
      <c r="B634" s="1">
        <v>45829</v>
      </c>
      <c r="C634" t="s">
        <v>672</v>
      </c>
      <c r="D634" t="s">
        <v>62</v>
      </c>
      <c r="E634" t="s">
        <v>63</v>
      </c>
      <c r="F634" t="s">
        <v>31</v>
      </c>
      <c r="G634" t="s">
        <v>56</v>
      </c>
      <c r="H634" t="s">
        <v>57</v>
      </c>
      <c r="I634">
        <v>3</v>
      </c>
      <c r="J634">
        <v>2946.83</v>
      </c>
      <c r="K634">
        <v>0.05</v>
      </c>
      <c r="L634">
        <v>8398.4699999999993</v>
      </c>
      <c r="M634" t="s">
        <v>48</v>
      </c>
      <c r="N634" t="s">
        <v>49</v>
      </c>
      <c r="O634" t="s">
        <v>65</v>
      </c>
      <c r="P634" t="s">
        <v>42</v>
      </c>
      <c r="Q634" t="str">
        <f t="shared" si="63"/>
        <v>Completed</v>
      </c>
      <c r="R634" t="str">
        <f t="shared" si="64"/>
        <v>Marketplace</v>
      </c>
      <c r="S634" t="str">
        <v>Net Banking</v>
      </c>
      <c r="T634" t="str">
        <v>Electronics</v>
      </c>
      <c r="U634" t="str">
        <f t="shared" si="65"/>
        <v>VALID</v>
      </c>
      <c r="V634" t="str">
        <f t="shared" si="66"/>
        <v>NORMAL</v>
      </c>
      <c r="W634" t="str">
        <f t="shared" si="67"/>
        <v>Valid</v>
      </c>
      <c r="X634">
        <f t="shared" si="69"/>
        <v>8840.49</v>
      </c>
      <c r="Y634">
        <f t="shared" si="68"/>
        <v>8398.4655000000002</v>
      </c>
    </row>
    <row r="635" spans="1:25" x14ac:dyDescent="0.3">
      <c r="A635" t="s">
        <v>961</v>
      </c>
      <c r="B635" s="1">
        <v>45992</v>
      </c>
      <c r="C635" t="s">
        <v>212</v>
      </c>
      <c r="D635" t="s">
        <v>131</v>
      </c>
      <c r="E635" t="s">
        <v>132</v>
      </c>
      <c r="F635" t="s">
        <v>40</v>
      </c>
      <c r="G635" t="s">
        <v>56</v>
      </c>
      <c r="H635" t="s">
        <v>123</v>
      </c>
      <c r="I635">
        <v>5</v>
      </c>
      <c r="J635">
        <v>10055.08</v>
      </c>
      <c r="K635">
        <v>0.1</v>
      </c>
      <c r="L635">
        <v>45247.86</v>
      </c>
      <c r="M635" t="s">
        <v>76</v>
      </c>
      <c r="N635" t="s">
        <v>24</v>
      </c>
      <c r="O635" t="s">
        <v>35</v>
      </c>
      <c r="P635" t="s">
        <v>102</v>
      </c>
      <c r="Q635" t="str">
        <f t="shared" si="63"/>
        <v>Cancelled</v>
      </c>
      <c r="R635" t="str">
        <f t="shared" si="64"/>
        <v>Store</v>
      </c>
      <c r="S635" t="str">
        <v>Debit Card</v>
      </c>
      <c r="T635" t="str">
        <v>Furniture</v>
      </c>
      <c r="U635" t="str">
        <f t="shared" si="65"/>
        <v>VALID</v>
      </c>
      <c r="V635" t="str">
        <f t="shared" si="66"/>
        <v>NORMAL</v>
      </c>
      <c r="W635" t="str">
        <f t="shared" si="67"/>
        <v>Valid</v>
      </c>
      <c r="X635">
        <f t="shared" si="69"/>
        <v>50275.4</v>
      </c>
      <c r="Y635">
        <f t="shared" si="68"/>
        <v>45247.86</v>
      </c>
    </row>
    <row r="636" spans="1:25" x14ac:dyDescent="0.3">
      <c r="A636" t="s">
        <v>962</v>
      </c>
      <c r="B636" s="1">
        <v>45792</v>
      </c>
      <c r="C636" t="s">
        <v>963</v>
      </c>
      <c r="D636" t="s">
        <v>18</v>
      </c>
      <c r="E636" t="s">
        <v>19</v>
      </c>
      <c r="F636" t="s">
        <v>20</v>
      </c>
      <c r="G636" t="s">
        <v>21</v>
      </c>
      <c r="H636" t="s">
        <v>126</v>
      </c>
      <c r="I636">
        <v>5</v>
      </c>
      <c r="J636">
        <v>917.52</v>
      </c>
      <c r="K636">
        <v>0.05</v>
      </c>
      <c r="L636">
        <v>4358.22</v>
      </c>
      <c r="M636" t="s">
        <v>23</v>
      </c>
      <c r="N636" t="s">
        <v>71</v>
      </c>
      <c r="O636" t="s">
        <v>65</v>
      </c>
      <c r="P636" t="s">
        <v>111</v>
      </c>
      <c r="Q636" t="str">
        <f t="shared" si="63"/>
        <v>Completed</v>
      </c>
      <c r="R636" t="str">
        <f t="shared" si="64"/>
        <v>Online</v>
      </c>
      <c r="S636" t="str">
        <v>Upi</v>
      </c>
      <c r="T636" t="str">
        <v>Accessories</v>
      </c>
      <c r="U636" t="str">
        <f t="shared" si="65"/>
        <v>VALID</v>
      </c>
      <c r="V636" t="str">
        <f t="shared" si="66"/>
        <v>NORMAL</v>
      </c>
      <c r="W636" t="str">
        <f t="shared" si="67"/>
        <v>Valid</v>
      </c>
      <c r="X636">
        <f t="shared" si="69"/>
        <v>4587.6000000000004</v>
      </c>
      <c r="Y636">
        <f t="shared" si="68"/>
        <v>4358.22</v>
      </c>
    </row>
    <row r="637" spans="1:25" x14ac:dyDescent="0.3">
      <c r="A637" t="s">
        <v>964</v>
      </c>
      <c r="B637" s="1">
        <v>45729</v>
      </c>
      <c r="C637" t="s">
        <v>483</v>
      </c>
      <c r="D637" t="s">
        <v>85</v>
      </c>
      <c r="E637" t="s">
        <v>86</v>
      </c>
      <c r="F637" t="s">
        <v>20</v>
      </c>
      <c r="G637" t="s">
        <v>32</v>
      </c>
      <c r="H637" t="s">
        <v>75</v>
      </c>
      <c r="I637">
        <v>3</v>
      </c>
      <c r="J637">
        <v>1866.57</v>
      </c>
      <c r="K637">
        <v>0.2</v>
      </c>
      <c r="L637">
        <v>4479.7700000000004</v>
      </c>
      <c r="M637" t="s">
        <v>23</v>
      </c>
      <c r="N637" t="s">
        <v>24</v>
      </c>
      <c r="O637" t="s">
        <v>65</v>
      </c>
      <c r="P637" t="s">
        <v>116</v>
      </c>
      <c r="Q637" t="str">
        <f t="shared" si="63"/>
        <v>Completed</v>
      </c>
      <c r="R637" t="str">
        <f t="shared" si="64"/>
        <v>Online</v>
      </c>
      <c r="S637" t="str">
        <v>Debit Card</v>
      </c>
      <c r="T637" t="str">
        <v>Accessories</v>
      </c>
      <c r="U637" t="str">
        <f t="shared" si="65"/>
        <v>VALID</v>
      </c>
      <c r="V637" t="str">
        <f t="shared" si="66"/>
        <v>NORMAL</v>
      </c>
      <c r="W637" t="str">
        <f t="shared" si="67"/>
        <v>Valid</v>
      </c>
      <c r="X637">
        <f t="shared" si="69"/>
        <v>5599.71</v>
      </c>
      <c r="Y637">
        <f t="shared" si="68"/>
        <v>4479.768</v>
      </c>
    </row>
    <row r="638" spans="1:25" x14ac:dyDescent="0.3">
      <c r="A638" t="s">
        <v>965</v>
      </c>
      <c r="B638" s="1">
        <v>45422</v>
      </c>
      <c r="C638" t="s">
        <v>28</v>
      </c>
      <c r="D638" t="s">
        <v>53</v>
      </c>
      <c r="E638" t="s">
        <v>54</v>
      </c>
      <c r="F638" t="s">
        <v>55</v>
      </c>
      <c r="G638" t="s">
        <v>56</v>
      </c>
      <c r="H638" t="s">
        <v>57</v>
      </c>
      <c r="I638">
        <v>1</v>
      </c>
      <c r="J638">
        <v>232.53</v>
      </c>
      <c r="K638">
        <v>0</v>
      </c>
      <c r="L638">
        <v>232.53</v>
      </c>
      <c r="M638" t="s">
        <v>48</v>
      </c>
      <c r="N638" t="s">
        <v>71</v>
      </c>
      <c r="O638" t="s">
        <v>35</v>
      </c>
      <c r="P638" t="s">
        <v>26</v>
      </c>
      <c r="Q638" t="str">
        <f t="shared" si="63"/>
        <v>Cancelled</v>
      </c>
      <c r="R638" t="str">
        <f t="shared" si="64"/>
        <v>Marketplace</v>
      </c>
      <c r="S638" t="str">
        <v>Upi</v>
      </c>
      <c r="T638" t="str">
        <v>Stationery</v>
      </c>
      <c r="U638" t="str">
        <f t="shared" si="65"/>
        <v>VALID</v>
      </c>
      <c r="V638" t="str">
        <f t="shared" si="66"/>
        <v>NORMAL</v>
      </c>
      <c r="W638" t="str">
        <f t="shared" si="67"/>
        <v>Valid</v>
      </c>
      <c r="X638">
        <f t="shared" si="69"/>
        <v>232.53</v>
      </c>
      <c r="Y638">
        <f t="shared" si="68"/>
        <v>232.53</v>
      </c>
    </row>
    <row r="639" spans="1:25" x14ac:dyDescent="0.3">
      <c r="A639" t="s">
        <v>966</v>
      </c>
      <c r="B639" s="1">
        <v>45648</v>
      </c>
      <c r="C639" t="s">
        <v>137</v>
      </c>
      <c r="D639" t="s">
        <v>170</v>
      </c>
      <c r="E639" t="s">
        <v>171</v>
      </c>
      <c r="F639" t="s">
        <v>31</v>
      </c>
      <c r="G639" t="s">
        <v>21</v>
      </c>
      <c r="H639" t="s">
        <v>93</v>
      </c>
      <c r="I639">
        <v>4</v>
      </c>
      <c r="J639">
        <v>63783.18</v>
      </c>
      <c r="K639">
        <v>0</v>
      </c>
      <c r="L639">
        <v>255132.72</v>
      </c>
      <c r="M639" t="s">
        <v>76</v>
      </c>
      <c r="N639" t="s">
        <v>58</v>
      </c>
      <c r="O639" t="s">
        <v>65</v>
      </c>
      <c r="P639" t="s">
        <v>72</v>
      </c>
      <c r="Q639" t="str">
        <f t="shared" si="63"/>
        <v>Completed</v>
      </c>
      <c r="R639" t="str">
        <f t="shared" si="64"/>
        <v>Store</v>
      </c>
      <c r="S639" t="str">
        <v>Credit Card</v>
      </c>
      <c r="T639" t="str">
        <v>Electronics</v>
      </c>
      <c r="U639" t="str">
        <f t="shared" si="65"/>
        <v>VALID</v>
      </c>
      <c r="V639" t="str">
        <f t="shared" si="66"/>
        <v>NORMAL</v>
      </c>
      <c r="W639" t="str">
        <f t="shared" si="67"/>
        <v>Valid</v>
      </c>
      <c r="X639">
        <f t="shared" si="69"/>
        <v>255132.72</v>
      </c>
      <c r="Y639">
        <f t="shared" si="68"/>
        <v>255132.72</v>
      </c>
    </row>
    <row r="640" spans="1:25" x14ac:dyDescent="0.3">
      <c r="A640" t="s">
        <v>967</v>
      </c>
      <c r="B640" s="1">
        <v>45382</v>
      </c>
      <c r="C640" t="s">
        <v>259</v>
      </c>
      <c r="D640" t="s">
        <v>29</v>
      </c>
      <c r="E640" t="s">
        <v>30</v>
      </c>
      <c r="F640" t="s">
        <v>31</v>
      </c>
      <c r="G640" t="s">
        <v>32</v>
      </c>
      <c r="H640" t="s">
        <v>33</v>
      </c>
      <c r="I640">
        <v>3</v>
      </c>
      <c r="J640">
        <v>3071.99</v>
      </c>
      <c r="K640">
        <v>0</v>
      </c>
      <c r="L640">
        <v>9215.9699999999993</v>
      </c>
      <c r="M640" t="s">
        <v>76</v>
      </c>
      <c r="N640" t="s">
        <v>58</v>
      </c>
      <c r="O640" t="s">
        <v>65</v>
      </c>
      <c r="Q640" t="str">
        <f t="shared" si="63"/>
        <v>Completed</v>
      </c>
      <c r="R640" t="str">
        <f t="shared" si="64"/>
        <v>Store</v>
      </c>
      <c r="S640" t="str">
        <v>Credit Card</v>
      </c>
      <c r="T640" t="str">
        <v>Electronics</v>
      </c>
      <c r="U640" t="str">
        <f t="shared" si="65"/>
        <v>VALID</v>
      </c>
      <c r="V640" t="str">
        <f t="shared" si="66"/>
        <v>NORMAL</v>
      </c>
      <c r="W640" t="str">
        <f t="shared" si="67"/>
        <v>Valid</v>
      </c>
      <c r="X640">
        <f t="shared" si="69"/>
        <v>9215.9699999999993</v>
      </c>
      <c r="Y640">
        <f t="shared" si="68"/>
        <v>9215.9699999999993</v>
      </c>
    </row>
    <row r="641" spans="1:25" x14ac:dyDescent="0.3">
      <c r="A641" t="s">
        <v>968</v>
      </c>
      <c r="B641" s="1">
        <v>45724</v>
      </c>
      <c r="C641" t="s">
        <v>460</v>
      </c>
      <c r="D641" t="s">
        <v>29</v>
      </c>
      <c r="E641" t="s">
        <v>30</v>
      </c>
      <c r="F641" t="s">
        <v>31</v>
      </c>
      <c r="G641" t="s">
        <v>21</v>
      </c>
      <c r="H641" t="s">
        <v>22</v>
      </c>
      <c r="I641">
        <v>1</v>
      </c>
      <c r="J641">
        <v>3408.74</v>
      </c>
      <c r="K641">
        <v>0</v>
      </c>
      <c r="L641">
        <v>3408.74</v>
      </c>
      <c r="M641" t="s">
        <v>48</v>
      </c>
      <c r="N641" t="s">
        <v>24</v>
      </c>
      <c r="O641" t="s">
        <v>65</v>
      </c>
      <c r="P641" t="s">
        <v>50</v>
      </c>
      <c r="Q641" t="str">
        <f t="shared" si="63"/>
        <v>Completed</v>
      </c>
      <c r="R641" t="str">
        <f t="shared" si="64"/>
        <v>Marketplace</v>
      </c>
      <c r="S641" t="str">
        <v>Debit Card</v>
      </c>
      <c r="T641" t="str">
        <v>Electronics</v>
      </c>
      <c r="U641" t="str">
        <f t="shared" si="65"/>
        <v>VALID</v>
      </c>
      <c r="V641" t="str">
        <f t="shared" si="66"/>
        <v>NORMAL</v>
      </c>
      <c r="W641" t="str">
        <f t="shared" si="67"/>
        <v>Valid</v>
      </c>
      <c r="X641">
        <f t="shared" si="69"/>
        <v>3408.74</v>
      </c>
      <c r="Y641">
        <f t="shared" si="68"/>
        <v>3408.74</v>
      </c>
    </row>
    <row r="642" spans="1:25" x14ac:dyDescent="0.3">
      <c r="A642" t="s">
        <v>969</v>
      </c>
      <c r="B642" s="1">
        <v>45898</v>
      </c>
      <c r="C642" t="s">
        <v>17</v>
      </c>
      <c r="D642" t="s">
        <v>53</v>
      </c>
      <c r="E642" t="s">
        <v>54</v>
      </c>
      <c r="F642" t="s">
        <v>55</v>
      </c>
      <c r="G642" t="s">
        <v>21</v>
      </c>
      <c r="H642" t="s">
        <v>22</v>
      </c>
      <c r="I642">
        <v>2</v>
      </c>
      <c r="J642">
        <v>216.35</v>
      </c>
      <c r="K642">
        <v>0.08</v>
      </c>
      <c r="L642">
        <v>398.08</v>
      </c>
      <c r="M642" t="s">
        <v>76</v>
      </c>
      <c r="N642" t="s">
        <v>71</v>
      </c>
      <c r="O642" t="s">
        <v>65</v>
      </c>
      <c r="P642" t="s">
        <v>26</v>
      </c>
      <c r="Q642" t="str">
        <f t="shared" si="63"/>
        <v>Completed</v>
      </c>
      <c r="R642" t="str">
        <f t="shared" si="64"/>
        <v>Store</v>
      </c>
      <c r="S642" t="str">
        <v>Upi</v>
      </c>
      <c r="T642" t="str">
        <v>Stationery</v>
      </c>
      <c r="U642" t="str">
        <f t="shared" si="65"/>
        <v>VALID</v>
      </c>
      <c r="V642" t="str">
        <f t="shared" si="66"/>
        <v>NORMAL</v>
      </c>
      <c r="W642" t="str">
        <f t="shared" si="67"/>
        <v>Valid</v>
      </c>
      <c r="X642">
        <f t="shared" si="69"/>
        <v>432.7</v>
      </c>
      <c r="Y642">
        <f t="shared" si="68"/>
        <v>398.084</v>
      </c>
    </row>
    <row r="643" spans="1:25" x14ac:dyDescent="0.3">
      <c r="A643" t="s">
        <v>970</v>
      </c>
      <c r="B643" s="1">
        <v>45309</v>
      </c>
      <c r="C643" t="s">
        <v>343</v>
      </c>
      <c r="D643" t="s">
        <v>89</v>
      </c>
      <c r="E643" t="s">
        <v>90</v>
      </c>
      <c r="F643" t="s">
        <v>20</v>
      </c>
      <c r="G643" t="s">
        <v>56</v>
      </c>
      <c r="H643" t="s">
        <v>57</v>
      </c>
      <c r="I643">
        <v>2</v>
      </c>
      <c r="J643">
        <v>695.47</v>
      </c>
      <c r="K643">
        <v>0.08</v>
      </c>
      <c r="L643">
        <v>1279.6600000000001</v>
      </c>
      <c r="M643" t="s">
        <v>23</v>
      </c>
      <c r="N643" t="s">
        <v>49</v>
      </c>
      <c r="O643" t="s">
        <v>65</v>
      </c>
      <c r="P643" t="s">
        <v>102</v>
      </c>
      <c r="Q643" t="str">
        <f t="shared" ref="Q643:Q706" si="70">PROPER(O643)</f>
        <v>Completed</v>
      </c>
      <c r="R643" t="str">
        <f t="shared" ref="R643:R706" si="71">PROPER(M643)</f>
        <v>Online</v>
      </c>
      <c r="S643" t="str">
        <v>Net Banking</v>
      </c>
      <c r="T643" t="str">
        <v>Accessories</v>
      </c>
      <c r="U643" t="str">
        <f t="shared" ref="U643:U706" si="72">IF(I643&lt;=0,"INVALID","VALID")</f>
        <v>VALID</v>
      </c>
      <c r="V643" t="str">
        <f t="shared" ref="V643:V706" si="73">IF(I643&gt;100,"REVIEW","NORMAL")</f>
        <v>NORMAL</v>
      </c>
      <c r="W643" t="str">
        <f t="shared" ref="W643:W706" si="74">IF(OR(K643&lt;0,K643&gt;1),"Invalid","Valid")</f>
        <v>Valid</v>
      </c>
      <c r="X643">
        <f t="shared" si="69"/>
        <v>1390.94</v>
      </c>
      <c r="Y643">
        <f t="shared" ref="Y643:Y706" si="75">I643*J643-(I643*J643*K643)</f>
        <v>1279.6648</v>
      </c>
    </row>
    <row r="644" spans="1:25" x14ac:dyDescent="0.3">
      <c r="A644" t="s">
        <v>971</v>
      </c>
      <c r="B644" s="1">
        <v>45523</v>
      </c>
      <c r="C644" t="s">
        <v>548</v>
      </c>
      <c r="D644" t="s">
        <v>131</v>
      </c>
      <c r="E644" t="s">
        <v>132</v>
      </c>
      <c r="F644" t="s">
        <v>40</v>
      </c>
      <c r="G644" t="s">
        <v>21</v>
      </c>
      <c r="H644" t="s">
        <v>126</v>
      </c>
      <c r="I644">
        <v>4</v>
      </c>
      <c r="J644">
        <v>9669.8799999999992</v>
      </c>
      <c r="K644">
        <v>0</v>
      </c>
      <c r="L644">
        <v>38679.519999999997</v>
      </c>
      <c r="M644" t="s">
        <v>48</v>
      </c>
      <c r="N644" t="s">
        <v>34</v>
      </c>
      <c r="O644" t="s">
        <v>65</v>
      </c>
      <c r="P644" t="s">
        <v>26</v>
      </c>
      <c r="Q644" t="str">
        <f t="shared" si="70"/>
        <v>Completed</v>
      </c>
      <c r="R644" t="str">
        <f t="shared" si="71"/>
        <v>Marketplace</v>
      </c>
      <c r="S644" t="str">
        <v>Cash On Delivery</v>
      </c>
      <c r="T644" t="str">
        <v>Furniture</v>
      </c>
      <c r="U644" t="str">
        <f t="shared" si="72"/>
        <v>VALID</v>
      </c>
      <c r="V644" t="str">
        <f t="shared" si="73"/>
        <v>NORMAL</v>
      </c>
      <c r="W644" t="str">
        <f t="shared" si="74"/>
        <v>Valid</v>
      </c>
      <c r="X644">
        <f t="shared" ref="X644:X707" si="76">I644*J644</f>
        <v>38679.519999999997</v>
      </c>
      <c r="Y644">
        <f t="shared" si="75"/>
        <v>38679.519999999997</v>
      </c>
    </row>
    <row r="645" spans="1:25" x14ac:dyDescent="0.3">
      <c r="A645" t="s">
        <v>972</v>
      </c>
      <c r="B645" s="1">
        <v>46111</v>
      </c>
      <c r="C645" t="s">
        <v>313</v>
      </c>
      <c r="D645" t="s">
        <v>45</v>
      </c>
      <c r="E645" t="s">
        <v>46</v>
      </c>
      <c r="F645" t="s">
        <v>31</v>
      </c>
      <c r="G645" t="s">
        <v>21</v>
      </c>
      <c r="H645" t="s">
        <v>93</v>
      </c>
      <c r="I645">
        <v>4</v>
      </c>
      <c r="J645">
        <v>1857.43</v>
      </c>
      <c r="K645">
        <v>0</v>
      </c>
      <c r="L645">
        <v>7429.72</v>
      </c>
      <c r="M645" t="s">
        <v>76</v>
      </c>
      <c r="N645" t="s">
        <v>34</v>
      </c>
      <c r="O645" t="s">
        <v>25</v>
      </c>
      <c r="P645" t="s">
        <v>111</v>
      </c>
      <c r="Q645" t="str">
        <f t="shared" si="70"/>
        <v>Returned</v>
      </c>
      <c r="R645" t="str">
        <f t="shared" si="71"/>
        <v>Store</v>
      </c>
      <c r="S645" t="str">
        <v>Cash On Delivery</v>
      </c>
      <c r="T645" t="str">
        <v>Electronics</v>
      </c>
      <c r="U645" t="str">
        <f t="shared" si="72"/>
        <v>VALID</v>
      </c>
      <c r="V645" t="str">
        <f t="shared" si="73"/>
        <v>NORMAL</v>
      </c>
      <c r="W645" t="str">
        <f t="shared" si="74"/>
        <v>Valid</v>
      </c>
      <c r="X645">
        <f t="shared" si="76"/>
        <v>7429.72</v>
      </c>
      <c r="Y645">
        <f t="shared" si="75"/>
        <v>7429.72</v>
      </c>
    </row>
    <row r="646" spans="1:25" x14ac:dyDescent="0.3">
      <c r="A646" t="s">
        <v>973</v>
      </c>
      <c r="B646" s="1">
        <v>45886</v>
      </c>
      <c r="C646" t="s">
        <v>715</v>
      </c>
      <c r="D646" t="s">
        <v>96</v>
      </c>
      <c r="E646" t="s">
        <v>97</v>
      </c>
      <c r="F646" t="s">
        <v>31</v>
      </c>
      <c r="G646" t="s">
        <v>32</v>
      </c>
      <c r="H646" t="s">
        <v>68</v>
      </c>
      <c r="I646">
        <v>1</v>
      </c>
      <c r="J646">
        <v>1198.7</v>
      </c>
      <c r="K646">
        <v>0.03</v>
      </c>
      <c r="L646">
        <v>1162.74</v>
      </c>
      <c r="M646" t="s">
        <v>23</v>
      </c>
      <c r="N646" t="s">
        <v>24</v>
      </c>
      <c r="O646" t="s">
        <v>35</v>
      </c>
      <c r="P646" t="s">
        <v>102</v>
      </c>
      <c r="Q646" t="str">
        <f t="shared" si="70"/>
        <v>Cancelled</v>
      </c>
      <c r="R646" t="str">
        <f t="shared" si="71"/>
        <v>Online</v>
      </c>
      <c r="S646" t="str">
        <v>Debit Card</v>
      </c>
      <c r="T646" t="str">
        <v>Electronics</v>
      </c>
      <c r="U646" t="str">
        <f t="shared" si="72"/>
        <v>VALID</v>
      </c>
      <c r="V646" t="str">
        <f t="shared" si="73"/>
        <v>NORMAL</v>
      </c>
      <c r="W646" t="str">
        <f t="shared" si="74"/>
        <v>Valid</v>
      </c>
      <c r="X646">
        <f t="shared" si="76"/>
        <v>1198.7</v>
      </c>
      <c r="Y646">
        <f t="shared" si="75"/>
        <v>1162.739</v>
      </c>
    </row>
    <row r="647" spans="1:25" x14ac:dyDescent="0.3">
      <c r="A647" t="s">
        <v>974</v>
      </c>
      <c r="B647" s="1">
        <v>45795</v>
      </c>
      <c r="C647" t="s">
        <v>599</v>
      </c>
      <c r="D647" t="s">
        <v>176</v>
      </c>
      <c r="E647" t="s">
        <v>177</v>
      </c>
      <c r="F647" t="s">
        <v>31</v>
      </c>
      <c r="G647" t="s">
        <v>756</v>
      </c>
      <c r="H647" t="s">
        <v>68</v>
      </c>
      <c r="I647">
        <v>5</v>
      </c>
      <c r="J647">
        <v>2206.7399999999998</v>
      </c>
      <c r="K647">
        <v>0.03</v>
      </c>
      <c r="L647">
        <v>10702.69</v>
      </c>
      <c r="M647" t="s">
        <v>23</v>
      </c>
      <c r="N647" t="s">
        <v>34</v>
      </c>
      <c r="O647" t="s">
        <v>35</v>
      </c>
      <c r="P647" t="s">
        <v>50</v>
      </c>
      <c r="Q647" t="str">
        <f t="shared" si="70"/>
        <v>Cancelled</v>
      </c>
      <c r="R647" t="str">
        <f t="shared" si="71"/>
        <v>Online</v>
      </c>
      <c r="S647" t="str">
        <v>Cash On Delivery</v>
      </c>
      <c r="T647" t="str">
        <v>Electronics</v>
      </c>
      <c r="U647" t="str">
        <f t="shared" si="72"/>
        <v>VALID</v>
      </c>
      <c r="V647" t="str">
        <f t="shared" si="73"/>
        <v>NORMAL</v>
      </c>
      <c r="W647" t="str">
        <f t="shared" si="74"/>
        <v>Valid</v>
      </c>
      <c r="X647">
        <f t="shared" si="76"/>
        <v>11033.699999999999</v>
      </c>
      <c r="Y647">
        <f t="shared" si="75"/>
        <v>10702.688999999998</v>
      </c>
    </row>
    <row r="648" spans="1:25" x14ac:dyDescent="0.3">
      <c r="A648" t="s">
        <v>975</v>
      </c>
      <c r="B648" s="1">
        <v>46108</v>
      </c>
      <c r="C648" t="s">
        <v>556</v>
      </c>
      <c r="D648" t="s">
        <v>96</v>
      </c>
      <c r="E648" t="s">
        <v>97</v>
      </c>
      <c r="F648" t="s">
        <v>31</v>
      </c>
      <c r="G648" t="s">
        <v>21</v>
      </c>
      <c r="H648" t="s">
        <v>22</v>
      </c>
      <c r="I648">
        <v>2</v>
      </c>
      <c r="J648">
        <v>1124.32</v>
      </c>
      <c r="K648">
        <v>0</v>
      </c>
      <c r="L648">
        <v>2248.64</v>
      </c>
      <c r="M648" t="s">
        <v>76</v>
      </c>
      <c r="N648" t="s">
        <v>71</v>
      </c>
      <c r="O648" t="s">
        <v>35</v>
      </c>
      <c r="P648" t="s">
        <v>102</v>
      </c>
      <c r="Q648" t="str">
        <f t="shared" si="70"/>
        <v>Cancelled</v>
      </c>
      <c r="R648" t="str">
        <f t="shared" si="71"/>
        <v>Store</v>
      </c>
      <c r="S648" t="str">
        <v>Upi</v>
      </c>
      <c r="T648" t="str">
        <v>Electronics</v>
      </c>
      <c r="U648" t="str">
        <f t="shared" si="72"/>
        <v>VALID</v>
      </c>
      <c r="V648" t="str">
        <f t="shared" si="73"/>
        <v>NORMAL</v>
      </c>
      <c r="W648" t="str">
        <f t="shared" si="74"/>
        <v>Valid</v>
      </c>
      <c r="X648">
        <f t="shared" si="76"/>
        <v>2248.64</v>
      </c>
      <c r="Y648">
        <f t="shared" si="75"/>
        <v>2248.64</v>
      </c>
    </row>
    <row r="649" spans="1:25" x14ac:dyDescent="0.3">
      <c r="A649" t="s">
        <v>976</v>
      </c>
      <c r="B649" s="1">
        <v>45976</v>
      </c>
      <c r="C649" t="s">
        <v>251</v>
      </c>
      <c r="D649" t="s">
        <v>79</v>
      </c>
      <c r="E649" t="s">
        <v>80</v>
      </c>
      <c r="F649" t="s">
        <v>31</v>
      </c>
      <c r="G649" t="s">
        <v>81</v>
      </c>
      <c r="H649" t="s">
        <v>98</v>
      </c>
      <c r="I649">
        <v>4</v>
      </c>
      <c r="J649">
        <v>12397.61</v>
      </c>
      <c r="K649">
        <v>0</v>
      </c>
      <c r="L649">
        <v>49590.44</v>
      </c>
      <c r="M649" t="s">
        <v>48</v>
      </c>
      <c r="N649" t="s">
        <v>49</v>
      </c>
      <c r="O649" t="s">
        <v>65</v>
      </c>
      <c r="P649" t="s">
        <v>42</v>
      </c>
      <c r="Q649" t="str">
        <f t="shared" si="70"/>
        <v>Completed</v>
      </c>
      <c r="R649" t="str">
        <f t="shared" si="71"/>
        <v>Marketplace</v>
      </c>
      <c r="S649" t="str">
        <v>Net Banking</v>
      </c>
      <c r="T649" t="str">
        <v>Electronics</v>
      </c>
      <c r="U649" t="str">
        <f t="shared" si="72"/>
        <v>VALID</v>
      </c>
      <c r="V649" t="str">
        <f t="shared" si="73"/>
        <v>NORMAL</v>
      </c>
      <c r="W649" t="str">
        <f t="shared" si="74"/>
        <v>Valid</v>
      </c>
      <c r="X649">
        <f t="shared" si="76"/>
        <v>49590.44</v>
      </c>
      <c r="Y649">
        <f t="shared" si="75"/>
        <v>49590.44</v>
      </c>
    </row>
    <row r="650" spans="1:25" x14ac:dyDescent="0.3">
      <c r="A650" t="s">
        <v>977</v>
      </c>
      <c r="B650" s="1">
        <v>45352</v>
      </c>
      <c r="C650" t="s">
        <v>149</v>
      </c>
      <c r="D650" t="s">
        <v>121</v>
      </c>
      <c r="E650" t="s">
        <v>122</v>
      </c>
      <c r="F650" t="s">
        <v>55</v>
      </c>
      <c r="G650" t="s">
        <v>56</v>
      </c>
      <c r="H650" t="s">
        <v>64</v>
      </c>
      <c r="I650">
        <v>1</v>
      </c>
      <c r="J650">
        <v>427.36</v>
      </c>
      <c r="K650">
        <v>0.08</v>
      </c>
      <c r="L650">
        <v>393.17</v>
      </c>
      <c r="M650" t="s">
        <v>48</v>
      </c>
      <c r="N650" t="s">
        <v>58</v>
      </c>
      <c r="O650" t="s">
        <v>65</v>
      </c>
      <c r="P650" t="s">
        <v>50</v>
      </c>
      <c r="Q650" t="str">
        <f t="shared" si="70"/>
        <v>Completed</v>
      </c>
      <c r="R650" t="str">
        <f t="shared" si="71"/>
        <v>Marketplace</v>
      </c>
      <c r="S650" t="str">
        <v>Credit Card</v>
      </c>
      <c r="T650" t="str">
        <v>Stationery</v>
      </c>
      <c r="U650" t="str">
        <f t="shared" si="72"/>
        <v>VALID</v>
      </c>
      <c r="V650" t="str">
        <f t="shared" si="73"/>
        <v>NORMAL</v>
      </c>
      <c r="W650" t="str">
        <f t="shared" si="74"/>
        <v>Valid</v>
      </c>
      <c r="X650">
        <f t="shared" si="76"/>
        <v>427.36</v>
      </c>
      <c r="Y650">
        <f t="shared" si="75"/>
        <v>393.1712</v>
      </c>
    </row>
    <row r="651" spans="1:25" x14ac:dyDescent="0.3">
      <c r="A651" t="s">
        <v>978</v>
      </c>
      <c r="B651" s="1">
        <v>46182</v>
      </c>
      <c r="C651" t="s">
        <v>153</v>
      </c>
      <c r="D651" t="s">
        <v>79</v>
      </c>
      <c r="E651" t="s">
        <v>80</v>
      </c>
      <c r="F651" t="s">
        <v>31</v>
      </c>
      <c r="G651" t="s">
        <v>21</v>
      </c>
      <c r="H651" t="s">
        <v>93</v>
      </c>
      <c r="I651">
        <v>3</v>
      </c>
      <c r="J651">
        <v>11528.19</v>
      </c>
      <c r="K651">
        <v>0.03</v>
      </c>
      <c r="L651">
        <v>33547.03</v>
      </c>
      <c r="M651" t="s">
        <v>76</v>
      </c>
      <c r="N651" t="s">
        <v>71</v>
      </c>
      <c r="O651" t="s">
        <v>35</v>
      </c>
      <c r="P651" t="s">
        <v>50</v>
      </c>
      <c r="Q651" t="str">
        <f t="shared" si="70"/>
        <v>Cancelled</v>
      </c>
      <c r="R651" t="str">
        <f t="shared" si="71"/>
        <v>Store</v>
      </c>
      <c r="S651" t="str">
        <v>Upi</v>
      </c>
      <c r="T651" t="str">
        <v>Electronics</v>
      </c>
      <c r="U651" t="str">
        <f t="shared" si="72"/>
        <v>VALID</v>
      </c>
      <c r="V651" t="str">
        <f t="shared" si="73"/>
        <v>NORMAL</v>
      </c>
      <c r="W651" t="str">
        <f t="shared" si="74"/>
        <v>Valid</v>
      </c>
      <c r="X651">
        <f t="shared" si="76"/>
        <v>34584.57</v>
      </c>
      <c r="Y651">
        <f t="shared" si="75"/>
        <v>33547.032899999998</v>
      </c>
    </row>
    <row r="652" spans="1:25" x14ac:dyDescent="0.3">
      <c r="A652" t="s">
        <v>979</v>
      </c>
      <c r="B652" s="1">
        <v>45808</v>
      </c>
      <c r="C652" t="s">
        <v>651</v>
      </c>
      <c r="D652" t="s">
        <v>62</v>
      </c>
      <c r="E652" t="s">
        <v>63</v>
      </c>
      <c r="F652" t="s">
        <v>31</v>
      </c>
      <c r="G652" t="s">
        <v>21</v>
      </c>
      <c r="H652" t="s">
        <v>93</v>
      </c>
      <c r="I652">
        <v>4</v>
      </c>
      <c r="J652">
        <v>2825.38</v>
      </c>
      <c r="K652">
        <v>0.2</v>
      </c>
      <c r="L652">
        <v>9041.2199999999993</v>
      </c>
      <c r="M652" t="s">
        <v>23</v>
      </c>
      <c r="N652" t="s">
        <v>49</v>
      </c>
      <c r="O652" t="s">
        <v>25</v>
      </c>
      <c r="P652" t="s">
        <v>26</v>
      </c>
      <c r="Q652" t="str">
        <f t="shared" si="70"/>
        <v>Returned</v>
      </c>
      <c r="R652" t="str">
        <f t="shared" si="71"/>
        <v>Online</v>
      </c>
      <c r="S652" t="str">
        <v>Net Banking</v>
      </c>
      <c r="T652" t="str">
        <v>Electronics</v>
      </c>
      <c r="U652" t="str">
        <f t="shared" si="72"/>
        <v>VALID</v>
      </c>
      <c r="V652" t="str">
        <f t="shared" si="73"/>
        <v>NORMAL</v>
      </c>
      <c r="W652" t="str">
        <f t="shared" si="74"/>
        <v>Valid</v>
      </c>
      <c r="X652">
        <f t="shared" si="76"/>
        <v>11301.52</v>
      </c>
      <c r="Y652">
        <f t="shared" si="75"/>
        <v>9041.2160000000003</v>
      </c>
    </row>
    <row r="653" spans="1:25" x14ac:dyDescent="0.3">
      <c r="A653" t="s">
        <v>980</v>
      </c>
      <c r="B653" s="1">
        <v>45321</v>
      </c>
      <c r="C653" t="s">
        <v>570</v>
      </c>
      <c r="D653" t="s">
        <v>53</v>
      </c>
      <c r="E653" t="s">
        <v>54</v>
      </c>
      <c r="F653" t="s">
        <v>55</v>
      </c>
      <c r="G653" t="s">
        <v>21</v>
      </c>
      <c r="H653" t="s">
        <v>22</v>
      </c>
      <c r="I653">
        <v>2</v>
      </c>
      <c r="J653">
        <v>204.76</v>
      </c>
      <c r="K653">
        <v>0.15</v>
      </c>
      <c r="L653">
        <v>348.09</v>
      </c>
      <c r="M653" t="s">
        <v>76</v>
      </c>
      <c r="N653" t="s">
        <v>58</v>
      </c>
      <c r="O653" t="s">
        <v>35</v>
      </c>
      <c r="P653" t="s">
        <v>111</v>
      </c>
      <c r="Q653" t="str">
        <f t="shared" si="70"/>
        <v>Cancelled</v>
      </c>
      <c r="R653" t="str">
        <f t="shared" si="71"/>
        <v>Store</v>
      </c>
      <c r="S653" t="str">
        <v>Credit Card</v>
      </c>
      <c r="T653" t="str">
        <v>Stationery</v>
      </c>
      <c r="U653" t="str">
        <f t="shared" si="72"/>
        <v>VALID</v>
      </c>
      <c r="V653" t="str">
        <f t="shared" si="73"/>
        <v>NORMAL</v>
      </c>
      <c r="W653" t="str">
        <f t="shared" si="74"/>
        <v>Valid</v>
      </c>
      <c r="X653">
        <f t="shared" si="76"/>
        <v>409.52</v>
      </c>
      <c r="Y653">
        <f t="shared" si="75"/>
        <v>348.09199999999998</v>
      </c>
    </row>
    <row r="654" spans="1:25" x14ac:dyDescent="0.3">
      <c r="A654" t="s">
        <v>981</v>
      </c>
      <c r="B654" s="1">
        <v>45712</v>
      </c>
      <c r="C654" t="s">
        <v>483</v>
      </c>
      <c r="D654" t="s">
        <v>85</v>
      </c>
      <c r="E654" t="s">
        <v>86</v>
      </c>
      <c r="F654" t="s">
        <v>20</v>
      </c>
      <c r="G654" t="s">
        <v>21</v>
      </c>
      <c r="H654" t="s">
        <v>22</v>
      </c>
      <c r="I654">
        <v>4</v>
      </c>
      <c r="J654">
        <v>1894.5</v>
      </c>
      <c r="K654">
        <v>0.1</v>
      </c>
      <c r="L654">
        <v>6820.2</v>
      </c>
      <c r="M654" t="s">
        <v>76</v>
      </c>
      <c r="N654" t="s">
        <v>24</v>
      </c>
      <c r="O654" t="s">
        <v>65</v>
      </c>
      <c r="P654" t="s">
        <v>116</v>
      </c>
      <c r="Q654" t="str">
        <f t="shared" si="70"/>
        <v>Completed</v>
      </c>
      <c r="R654" t="str">
        <f t="shared" si="71"/>
        <v>Store</v>
      </c>
      <c r="S654" t="str">
        <v>Debit Card</v>
      </c>
      <c r="T654" t="str">
        <v>Accessories</v>
      </c>
      <c r="U654" t="str">
        <f t="shared" si="72"/>
        <v>VALID</v>
      </c>
      <c r="V654" t="str">
        <f t="shared" si="73"/>
        <v>NORMAL</v>
      </c>
      <c r="W654" t="str">
        <f t="shared" si="74"/>
        <v>Valid</v>
      </c>
      <c r="X654">
        <f t="shared" si="76"/>
        <v>7578</v>
      </c>
      <c r="Y654">
        <f t="shared" si="75"/>
        <v>6820.2</v>
      </c>
    </row>
    <row r="655" spans="1:25" x14ac:dyDescent="0.3">
      <c r="A655" t="s">
        <v>982</v>
      </c>
      <c r="B655" s="1">
        <v>45946</v>
      </c>
      <c r="C655" t="s">
        <v>871</v>
      </c>
      <c r="D655" t="s">
        <v>121</v>
      </c>
      <c r="E655" t="s">
        <v>122</v>
      </c>
      <c r="F655" t="s">
        <v>55</v>
      </c>
      <c r="G655" t="s">
        <v>56</v>
      </c>
      <c r="H655" t="s">
        <v>64</v>
      </c>
      <c r="I655">
        <v>3</v>
      </c>
      <c r="J655">
        <v>415.5</v>
      </c>
      <c r="K655">
        <v>0.15</v>
      </c>
      <c r="L655">
        <v>1059.52</v>
      </c>
      <c r="M655" t="s">
        <v>76</v>
      </c>
      <c r="N655" t="s">
        <v>34</v>
      </c>
      <c r="O655" t="s">
        <v>65</v>
      </c>
      <c r="P655" t="s">
        <v>42</v>
      </c>
      <c r="Q655" t="str">
        <f t="shared" si="70"/>
        <v>Completed</v>
      </c>
      <c r="R655" t="str">
        <f t="shared" si="71"/>
        <v>Store</v>
      </c>
      <c r="S655" t="str">
        <v>Cash On Delivery</v>
      </c>
      <c r="T655" t="str">
        <v>Stationery</v>
      </c>
      <c r="U655" t="str">
        <f t="shared" si="72"/>
        <v>VALID</v>
      </c>
      <c r="V655" t="str">
        <f t="shared" si="73"/>
        <v>NORMAL</v>
      </c>
      <c r="W655" t="str">
        <f t="shared" si="74"/>
        <v>Valid</v>
      </c>
      <c r="X655">
        <f t="shared" si="76"/>
        <v>1246.5</v>
      </c>
      <c r="Y655">
        <f t="shared" si="75"/>
        <v>1059.5250000000001</v>
      </c>
    </row>
    <row r="656" spans="1:25" x14ac:dyDescent="0.3">
      <c r="A656" t="s">
        <v>983</v>
      </c>
      <c r="B656" s="1">
        <v>45547</v>
      </c>
      <c r="C656" t="s">
        <v>516</v>
      </c>
      <c r="D656" t="s">
        <v>45</v>
      </c>
      <c r="E656" t="s">
        <v>46</v>
      </c>
      <c r="F656" t="s">
        <v>31</v>
      </c>
      <c r="G656" t="s">
        <v>81</v>
      </c>
      <c r="H656" t="s">
        <v>82</v>
      </c>
      <c r="I656">
        <v>1</v>
      </c>
      <c r="J656">
        <v>1899.7</v>
      </c>
      <c r="K656">
        <v>0.08</v>
      </c>
      <c r="L656">
        <v>1747.72</v>
      </c>
      <c r="M656" t="s">
        <v>23</v>
      </c>
      <c r="N656" t="s">
        <v>34</v>
      </c>
      <c r="O656" t="s">
        <v>65</v>
      </c>
      <c r="P656" t="s">
        <v>116</v>
      </c>
      <c r="Q656" t="str">
        <f t="shared" si="70"/>
        <v>Completed</v>
      </c>
      <c r="R656" t="str">
        <f t="shared" si="71"/>
        <v>Online</v>
      </c>
      <c r="S656" t="str">
        <v>Cash On Delivery</v>
      </c>
      <c r="T656" t="str">
        <v>Electronics</v>
      </c>
      <c r="U656" t="str">
        <f t="shared" si="72"/>
        <v>VALID</v>
      </c>
      <c r="V656" t="str">
        <f t="shared" si="73"/>
        <v>NORMAL</v>
      </c>
      <c r="W656" t="str">
        <f t="shared" si="74"/>
        <v>Valid</v>
      </c>
      <c r="X656">
        <f t="shared" si="76"/>
        <v>1899.7</v>
      </c>
      <c r="Y656">
        <f t="shared" si="75"/>
        <v>1747.7240000000002</v>
      </c>
    </row>
    <row r="657" spans="1:25" x14ac:dyDescent="0.3">
      <c r="A657" t="s">
        <v>984</v>
      </c>
      <c r="B657" s="1">
        <v>45716</v>
      </c>
      <c r="C657" t="s">
        <v>130</v>
      </c>
      <c r="D657" t="s">
        <v>53</v>
      </c>
      <c r="E657" t="s">
        <v>54</v>
      </c>
      <c r="F657" t="s">
        <v>55</v>
      </c>
      <c r="G657" t="s">
        <v>32</v>
      </c>
      <c r="H657" t="s">
        <v>47</v>
      </c>
      <c r="I657">
        <v>5</v>
      </c>
      <c r="J657">
        <v>236.16</v>
      </c>
      <c r="K657">
        <v>0.03</v>
      </c>
      <c r="L657">
        <v>1145.3800000000001</v>
      </c>
      <c r="M657" t="s">
        <v>76</v>
      </c>
      <c r="N657" t="s">
        <v>58</v>
      </c>
      <c r="O657" t="s">
        <v>65</v>
      </c>
      <c r="P657" t="s">
        <v>111</v>
      </c>
      <c r="Q657" t="str">
        <f t="shared" si="70"/>
        <v>Completed</v>
      </c>
      <c r="R657" t="str">
        <f t="shared" si="71"/>
        <v>Store</v>
      </c>
      <c r="S657" t="str">
        <v>Credit Card</v>
      </c>
      <c r="T657" t="str">
        <v>Stationery</v>
      </c>
      <c r="U657" t="str">
        <f t="shared" si="72"/>
        <v>VALID</v>
      </c>
      <c r="V657" t="str">
        <f t="shared" si="73"/>
        <v>NORMAL</v>
      </c>
      <c r="W657" t="str">
        <f t="shared" si="74"/>
        <v>Valid</v>
      </c>
      <c r="X657">
        <f t="shared" si="76"/>
        <v>1180.8</v>
      </c>
      <c r="Y657">
        <f t="shared" si="75"/>
        <v>1145.376</v>
      </c>
    </row>
    <row r="658" spans="1:25" x14ac:dyDescent="0.3">
      <c r="A658" t="s">
        <v>985</v>
      </c>
      <c r="B658" s="1">
        <v>46139</v>
      </c>
      <c r="C658" t="s">
        <v>419</v>
      </c>
      <c r="D658" t="s">
        <v>29</v>
      </c>
      <c r="E658" t="s">
        <v>30</v>
      </c>
      <c r="F658" t="s">
        <v>31</v>
      </c>
      <c r="G658" t="s">
        <v>21</v>
      </c>
      <c r="H658" t="s">
        <v>126</v>
      </c>
      <c r="I658">
        <v>3</v>
      </c>
      <c r="J658">
        <v>3361.54</v>
      </c>
      <c r="K658">
        <v>0.05</v>
      </c>
      <c r="L658">
        <v>9580.39</v>
      </c>
      <c r="M658" t="s">
        <v>48</v>
      </c>
      <c r="N658" t="s">
        <v>71</v>
      </c>
      <c r="O658" t="s">
        <v>35</v>
      </c>
      <c r="P658" t="s">
        <v>116</v>
      </c>
      <c r="Q658" t="str">
        <f t="shared" si="70"/>
        <v>Cancelled</v>
      </c>
      <c r="R658" t="str">
        <f t="shared" si="71"/>
        <v>Marketplace</v>
      </c>
      <c r="S658" t="str">
        <v>Upi</v>
      </c>
      <c r="T658" t="str">
        <v>Electronics</v>
      </c>
      <c r="U658" t="str">
        <f t="shared" si="72"/>
        <v>VALID</v>
      </c>
      <c r="V658" t="str">
        <f t="shared" si="73"/>
        <v>NORMAL</v>
      </c>
      <c r="W658" t="str">
        <f t="shared" si="74"/>
        <v>Valid</v>
      </c>
      <c r="X658">
        <f t="shared" si="76"/>
        <v>10084.619999999999</v>
      </c>
      <c r="Y658">
        <f t="shared" si="75"/>
        <v>9580.3889999999992</v>
      </c>
    </row>
    <row r="659" spans="1:25" x14ac:dyDescent="0.3">
      <c r="A659" t="s">
        <v>986</v>
      </c>
      <c r="B659" s="1">
        <v>46202</v>
      </c>
      <c r="C659" t="s">
        <v>550</v>
      </c>
      <c r="D659" t="s">
        <v>53</v>
      </c>
      <c r="E659" t="s">
        <v>54</v>
      </c>
      <c r="F659" t="s">
        <v>55</v>
      </c>
      <c r="G659" t="s">
        <v>56</v>
      </c>
      <c r="H659" t="s">
        <v>64</v>
      </c>
      <c r="I659">
        <v>1</v>
      </c>
      <c r="J659">
        <v>232.76</v>
      </c>
      <c r="K659">
        <v>0.15</v>
      </c>
      <c r="L659">
        <v>197.85</v>
      </c>
      <c r="M659" t="s">
        <v>48</v>
      </c>
      <c r="N659" t="s">
        <v>71</v>
      </c>
      <c r="O659" t="s">
        <v>413</v>
      </c>
      <c r="P659" t="s">
        <v>59</v>
      </c>
      <c r="Q659" t="str">
        <f t="shared" si="70"/>
        <v>Completed</v>
      </c>
      <c r="R659" t="str">
        <f t="shared" si="71"/>
        <v>Marketplace</v>
      </c>
      <c r="S659" t="str">
        <v>Upi</v>
      </c>
      <c r="T659" t="str">
        <v>Stationery</v>
      </c>
      <c r="U659" t="str">
        <f t="shared" si="72"/>
        <v>VALID</v>
      </c>
      <c r="V659" t="str">
        <f t="shared" si="73"/>
        <v>NORMAL</v>
      </c>
      <c r="W659" t="str">
        <f t="shared" si="74"/>
        <v>Valid</v>
      </c>
      <c r="X659">
        <f t="shared" si="76"/>
        <v>232.76</v>
      </c>
      <c r="Y659">
        <f t="shared" si="75"/>
        <v>197.846</v>
      </c>
    </row>
    <row r="660" spans="1:25" x14ac:dyDescent="0.3">
      <c r="A660" t="s">
        <v>987</v>
      </c>
      <c r="B660" s="1">
        <v>46148</v>
      </c>
      <c r="C660" t="s">
        <v>988</v>
      </c>
      <c r="D660" t="s">
        <v>38</v>
      </c>
      <c r="E660" t="s">
        <v>39</v>
      </c>
      <c r="F660" t="s">
        <v>40</v>
      </c>
      <c r="G660" t="s">
        <v>32</v>
      </c>
      <c r="H660" t="s">
        <v>47</v>
      </c>
      <c r="I660">
        <v>2</v>
      </c>
      <c r="J660">
        <v>1473.88</v>
      </c>
      <c r="K660">
        <v>0.1</v>
      </c>
      <c r="L660">
        <v>2652.98</v>
      </c>
      <c r="M660" t="s">
        <v>76</v>
      </c>
      <c r="N660" t="s">
        <v>71</v>
      </c>
      <c r="O660" t="s">
        <v>65</v>
      </c>
      <c r="P660" t="s">
        <v>111</v>
      </c>
      <c r="Q660" t="str">
        <f t="shared" si="70"/>
        <v>Completed</v>
      </c>
      <c r="R660" t="str">
        <f t="shared" si="71"/>
        <v>Store</v>
      </c>
      <c r="S660" t="str">
        <v>Upi</v>
      </c>
      <c r="T660" t="str">
        <v>Furniture</v>
      </c>
      <c r="U660" t="str">
        <f t="shared" si="72"/>
        <v>VALID</v>
      </c>
      <c r="V660" t="str">
        <f t="shared" si="73"/>
        <v>NORMAL</v>
      </c>
      <c r="W660" t="str">
        <f t="shared" si="74"/>
        <v>Valid</v>
      </c>
      <c r="X660">
        <f t="shared" si="76"/>
        <v>2947.76</v>
      </c>
      <c r="Y660">
        <f t="shared" si="75"/>
        <v>2652.9840000000004</v>
      </c>
    </row>
    <row r="661" spans="1:25" x14ac:dyDescent="0.3">
      <c r="A661" t="s">
        <v>989</v>
      </c>
      <c r="B661" s="1">
        <v>45410</v>
      </c>
      <c r="D661" t="s">
        <v>170</v>
      </c>
      <c r="E661" t="s">
        <v>171</v>
      </c>
      <c r="F661" t="s">
        <v>31</v>
      </c>
      <c r="G661" t="s">
        <v>32</v>
      </c>
      <c r="H661" t="s">
        <v>68</v>
      </c>
      <c r="I661">
        <v>5</v>
      </c>
      <c r="J661">
        <v>69261.850000000006</v>
      </c>
      <c r="K661">
        <v>0.03</v>
      </c>
      <c r="L661">
        <v>335919.97</v>
      </c>
      <c r="M661" t="s">
        <v>76</v>
      </c>
      <c r="O661" t="s">
        <v>25</v>
      </c>
      <c r="P661" t="s">
        <v>116</v>
      </c>
      <c r="Q661" t="str">
        <f t="shared" si="70"/>
        <v>Returned</v>
      </c>
      <c r="R661" t="str">
        <f t="shared" si="71"/>
        <v>Store</v>
      </c>
      <c r="S661" t="str">
        <v/>
      </c>
      <c r="T661" t="str">
        <v>Electronics</v>
      </c>
      <c r="U661" t="str">
        <f t="shared" si="72"/>
        <v>VALID</v>
      </c>
      <c r="V661" t="str">
        <f t="shared" si="73"/>
        <v>NORMAL</v>
      </c>
      <c r="W661" t="str">
        <f t="shared" si="74"/>
        <v>Valid</v>
      </c>
      <c r="X661">
        <f t="shared" si="76"/>
        <v>346309.25</v>
      </c>
      <c r="Y661">
        <f t="shared" si="75"/>
        <v>335919.97249999997</v>
      </c>
    </row>
    <row r="662" spans="1:25" x14ac:dyDescent="0.3">
      <c r="A662" t="s">
        <v>990</v>
      </c>
      <c r="B662" s="1">
        <v>45471</v>
      </c>
      <c r="C662" t="s">
        <v>583</v>
      </c>
      <c r="D662" t="s">
        <v>96</v>
      </c>
      <c r="E662" t="s">
        <v>97</v>
      </c>
      <c r="F662" t="s">
        <v>31</v>
      </c>
      <c r="G662" t="s">
        <v>56</v>
      </c>
      <c r="H662" t="s">
        <v>101</v>
      </c>
      <c r="I662">
        <v>1</v>
      </c>
      <c r="J662">
        <v>1217.26</v>
      </c>
      <c r="K662">
        <v>0.03</v>
      </c>
      <c r="L662">
        <v>1180.74</v>
      </c>
      <c r="M662" t="s">
        <v>48</v>
      </c>
      <c r="N662" t="s">
        <v>24</v>
      </c>
      <c r="O662" t="s">
        <v>65</v>
      </c>
      <c r="P662" t="s">
        <v>50</v>
      </c>
      <c r="Q662" t="str">
        <f t="shared" si="70"/>
        <v>Completed</v>
      </c>
      <c r="R662" t="str">
        <f t="shared" si="71"/>
        <v>Marketplace</v>
      </c>
      <c r="S662" t="str">
        <v>Debit Card</v>
      </c>
      <c r="T662" t="str">
        <v>Electronics</v>
      </c>
      <c r="U662" t="str">
        <f t="shared" si="72"/>
        <v>VALID</v>
      </c>
      <c r="V662" t="str">
        <f t="shared" si="73"/>
        <v>NORMAL</v>
      </c>
      <c r="W662" t="str">
        <f t="shared" si="74"/>
        <v>Valid</v>
      </c>
      <c r="X662">
        <f t="shared" si="76"/>
        <v>1217.26</v>
      </c>
      <c r="Y662">
        <f t="shared" si="75"/>
        <v>1180.7421999999999</v>
      </c>
    </row>
    <row r="663" spans="1:25" x14ac:dyDescent="0.3">
      <c r="A663" t="s">
        <v>991</v>
      </c>
      <c r="B663" s="1">
        <v>45697</v>
      </c>
      <c r="C663" t="s">
        <v>685</v>
      </c>
      <c r="D663" t="s">
        <v>45</v>
      </c>
      <c r="E663" t="s">
        <v>46</v>
      </c>
      <c r="F663" t="s">
        <v>31</v>
      </c>
      <c r="G663" t="s">
        <v>21</v>
      </c>
      <c r="H663" t="s">
        <v>93</v>
      </c>
      <c r="I663">
        <v>5</v>
      </c>
      <c r="J663">
        <v>1854.16</v>
      </c>
      <c r="K663">
        <v>0.08</v>
      </c>
      <c r="L663">
        <v>8529.14</v>
      </c>
      <c r="M663" t="s">
        <v>23</v>
      </c>
      <c r="N663" t="s">
        <v>49</v>
      </c>
      <c r="O663" t="s">
        <v>65</v>
      </c>
      <c r="P663" t="s">
        <v>102</v>
      </c>
      <c r="Q663" t="str">
        <f t="shared" si="70"/>
        <v>Completed</v>
      </c>
      <c r="R663" t="str">
        <f t="shared" si="71"/>
        <v>Online</v>
      </c>
      <c r="S663" t="str">
        <v>Net Banking</v>
      </c>
      <c r="T663" t="str">
        <v>Electronics</v>
      </c>
      <c r="U663" t="str">
        <f t="shared" si="72"/>
        <v>VALID</v>
      </c>
      <c r="V663" t="str">
        <f t="shared" si="73"/>
        <v>NORMAL</v>
      </c>
      <c r="W663" t="str">
        <f t="shared" si="74"/>
        <v>Valid</v>
      </c>
      <c r="X663">
        <f t="shared" si="76"/>
        <v>9270.8000000000011</v>
      </c>
      <c r="Y663">
        <f t="shared" si="75"/>
        <v>8529.1360000000004</v>
      </c>
    </row>
    <row r="664" spans="1:25" x14ac:dyDescent="0.3">
      <c r="A664" t="s">
        <v>992</v>
      </c>
      <c r="B664" s="1">
        <v>45581</v>
      </c>
      <c r="C664" t="s">
        <v>587</v>
      </c>
      <c r="D664" t="s">
        <v>105</v>
      </c>
      <c r="E664" t="s">
        <v>106</v>
      </c>
      <c r="F664" t="s">
        <v>40</v>
      </c>
      <c r="G664" t="s">
        <v>21</v>
      </c>
      <c r="H664" t="s">
        <v>22</v>
      </c>
      <c r="I664">
        <v>1</v>
      </c>
      <c r="J664">
        <v>7261.65</v>
      </c>
      <c r="K664">
        <v>0.03</v>
      </c>
      <c r="L664">
        <v>7043.8</v>
      </c>
      <c r="M664" t="s">
        <v>76</v>
      </c>
      <c r="N664" t="s">
        <v>49</v>
      </c>
      <c r="O664" t="s">
        <v>25</v>
      </c>
      <c r="P664" t="s">
        <v>72</v>
      </c>
      <c r="Q664" t="str">
        <f t="shared" si="70"/>
        <v>Returned</v>
      </c>
      <c r="R664" t="str">
        <f t="shared" si="71"/>
        <v>Store</v>
      </c>
      <c r="S664" t="str">
        <v>Net Banking</v>
      </c>
      <c r="T664" t="str">
        <v>Furniture</v>
      </c>
      <c r="U664" t="str">
        <f t="shared" si="72"/>
        <v>VALID</v>
      </c>
      <c r="V664" t="str">
        <f t="shared" si="73"/>
        <v>NORMAL</v>
      </c>
      <c r="W664" t="str">
        <f t="shared" si="74"/>
        <v>Valid</v>
      </c>
      <c r="X664">
        <f t="shared" si="76"/>
        <v>7261.65</v>
      </c>
      <c r="Y664">
        <f t="shared" si="75"/>
        <v>7043.8004999999994</v>
      </c>
    </row>
    <row r="665" spans="1:25" x14ac:dyDescent="0.3">
      <c r="A665" t="s">
        <v>993</v>
      </c>
      <c r="B665" s="1">
        <v>45864</v>
      </c>
      <c r="C665" t="s">
        <v>483</v>
      </c>
      <c r="D665" t="s">
        <v>170</v>
      </c>
      <c r="E665" t="s">
        <v>171</v>
      </c>
      <c r="F665" t="s">
        <v>31</v>
      </c>
      <c r="G665" t="s">
        <v>21</v>
      </c>
      <c r="H665" t="s">
        <v>41</v>
      </c>
      <c r="I665">
        <v>5</v>
      </c>
      <c r="J665">
        <v>62489.33</v>
      </c>
      <c r="K665">
        <v>0.15</v>
      </c>
      <c r="L665">
        <v>265579.65000000002</v>
      </c>
      <c r="M665" t="s">
        <v>23</v>
      </c>
      <c r="N665" t="s">
        <v>71</v>
      </c>
      <c r="O665" t="s">
        <v>65</v>
      </c>
      <c r="P665" t="s">
        <v>116</v>
      </c>
      <c r="Q665" t="str">
        <f t="shared" si="70"/>
        <v>Completed</v>
      </c>
      <c r="R665" t="str">
        <f t="shared" si="71"/>
        <v>Online</v>
      </c>
      <c r="S665" t="str">
        <v>Upi</v>
      </c>
      <c r="T665" t="str">
        <v>Electronics</v>
      </c>
      <c r="U665" t="str">
        <f t="shared" si="72"/>
        <v>VALID</v>
      </c>
      <c r="V665" t="str">
        <f t="shared" si="73"/>
        <v>NORMAL</v>
      </c>
      <c r="W665" t="str">
        <f t="shared" si="74"/>
        <v>Valid</v>
      </c>
      <c r="X665">
        <f t="shared" si="76"/>
        <v>312446.65000000002</v>
      </c>
      <c r="Y665">
        <f t="shared" si="75"/>
        <v>265579.65250000003</v>
      </c>
    </row>
    <row r="666" spans="1:25" x14ac:dyDescent="0.3">
      <c r="A666" t="s">
        <v>994</v>
      </c>
      <c r="B666" s="1">
        <v>45696</v>
      </c>
      <c r="C666" t="s">
        <v>253</v>
      </c>
      <c r="D666" t="s">
        <v>89</v>
      </c>
      <c r="E666" t="s">
        <v>90</v>
      </c>
      <c r="F666" t="s">
        <v>20</v>
      </c>
      <c r="G666" t="s">
        <v>32</v>
      </c>
      <c r="I666">
        <v>4</v>
      </c>
      <c r="J666">
        <v>688.46</v>
      </c>
      <c r="K666">
        <v>0</v>
      </c>
      <c r="L666">
        <v>2753.84</v>
      </c>
      <c r="M666" t="s">
        <v>48</v>
      </c>
      <c r="N666" t="s">
        <v>34</v>
      </c>
      <c r="O666" t="s">
        <v>65</v>
      </c>
      <c r="P666" t="s">
        <v>72</v>
      </c>
      <c r="Q666" t="str">
        <f t="shared" si="70"/>
        <v>Completed</v>
      </c>
      <c r="R666" t="str">
        <f t="shared" si="71"/>
        <v>Marketplace</v>
      </c>
      <c r="S666" t="str">
        <v>Cash On Delivery</v>
      </c>
      <c r="T666" t="str">
        <v>Accessories</v>
      </c>
      <c r="U666" t="str">
        <f t="shared" si="72"/>
        <v>VALID</v>
      </c>
      <c r="V666" t="str">
        <f t="shared" si="73"/>
        <v>NORMAL</v>
      </c>
      <c r="W666" t="str">
        <f t="shared" si="74"/>
        <v>Valid</v>
      </c>
      <c r="X666">
        <f t="shared" si="76"/>
        <v>2753.84</v>
      </c>
      <c r="Y666">
        <f t="shared" si="75"/>
        <v>2753.84</v>
      </c>
    </row>
    <row r="667" spans="1:25" x14ac:dyDescent="0.3">
      <c r="A667" t="s">
        <v>995</v>
      </c>
      <c r="B667" s="1">
        <v>45856</v>
      </c>
      <c r="C667" t="s">
        <v>672</v>
      </c>
      <c r="D667" t="s">
        <v>29</v>
      </c>
      <c r="E667" t="s">
        <v>30</v>
      </c>
      <c r="F667" t="s">
        <v>31</v>
      </c>
      <c r="G667" t="s">
        <v>81</v>
      </c>
      <c r="H667" t="s">
        <v>98</v>
      </c>
      <c r="I667">
        <v>5</v>
      </c>
      <c r="J667">
        <v>3226.09</v>
      </c>
      <c r="K667">
        <v>0.03</v>
      </c>
      <c r="L667">
        <v>15646.54</v>
      </c>
      <c r="M667" t="s">
        <v>23</v>
      </c>
      <c r="N667" t="s">
        <v>49</v>
      </c>
      <c r="O667" t="s">
        <v>65</v>
      </c>
      <c r="P667" t="s">
        <v>111</v>
      </c>
      <c r="Q667" t="str">
        <f t="shared" si="70"/>
        <v>Completed</v>
      </c>
      <c r="R667" t="str">
        <f t="shared" si="71"/>
        <v>Online</v>
      </c>
      <c r="S667" t="str">
        <v>Net Banking</v>
      </c>
      <c r="T667" t="str">
        <v>Electronics</v>
      </c>
      <c r="U667" t="str">
        <f t="shared" si="72"/>
        <v>VALID</v>
      </c>
      <c r="V667" t="str">
        <f t="shared" si="73"/>
        <v>NORMAL</v>
      </c>
      <c r="W667" t="str">
        <f t="shared" si="74"/>
        <v>Valid</v>
      </c>
      <c r="X667">
        <f t="shared" si="76"/>
        <v>16130.45</v>
      </c>
      <c r="Y667">
        <f t="shared" si="75"/>
        <v>15646.5365</v>
      </c>
    </row>
    <row r="668" spans="1:25" x14ac:dyDescent="0.3">
      <c r="A668" t="s">
        <v>996</v>
      </c>
      <c r="B668" s="1">
        <v>45502</v>
      </c>
      <c r="C668" t="s">
        <v>997</v>
      </c>
      <c r="D668" t="s">
        <v>62</v>
      </c>
      <c r="E668" t="s">
        <v>63</v>
      </c>
      <c r="F668" t="s">
        <v>31</v>
      </c>
      <c r="G668" t="s">
        <v>32</v>
      </c>
      <c r="H668" t="s">
        <v>47</v>
      </c>
      <c r="I668">
        <v>1</v>
      </c>
      <c r="J668">
        <v>2606.29</v>
      </c>
      <c r="K668">
        <v>0.1</v>
      </c>
      <c r="L668">
        <v>2345.66</v>
      </c>
      <c r="M668" t="s">
        <v>76</v>
      </c>
      <c r="N668" t="s">
        <v>71</v>
      </c>
      <c r="O668" t="s">
        <v>25</v>
      </c>
      <c r="P668" t="s">
        <v>26</v>
      </c>
      <c r="Q668" t="str">
        <f t="shared" si="70"/>
        <v>Returned</v>
      </c>
      <c r="R668" t="str">
        <f t="shared" si="71"/>
        <v>Store</v>
      </c>
      <c r="S668" t="str">
        <v>Upi</v>
      </c>
      <c r="T668" t="str">
        <v>Electronics</v>
      </c>
      <c r="U668" t="str">
        <f t="shared" si="72"/>
        <v>VALID</v>
      </c>
      <c r="V668" t="str">
        <f t="shared" si="73"/>
        <v>NORMAL</v>
      </c>
      <c r="W668" t="str">
        <f t="shared" si="74"/>
        <v>Valid</v>
      </c>
      <c r="X668">
        <f t="shared" si="76"/>
        <v>2606.29</v>
      </c>
      <c r="Y668">
        <f t="shared" si="75"/>
        <v>2345.6610000000001</v>
      </c>
    </row>
    <row r="669" spans="1:25" x14ac:dyDescent="0.3">
      <c r="A669" t="s">
        <v>998</v>
      </c>
      <c r="B669" s="1">
        <v>45356</v>
      </c>
      <c r="C669" t="s">
        <v>118</v>
      </c>
      <c r="D669" t="s">
        <v>79</v>
      </c>
      <c r="E669" t="s">
        <v>80</v>
      </c>
      <c r="F669" t="s">
        <v>31</v>
      </c>
      <c r="G669" t="s">
        <v>81</v>
      </c>
      <c r="H669" t="s">
        <v>135</v>
      </c>
      <c r="I669">
        <v>5</v>
      </c>
      <c r="J669">
        <v>12522.54</v>
      </c>
      <c r="K669">
        <v>0</v>
      </c>
      <c r="L669">
        <v>62612.7</v>
      </c>
      <c r="M669" t="s">
        <v>48</v>
      </c>
      <c r="N669" t="s">
        <v>71</v>
      </c>
      <c r="O669" t="s">
        <v>65</v>
      </c>
      <c r="P669" t="s">
        <v>72</v>
      </c>
      <c r="Q669" t="str">
        <f t="shared" si="70"/>
        <v>Completed</v>
      </c>
      <c r="R669" t="str">
        <f t="shared" si="71"/>
        <v>Marketplace</v>
      </c>
      <c r="S669" t="str">
        <v>Upi</v>
      </c>
      <c r="T669" t="str">
        <v>Electronics</v>
      </c>
      <c r="U669" t="str">
        <f t="shared" si="72"/>
        <v>VALID</v>
      </c>
      <c r="V669" t="str">
        <f t="shared" si="73"/>
        <v>NORMAL</v>
      </c>
      <c r="W669" t="str">
        <f t="shared" si="74"/>
        <v>Valid</v>
      </c>
      <c r="X669">
        <f t="shared" si="76"/>
        <v>62612.700000000004</v>
      </c>
      <c r="Y669">
        <f t="shared" si="75"/>
        <v>62612.700000000004</v>
      </c>
    </row>
    <row r="670" spans="1:25" x14ac:dyDescent="0.3">
      <c r="A670" t="s">
        <v>999</v>
      </c>
      <c r="B670" s="1">
        <v>45914</v>
      </c>
      <c r="C670" t="s">
        <v>130</v>
      </c>
      <c r="D670" t="s">
        <v>85</v>
      </c>
      <c r="E670" t="s">
        <v>86</v>
      </c>
      <c r="F670" t="s">
        <v>20</v>
      </c>
      <c r="G670" t="s">
        <v>81</v>
      </c>
      <c r="H670" t="s">
        <v>135</v>
      </c>
      <c r="I670">
        <v>2</v>
      </c>
      <c r="J670">
        <v>1929.49</v>
      </c>
      <c r="K670">
        <v>0.08</v>
      </c>
      <c r="L670">
        <v>3550.26</v>
      </c>
      <c r="M670" t="s">
        <v>48</v>
      </c>
      <c r="O670" t="s">
        <v>25</v>
      </c>
      <c r="P670" t="s">
        <v>26</v>
      </c>
      <c r="Q670" t="str">
        <f t="shared" si="70"/>
        <v>Returned</v>
      </c>
      <c r="R670" t="str">
        <f t="shared" si="71"/>
        <v>Marketplace</v>
      </c>
      <c r="S670" t="str">
        <v/>
      </c>
      <c r="T670" t="str">
        <v>Accessories</v>
      </c>
      <c r="U670" t="str">
        <f t="shared" si="72"/>
        <v>VALID</v>
      </c>
      <c r="V670" t="str">
        <f t="shared" si="73"/>
        <v>NORMAL</v>
      </c>
      <c r="W670" t="str">
        <f t="shared" si="74"/>
        <v>Valid</v>
      </c>
      <c r="X670">
        <f t="shared" si="76"/>
        <v>3858.98</v>
      </c>
      <c r="Y670">
        <f t="shared" si="75"/>
        <v>3550.2615999999998</v>
      </c>
    </row>
    <row r="671" spans="1:25" x14ac:dyDescent="0.3">
      <c r="A671" t="s">
        <v>1000</v>
      </c>
      <c r="B671" s="1">
        <v>45765</v>
      </c>
      <c r="C671" t="s">
        <v>147</v>
      </c>
      <c r="D671" t="s">
        <v>121</v>
      </c>
      <c r="E671" t="s">
        <v>122</v>
      </c>
      <c r="F671" t="s">
        <v>55</v>
      </c>
      <c r="G671" t="s">
        <v>32</v>
      </c>
      <c r="H671" t="s">
        <v>75</v>
      </c>
      <c r="I671">
        <v>3</v>
      </c>
      <c r="J671">
        <v>418.92</v>
      </c>
      <c r="K671">
        <v>0.03</v>
      </c>
      <c r="L671">
        <v>1219.06</v>
      </c>
      <c r="M671" t="s">
        <v>76</v>
      </c>
      <c r="N671" t="s">
        <v>71</v>
      </c>
      <c r="O671" t="s">
        <v>65</v>
      </c>
      <c r="P671" t="s">
        <v>102</v>
      </c>
      <c r="Q671" t="str">
        <f t="shared" si="70"/>
        <v>Completed</v>
      </c>
      <c r="R671" t="str">
        <f t="shared" si="71"/>
        <v>Store</v>
      </c>
      <c r="S671" t="str">
        <v>Upi</v>
      </c>
      <c r="T671" t="str">
        <v>Stationery</v>
      </c>
      <c r="U671" t="str">
        <f t="shared" si="72"/>
        <v>VALID</v>
      </c>
      <c r="V671" t="str">
        <f t="shared" si="73"/>
        <v>NORMAL</v>
      </c>
      <c r="W671" t="str">
        <f t="shared" si="74"/>
        <v>Valid</v>
      </c>
      <c r="X671">
        <f t="shared" si="76"/>
        <v>1256.76</v>
      </c>
      <c r="Y671">
        <f t="shared" si="75"/>
        <v>1219.0572</v>
      </c>
    </row>
    <row r="672" spans="1:25" x14ac:dyDescent="0.3">
      <c r="A672" t="s">
        <v>1001</v>
      </c>
      <c r="B672" s="1">
        <v>45510</v>
      </c>
      <c r="C672" t="s">
        <v>295</v>
      </c>
      <c r="D672" t="s">
        <v>29</v>
      </c>
      <c r="E672" t="s">
        <v>30</v>
      </c>
      <c r="F672" t="s">
        <v>31</v>
      </c>
      <c r="G672" t="s">
        <v>32</v>
      </c>
      <c r="H672" t="s">
        <v>75</v>
      </c>
      <c r="I672">
        <v>5</v>
      </c>
      <c r="J672">
        <v>3192.91</v>
      </c>
      <c r="K672">
        <v>0.08</v>
      </c>
      <c r="L672">
        <v>14687.39</v>
      </c>
      <c r="M672" t="s">
        <v>48</v>
      </c>
      <c r="N672" t="s">
        <v>49</v>
      </c>
      <c r="O672" t="s">
        <v>65</v>
      </c>
      <c r="P672" t="s">
        <v>111</v>
      </c>
      <c r="Q672" t="str">
        <f t="shared" si="70"/>
        <v>Completed</v>
      </c>
      <c r="R672" t="str">
        <f t="shared" si="71"/>
        <v>Marketplace</v>
      </c>
      <c r="S672" t="str">
        <v>Net Banking</v>
      </c>
      <c r="T672" t="str">
        <v>Electronics</v>
      </c>
      <c r="U672" t="str">
        <f t="shared" si="72"/>
        <v>VALID</v>
      </c>
      <c r="V672" t="str">
        <f t="shared" si="73"/>
        <v>NORMAL</v>
      </c>
      <c r="W672" t="str">
        <f t="shared" si="74"/>
        <v>Valid</v>
      </c>
      <c r="X672">
        <f t="shared" si="76"/>
        <v>15964.55</v>
      </c>
      <c r="Y672">
        <f t="shared" si="75"/>
        <v>14687.385999999999</v>
      </c>
    </row>
    <row r="673" spans="1:25" x14ac:dyDescent="0.3">
      <c r="A673" t="s">
        <v>1002</v>
      </c>
      <c r="B673" s="1">
        <v>45786</v>
      </c>
      <c r="C673" t="s">
        <v>687</v>
      </c>
      <c r="D673" t="s">
        <v>62</v>
      </c>
      <c r="E673" t="s">
        <v>63</v>
      </c>
      <c r="F673" t="s">
        <v>31</v>
      </c>
      <c r="G673" t="s">
        <v>21</v>
      </c>
      <c r="H673" t="s">
        <v>22</v>
      </c>
      <c r="I673">
        <v>5</v>
      </c>
      <c r="J673">
        <v>2909.63</v>
      </c>
      <c r="K673">
        <v>0.2</v>
      </c>
      <c r="L673">
        <v>11638.52</v>
      </c>
      <c r="M673" t="s">
        <v>76</v>
      </c>
      <c r="N673" t="s">
        <v>24</v>
      </c>
      <c r="O673" t="s">
        <v>35</v>
      </c>
      <c r="P673" t="s">
        <v>116</v>
      </c>
      <c r="Q673" t="str">
        <f t="shared" si="70"/>
        <v>Cancelled</v>
      </c>
      <c r="R673" t="str">
        <f t="shared" si="71"/>
        <v>Store</v>
      </c>
      <c r="S673" t="str">
        <v>Debit Card</v>
      </c>
      <c r="T673" t="str">
        <v>Electronics</v>
      </c>
      <c r="U673" t="str">
        <f t="shared" si="72"/>
        <v>VALID</v>
      </c>
      <c r="V673" t="str">
        <f t="shared" si="73"/>
        <v>NORMAL</v>
      </c>
      <c r="W673" t="str">
        <f t="shared" si="74"/>
        <v>Valid</v>
      </c>
      <c r="X673">
        <f t="shared" si="76"/>
        <v>14548.150000000001</v>
      </c>
      <c r="Y673">
        <f t="shared" si="75"/>
        <v>11638.52</v>
      </c>
    </row>
    <row r="674" spans="1:25" x14ac:dyDescent="0.3">
      <c r="A674" t="s">
        <v>1003</v>
      </c>
      <c r="B674" s="1">
        <v>45692</v>
      </c>
      <c r="C674" t="s">
        <v>287</v>
      </c>
      <c r="D674" t="s">
        <v>45</v>
      </c>
      <c r="E674" t="s">
        <v>46</v>
      </c>
      <c r="F674" t="s">
        <v>31</v>
      </c>
      <c r="G674" t="s">
        <v>21</v>
      </c>
      <c r="H674" t="s">
        <v>93</v>
      </c>
      <c r="I674">
        <v>3</v>
      </c>
      <c r="J674">
        <v>1690.22</v>
      </c>
      <c r="K674">
        <v>0</v>
      </c>
      <c r="L674">
        <v>5070.66</v>
      </c>
      <c r="M674" t="s">
        <v>76</v>
      </c>
      <c r="N674" t="s">
        <v>71</v>
      </c>
      <c r="O674" t="s">
        <v>65</v>
      </c>
      <c r="P674" t="s">
        <v>102</v>
      </c>
      <c r="Q674" t="str">
        <f t="shared" si="70"/>
        <v>Completed</v>
      </c>
      <c r="R674" t="str">
        <f t="shared" si="71"/>
        <v>Store</v>
      </c>
      <c r="S674" t="str">
        <v>Upi</v>
      </c>
      <c r="T674" t="str">
        <v>Electronics</v>
      </c>
      <c r="U674" t="str">
        <f t="shared" si="72"/>
        <v>VALID</v>
      </c>
      <c r="V674" t="str">
        <f t="shared" si="73"/>
        <v>NORMAL</v>
      </c>
      <c r="W674" t="str">
        <f t="shared" si="74"/>
        <v>Valid</v>
      </c>
      <c r="X674">
        <f t="shared" si="76"/>
        <v>5070.66</v>
      </c>
      <c r="Y674">
        <f t="shared" si="75"/>
        <v>5070.66</v>
      </c>
    </row>
    <row r="675" spans="1:25" x14ac:dyDescent="0.3">
      <c r="A675" t="s">
        <v>1004</v>
      </c>
      <c r="B675" s="1">
        <v>45830</v>
      </c>
      <c r="C675" t="s">
        <v>323</v>
      </c>
      <c r="D675" t="s">
        <v>79</v>
      </c>
      <c r="E675" t="s">
        <v>80</v>
      </c>
      <c r="F675" t="s">
        <v>31</v>
      </c>
      <c r="G675" t="s">
        <v>81</v>
      </c>
      <c r="H675" t="s">
        <v>135</v>
      </c>
      <c r="I675">
        <v>3</v>
      </c>
      <c r="J675">
        <v>11890.48</v>
      </c>
      <c r="K675">
        <v>0.15</v>
      </c>
      <c r="L675">
        <v>30320.720000000001</v>
      </c>
      <c r="M675" t="s">
        <v>23</v>
      </c>
      <c r="N675" t="s">
        <v>71</v>
      </c>
      <c r="O675" t="s">
        <v>25</v>
      </c>
      <c r="P675" t="s">
        <v>116</v>
      </c>
      <c r="Q675" t="str">
        <f t="shared" si="70"/>
        <v>Returned</v>
      </c>
      <c r="R675" t="str">
        <f t="shared" si="71"/>
        <v>Online</v>
      </c>
      <c r="S675" t="str">
        <v>Upi</v>
      </c>
      <c r="T675" t="str">
        <v>Electronics</v>
      </c>
      <c r="U675" t="str">
        <f t="shared" si="72"/>
        <v>VALID</v>
      </c>
      <c r="V675" t="str">
        <f t="shared" si="73"/>
        <v>NORMAL</v>
      </c>
      <c r="W675" t="str">
        <f t="shared" si="74"/>
        <v>Valid</v>
      </c>
      <c r="X675">
        <f t="shared" si="76"/>
        <v>35671.440000000002</v>
      </c>
      <c r="Y675">
        <f t="shared" si="75"/>
        <v>30320.724000000002</v>
      </c>
    </row>
    <row r="676" spans="1:25" x14ac:dyDescent="0.3">
      <c r="A676" t="s">
        <v>1005</v>
      </c>
      <c r="B676" s="1">
        <v>46000</v>
      </c>
      <c r="C676" t="s">
        <v>339</v>
      </c>
      <c r="D676" t="s">
        <v>131</v>
      </c>
      <c r="E676" t="s">
        <v>132</v>
      </c>
      <c r="F676" t="s">
        <v>40</v>
      </c>
      <c r="G676" t="s">
        <v>56</v>
      </c>
      <c r="H676" t="s">
        <v>101</v>
      </c>
      <c r="I676">
        <v>2</v>
      </c>
      <c r="J676">
        <v>10019.870000000001</v>
      </c>
      <c r="K676">
        <v>0.03</v>
      </c>
      <c r="L676">
        <v>19438.55</v>
      </c>
      <c r="M676" t="s">
        <v>48</v>
      </c>
      <c r="N676" t="s">
        <v>24</v>
      </c>
      <c r="O676" t="s">
        <v>65</v>
      </c>
      <c r="P676" t="s">
        <v>116</v>
      </c>
      <c r="Q676" t="str">
        <f t="shared" si="70"/>
        <v>Completed</v>
      </c>
      <c r="R676" t="str">
        <f t="shared" si="71"/>
        <v>Marketplace</v>
      </c>
      <c r="S676" t="str">
        <v>Debit Card</v>
      </c>
      <c r="T676" t="str">
        <v>Furniture</v>
      </c>
      <c r="U676" t="str">
        <f t="shared" si="72"/>
        <v>VALID</v>
      </c>
      <c r="V676" t="str">
        <f t="shared" si="73"/>
        <v>NORMAL</v>
      </c>
      <c r="W676" t="str">
        <f t="shared" si="74"/>
        <v>Valid</v>
      </c>
      <c r="X676">
        <f t="shared" si="76"/>
        <v>20039.740000000002</v>
      </c>
      <c r="Y676">
        <f t="shared" si="75"/>
        <v>19438.5478</v>
      </c>
    </row>
    <row r="677" spans="1:25" x14ac:dyDescent="0.3">
      <c r="A677" t="s">
        <v>1006</v>
      </c>
      <c r="B677" s="1">
        <v>45432</v>
      </c>
      <c r="C677" t="s">
        <v>514</v>
      </c>
      <c r="D677" t="s">
        <v>38</v>
      </c>
      <c r="E677" t="s">
        <v>39</v>
      </c>
      <c r="F677" t="s">
        <v>40</v>
      </c>
      <c r="G677" t="s">
        <v>21</v>
      </c>
      <c r="H677" t="s">
        <v>41</v>
      </c>
      <c r="I677">
        <v>1</v>
      </c>
      <c r="J677">
        <v>1523.46</v>
      </c>
      <c r="K677">
        <v>0.1</v>
      </c>
      <c r="L677">
        <v>1371.11</v>
      </c>
      <c r="M677" t="s">
        <v>23</v>
      </c>
      <c r="N677" t="s">
        <v>24</v>
      </c>
      <c r="O677" t="s">
        <v>65</v>
      </c>
      <c r="P677" t="s">
        <v>26</v>
      </c>
      <c r="Q677" t="str">
        <f t="shared" si="70"/>
        <v>Completed</v>
      </c>
      <c r="R677" t="str">
        <f t="shared" si="71"/>
        <v>Online</v>
      </c>
      <c r="S677" t="str">
        <v>Debit Card</v>
      </c>
      <c r="T677" t="str">
        <v>Furniture</v>
      </c>
      <c r="U677" t="str">
        <f t="shared" si="72"/>
        <v>VALID</v>
      </c>
      <c r="V677" t="str">
        <f t="shared" si="73"/>
        <v>NORMAL</v>
      </c>
      <c r="W677" t="str">
        <f t="shared" si="74"/>
        <v>Valid</v>
      </c>
      <c r="X677">
        <f t="shared" si="76"/>
        <v>1523.46</v>
      </c>
      <c r="Y677">
        <f t="shared" si="75"/>
        <v>1371.114</v>
      </c>
    </row>
    <row r="678" spans="1:25" x14ac:dyDescent="0.3">
      <c r="A678" t="s">
        <v>1007</v>
      </c>
      <c r="B678" s="1">
        <v>45336</v>
      </c>
      <c r="C678" t="s">
        <v>1008</v>
      </c>
      <c r="D678" t="s">
        <v>105</v>
      </c>
      <c r="E678" t="s">
        <v>106</v>
      </c>
      <c r="F678" t="s">
        <v>40</v>
      </c>
      <c r="G678" t="s">
        <v>21</v>
      </c>
      <c r="H678" t="s">
        <v>93</v>
      </c>
      <c r="I678">
        <v>3</v>
      </c>
      <c r="J678">
        <v>7495.51</v>
      </c>
      <c r="K678">
        <v>0.1</v>
      </c>
      <c r="L678">
        <v>20237.88</v>
      </c>
      <c r="M678" t="s">
        <v>23</v>
      </c>
      <c r="N678" t="s">
        <v>34</v>
      </c>
      <c r="O678" t="s">
        <v>35</v>
      </c>
      <c r="P678" t="s">
        <v>26</v>
      </c>
      <c r="Q678" t="str">
        <f t="shared" si="70"/>
        <v>Cancelled</v>
      </c>
      <c r="R678" t="str">
        <f t="shared" si="71"/>
        <v>Online</v>
      </c>
      <c r="S678" t="str">
        <v>Cash On Delivery</v>
      </c>
      <c r="T678" t="str">
        <v>Furniture</v>
      </c>
      <c r="U678" t="str">
        <f t="shared" si="72"/>
        <v>VALID</v>
      </c>
      <c r="V678" t="str">
        <f t="shared" si="73"/>
        <v>NORMAL</v>
      </c>
      <c r="W678" t="str">
        <f t="shared" si="74"/>
        <v>Valid</v>
      </c>
      <c r="X678">
        <f t="shared" si="76"/>
        <v>22486.53</v>
      </c>
      <c r="Y678">
        <f t="shared" si="75"/>
        <v>20237.877</v>
      </c>
    </row>
    <row r="679" spans="1:25" x14ac:dyDescent="0.3">
      <c r="A679" t="s">
        <v>1009</v>
      </c>
      <c r="B679" s="1">
        <v>46019</v>
      </c>
      <c r="C679" t="s">
        <v>196</v>
      </c>
      <c r="D679" t="s">
        <v>18</v>
      </c>
      <c r="E679" t="s">
        <v>19</v>
      </c>
      <c r="F679" t="s">
        <v>20</v>
      </c>
      <c r="G679" t="s">
        <v>21</v>
      </c>
      <c r="H679" t="s">
        <v>93</v>
      </c>
      <c r="I679">
        <v>3</v>
      </c>
      <c r="J679">
        <v>819.15</v>
      </c>
      <c r="K679">
        <v>0</v>
      </c>
      <c r="L679">
        <v>2457.4499999999998</v>
      </c>
      <c r="M679" t="s">
        <v>48</v>
      </c>
      <c r="N679" t="s">
        <v>24</v>
      </c>
      <c r="O679" t="s">
        <v>65</v>
      </c>
      <c r="P679" t="s">
        <v>102</v>
      </c>
      <c r="Q679" t="str">
        <f t="shared" si="70"/>
        <v>Completed</v>
      </c>
      <c r="R679" t="str">
        <f t="shared" si="71"/>
        <v>Marketplace</v>
      </c>
      <c r="S679" t="str">
        <v>Debit Card</v>
      </c>
      <c r="T679" t="str">
        <v>Accessories</v>
      </c>
      <c r="U679" t="str">
        <f t="shared" si="72"/>
        <v>VALID</v>
      </c>
      <c r="V679" t="str">
        <f t="shared" si="73"/>
        <v>NORMAL</v>
      </c>
      <c r="W679" t="str">
        <f t="shared" si="74"/>
        <v>Valid</v>
      </c>
      <c r="X679">
        <f t="shared" si="76"/>
        <v>2457.4499999999998</v>
      </c>
      <c r="Y679">
        <f t="shared" si="75"/>
        <v>2457.4499999999998</v>
      </c>
    </row>
    <row r="680" spans="1:25" x14ac:dyDescent="0.3">
      <c r="A680" t="s">
        <v>1010</v>
      </c>
      <c r="B680" s="1">
        <v>45725</v>
      </c>
      <c r="C680" t="s">
        <v>468</v>
      </c>
      <c r="D680" t="s">
        <v>105</v>
      </c>
      <c r="E680" t="s">
        <v>106</v>
      </c>
      <c r="F680" t="s">
        <v>40</v>
      </c>
      <c r="G680" t="s">
        <v>56</v>
      </c>
      <c r="H680" t="s">
        <v>101</v>
      </c>
      <c r="I680">
        <v>5</v>
      </c>
      <c r="J680">
        <v>7051.72</v>
      </c>
      <c r="K680">
        <v>0.15</v>
      </c>
      <c r="L680">
        <v>29969.81</v>
      </c>
      <c r="M680" t="s">
        <v>23</v>
      </c>
      <c r="N680" t="s">
        <v>49</v>
      </c>
      <c r="O680" t="s">
        <v>35</v>
      </c>
      <c r="P680" t="s">
        <v>50</v>
      </c>
      <c r="Q680" t="str">
        <f t="shared" si="70"/>
        <v>Cancelled</v>
      </c>
      <c r="R680" t="str">
        <f t="shared" si="71"/>
        <v>Online</v>
      </c>
      <c r="S680" t="str">
        <v>Net Banking</v>
      </c>
      <c r="T680" t="str">
        <v>Furniture</v>
      </c>
      <c r="U680" t="str">
        <f t="shared" si="72"/>
        <v>VALID</v>
      </c>
      <c r="V680" t="str">
        <f t="shared" si="73"/>
        <v>NORMAL</v>
      </c>
      <c r="W680" t="str">
        <f t="shared" si="74"/>
        <v>Valid</v>
      </c>
      <c r="X680">
        <f t="shared" si="76"/>
        <v>35258.6</v>
      </c>
      <c r="Y680">
        <f t="shared" si="75"/>
        <v>29969.809999999998</v>
      </c>
    </row>
    <row r="681" spans="1:25" x14ac:dyDescent="0.3">
      <c r="A681" t="s">
        <v>1011</v>
      </c>
      <c r="B681" s="1">
        <v>45429</v>
      </c>
      <c r="C681" t="s">
        <v>997</v>
      </c>
      <c r="D681" t="s">
        <v>176</v>
      </c>
      <c r="E681" t="s">
        <v>177</v>
      </c>
      <c r="F681" t="s">
        <v>31</v>
      </c>
      <c r="G681" t="s">
        <v>56</v>
      </c>
      <c r="H681" t="s">
        <v>64</v>
      </c>
      <c r="I681">
        <v>5</v>
      </c>
      <c r="J681">
        <v>2212.2199999999998</v>
      </c>
      <c r="K681">
        <v>0.15</v>
      </c>
      <c r="L681">
        <v>9401.93</v>
      </c>
      <c r="M681" t="s">
        <v>23</v>
      </c>
      <c r="N681" t="s">
        <v>71</v>
      </c>
      <c r="O681" t="s">
        <v>35</v>
      </c>
      <c r="Q681" t="str">
        <f t="shared" si="70"/>
        <v>Cancelled</v>
      </c>
      <c r="R681" t="str">
        <f t="shared" si="71"/>
        <v>Online</v>
      </c>
      <c r="S681" t="str">
        <v>Upi</v>
      </c>
      <c r="T681" t="str">
        <v>Electronics</v>
      </c>
      <c r="U681" t="str">
        <f t="shared" si="72"/>
        <v>VALID</v>
      </c>
      <c r="V681" t="str">
        <f t="shared" si="73"/>
        <v>NORMAL</v>
      </c>
      <c r="W681" t="str">
        <f t="shared" si="74"/>
        <v>Valid</v>
      </c>
      <c r="X681">
        <f t="shared" si="76"/>
        <v>11061.099999999999</v>
      </c>
      <c r="Y681">
        <f t="shared" si="75"/>
        <v>9401.9349999999995</v>
      </c>
    </row>
    <row r="682" spans="1:25" x14ac:dyDescent="0.3">
      <c r="A682" t="s">
        <v>1012</v>
      </c>
      <c r="B682" s="1">
        <v>45554</v>
      </c>
      <c r="C682" t="s">
        <v>1013</v>
      </c>
      <c r="D682" t="s">
        <v>131</v>
      </c>
      <c r="E682" t="s">
        <v>132</v>
      </c>
      <c r="F682" t="s">
        <v>40</v>
      </c>
      <c r="G682" t="s">
        <v>21</v>
      </c>
      <c r="H682" t="s">
        <v>93</v>
      </c>
      <c r="I682">
        <v>1</v>
      </c>
      <c r="J682">
        <v>9087.2199999999993</v>
      </c>
      <c r="K682">
        <v>0.08</v>
      </c>
      <c r="L682">
        <v>8360.24</v>
      </c>
      <c r="M682" t="s">
        <v>76</v>
      </c>
      <c r="N682" t="s">
        <v>58</v>
      </c>
      <c r="O682" t="s">
        <v>65</v>
      </c>
      <c r="P682" t="s">
        <v>116</v>
      </c>
      <c r="Q682" t="str">
        <f t="shared" si="70"/>
        <v>Completed</v>
      </c>
      <c r="R682" t="str">
        <f t="shared" si="71"/>
        <v>Store</v>
      </c>
      <c r="S682" t="str">
        <v>Credit Card</v>
      </c>
      <c r="T682" t="str">
        <v>Furniture</v>
      </c>
      <c r="U682" t="str">
        <f t="shared" si="72"/>
        <v>VALID</v>
      </c>
      <c r="V682" t="str">
        <f t="shared" si="73"/>
        <v>NORMAL</v>
      </c>
      <c r="W682" t="str">
        <f t="shared" si="74"/>
        <v>Valid</v>
      </c>
      <c r="X682">
        <f t="shared" si="76"/>
        <v>9087.2199999999993</v>
      </c>
      <c r="Y682">
        <f t="shared" si="75"/>
        <v>8360.2423999999992</v>
      </c>
    </row>
    <row r="683" spans="1:25" x14ac:dyDescent="0.3">
      <c r="A683" t="s">
        <v>1014</v>
      </c>
      <c r="B683" s="1">
        <v>45462</v>
      </c>
      <c r="C683" t="s">
        <v>212</v>
      </c>
      <c r="D683" t="s">
        <v>85</v>
      </c>
      <c r="E683" t="s">
        <v>86</v>
      </c>
      <c r="F683" t="s">
        <v>20</v>
      </c>
      <c r="G683" t="s">
        <v>81</v>
      </c>
      <c r="H683" t="s">
        <v>87</v>
      </c>
      <c r="I683">
        <v>1</v>
      </c>
      <c r="J683">
        <v>1664.59</v>
      </c>
      <c r="K683">
        <v>0.03</v>
      </c>
      <c r="L683">
        <v>1614.65</v>
      </c>
      <c r="M683" t="s">
        <v>48</v>
      </c>
      <c r="N683" t="s">
        <v>34</v>
      </c>
      <c r="O683" t="s">
        <v>35</v>
      </c>
      <c r="P683" t="s">
        <v>111</v>
      </c>
      <c r="Q683" t="str">
        <f t="shared" si="70"/>
        <v>Cancelled</v>
      </c>
      <c r="R683" t="str">
        <f t="shared" si="71"/>
        <v>Marketplace</v>
      </c>
      <c r="S683" t="str">
        <v>Cash On Delivery</v>
      </c>
      <c r="T683" t="str">
        <v>Accessories</v>
      </c>
      <c r="U683" t="str">
        <f t="shared" si="72"/>
        <v>VALID</v>
      </c>
      <c r="V683" t="str">
        <f t="shared" si="73"/>
        <v>NORMAL</v>
      </c>
      <c r="W683" t="str">
        <f t="shared" si="74"/>
        <v>Valid</v>
      </c>
      <c r="X683">
        <f t="shared" si="76"/>
        <v>1664.59</v>
      </c>
      <c r="Y683">
        <f t="shared" si="75"/>
        <v>1614.6523</v>
      </c>
    </row>
    <row r="684" spans="1:25" x14ac:dyDescent="0.3">
      <c r="A684" t="s">
        <v>1015</v>
      </c>
      <c r="B684" s="1">
        <v>45383</v>
      </c>
      <c r="C684" t="s">
        <v>149</v>
      </c>
      <c r="D684" t="s">
        <v>105</v>
      </c>
      <c r="E684" t="s">
        <v>106</v>
      </c>
      <c r="F684" t="s">
        <v>40</v>
      </c>
      <c r="G684" t="s">
        <v>21</v>
      </c>
      <c r="H684" t="s">
        <v>93</v>
      </c>
      <c r="I684">
        <v>3</v>
      </c>
      <c r="J684">
        <v>7578.71</v>
      </c>
      <c r="K684">
        <v>0</v>
      </c>
      <c r="L684">
        <v>22736.13</v>
      </c>
      <c r="M684" t="s">
        <v>23</v>
      </c>
      <c r="N684" t="s">
        <v>58</v>
      </c>
      <c r="O684" t="s">
        <v>65</v>
      </c>
      <c r="P684" t="s">
        <v>42</v>
      </c>
      <c r="Q684" t="str">
        <f t="shared" si="70"/>
        <v>Completed</v>
      </c>
      <c r="R684" t="str">
        <f t="shared" si="71"/>
        <v>Online</v>
      </c>
      <c r="S684" t="str">
        <v>Credit Card</v>
      </c>
      <c r="T684" t="str">
        <v>Furniture</v>
      </c>
      <c r="U684" t="str">
        <f t="shared" si="72"/>
        <v>VALID</v>
      </c>
      <c r="V684" t="str">
        <f t="shared" si="73"/>
        <v>NORMAL</v>
      </c>
      <c r="W684" t="str">
        <f t="shared" si="74"/>
        <v>Valid</v>
      </c>
      <c r="X684">
        <f t="shared" si="76"/>
        <v>22736.13</v>
      </c>
      <c r="Y684">
        <f t="shared" si="75"/>
        <v>22736.13</v>
      </c>
    </row>
    <row r="685" spans="1:25" x14ac:dyDescent="0.3">
      <c r="A685" t="s">
        <v>1016</v>
      </c>
      <c r="B685" s="1">
        <v>45567</v>
      </c>
      <c r="C685" t="s">
        <v>379</v>
      </c>
      <c r="D685" t="s">
        <v>121</v>
      </c>
      <c r="E685" t="s">
        <v>122</v>
      </c>
      <c r="F685" t="s">
        <v>55</v>
      </c>
      <c r="G685" t="s">
        <v>81</v>
      </c>
      <c r="H685" t="s">
        <v>135</v>
      </c>
      <c r="I685">
        <v>2</v>
      </c>
      <c r="J685">
        <v>477.21</v>
      </c>
      <c r="K685">
        <v>0.05</v>
      </c>
      <c r="L685">
        <v>906.7</v>
      </c>
      <c r="M685" t="s">
        <v>76</v>
      </c>
      <c r="N685" t="s">
        <v>71</v>
      </c>
      <c r="O685" t="s">
        <v>25</v>
      </c>
      <c r="P685" t="s">
        <v>59</v>
      </c>
      <c r="Q685" t="str">
        <f t="shared" si="70"/>
        <v>Returned</v>
      </c>
      <c r="R685" t="str">
        <f t="shared" si="71"/>
        <v>Store</v>
      </c>
      <c r="S685" t="str">
        <v>Upi</v>
      </c>
      <c r="T685" t="str">
        <v>Stationery</v>
      </c>
      <c r="U685" t="str">
        <f t="shared" si="72"/>
        <v>VALID</v>
      </c>
      <c r="V685" t="str">
        <f t="shared" si="73"/>
        <v>NORMAL</v>
      </c>
      <c r="W685" t="str">
        <f t="shared" si="74"/>
        <v>Valid</v>
      </c>
      <c r="X685">
        <f t="shared" si="76"/>
        <v>954.42</v>
      </c>
      <c r="Y685">
        <f t="shared" si="75"/>
        <v>906.69899999999996</v>
      </c>
    </row>
    <row r="686" spans="1:25" x14ac:dyDescent="0.3">
      <c r="A686" t="s">
        <v>1017</v>
      </c>
      <c r="B686" s="1">
        <v>45916</v>
      </c>
      <c r="C686" t="s">
        <v>548</v>
      </c>
      <c r="D686" t="s">
        <v>105</v>
      </c>
      <c r="E686" t="s">
        <v>106</v>
      </c>
      <c r="F686" t="s">
        <v>40</v>
      </c>
      <c r="G686" t="s">
        <v>56</v>
      </c>
      <c r="H686" t="s">
        <v>64</v>
      </c>
      <c r="I686">
        <v>3</v>
      </c>
      <c r="J686">
        <v>6647.34</v>
      </c>
      <c r="K686">
        <v>0.03</v>
      </c>
      <c r="L686">
        <v>19343.759999999998</v>
      </c>
      <c r="M686" t="s">
        <v>48</v>
      </c>
      <c r="N686" t="s">
        <v>24</v>
      </c>
      <c r="O686" t="s">
        <v>25</v>
      </c>
      <c r="P686" t="s">
        <v>116</v>
      </c>
      <c r="Q686" t="str">
        <f t="shared" si="70"/>
        <v>Returned</v>
      </c>
      <c r="R686" t="str">
        <f t="shared" si="71"/>
        <v>Marketplace</v>
      </c>
      <c r="S686" t="str">
        <v>Debit Card</v>
      </c>
      <c r="T686" t="str">
        <v>Furniture</v>
      </c>
      <c r="U686" t="str">
        <f t="shared" si="72"/>
        <v>VALID</v>
      </c>
      <c r="V686" t="str">
        <f t="shared" si="73"/>
        <v>NORMAL</v>
      </c>
      <c r="W686" t="str">
        <f t="shared" si="74"/>
        <v>Valid</v>
      </c>
      <c r="X686">
        <f t="shared" si="76"/>
        <v>19942.02</v>
      </c>
      <c r="Y686">
        <f t="shared" si="75"/>
        <v>19343.759399999999</v>
      </c>
    </row>
    <row r="687" spans="1:25" x14ac:dyDescent="0.3">
      <c r="A687" t="s">
        <v>1018</v>
      </c>
      <c r="B687" s="1">
        <v>45887</v>
      </c>
      <c r="C687" t="s">
        <v>208</v>
      </c>
      <c r="D687" t="s">
        <v>62</v>
      </c>
      <c r="E687" t="s">
        <v>63</v>
      </c>
      <c r="F687" t="s">
        <v>31</v>
      </c>
      <c r="G687" t="s">
        <v>21</v>
      </c>
      <c r="H687" t="s">
        <v>22</v>
      </c>
      <c r="I687">
        <v>2</v>
      </c>
      <c r="J687">
        <v>2725.75</v>
      </c>
      <c r="K687">
        <v>0.08</v>
      </c>
      <c r="L687">
        <v>5015.38</v>
      </c>
      <c r="M687" t="s">
        <v>48</v>
      </c>
      <c r="N687" t="s">
        <v>24</v>
      </c>
      <c r="O687" t="s">
        <v>65</v>
      </c>
      <c r="P687" t="s">
        <v>72</v>
      </c>
      <c r="Q687" t="str">
        <f t="shared" si="70"/>
        <v>Completed</v>
      </c>
      <c r="R687" t="str">
        <f t="shared" si="71"/>
        <v>Marketplace</v>
      </c>
      <c r="S687" t="str">
        <v>Debit Card</v>
      </c>
      <c r="T687" t="str">
        <v>Electronics</v>
      </c>
      <c r="U687" t="str">
        <f t="shared" si="72"/>
        <v>VALID</v>
      </c>
      <c r="V687" t="str">
        <f t="shared" si="73"/>
        <v>NORMAL</v>
      </c>
      <c r="W687" t="str">
        <f t="shared" si="74"/>
        <v>Valid</v>
      </c>
      <c r="X687">
        <f t="shared" si="76"/>
        <v>5451.5</v>
      </c>
      <c r="Y687">
        <f t="shared" si="75"/>
        <v>5015.38</v>
      </c>
    </row>
    <row r="688" spans="1:25" x14ac:dyDescent="0.3">
      <c r="A688" t="s">
        <v>1019</v>
      </c>
      <c r="B688" s="1">
        <v>45934</v>
      </c>
      <c r="C688" t="s">
        <v>554</v>
      </c>
      <c r="D688" t="s">
        <v>38</v>
      </c>
      <c r="E688" t="s">
        <v>39</v>
      </c>
      <c r="F688" t="s">
        <v>40</v>
      </c>
      <c r="G688" t="s">
        <v>21</v>
      </c>
      <c r="H688" t="s">
        <v>22</v>
      </c>
      <c r="I688">
        <v>3</v>
      </c>
      <c r="J688">
        <v>1555.76</v>
      </c>
      <c r="K688">
        <v>0.1</v>
      </c>
      <c r="L688">
        <v>4200.55</v>
      </c>
      <c r="M688" t="s">
        <v>48</v>
      </c>
      <c r="N688" t="s">
        <v>49</v>
      </c>
      <c r="O688" t="s">
        <v>65</v>
      </c>
      <c r="P688" t="s">
        <v>111</v>
      </c>
      <c r="Q688" t="str">
        <f t="shared" si="70"/>
        <v>Completed</v>
      </c>
      <c r="R688" t="str">
        <f t="shared" si="71"/>
        <v>Marketplace</v>
      </c>
      <c r="S688" t="str">
        <v>Net Banking</v>
      </c>
      <c r="T688" t="str">
        <v>Furniture</v>
      </c>
      <c r="U688" t="str">
        <f t="shared" si="72"/>
        <v>VALID</v>
      </c>
      <c r="V688" t="str">
        <f t="shared" si="73"/>
        <v>NORMAL</v>
      </c>
      <c r="W688" t="str">
        <f t="shared" si="74"/>
        <v>Valid</v>
      </c>
      <c r="X688">
        <f t="shared" si="76"/>
        <v>4667.28</v>
      </c>
      <c r="Y688">
        <f t="shared" si="75"/>
        <v>4200.5519999999997</v>
      </c>
    </row>
    <row r="689" spans="1:25" x14ac:dyDescent="0.3">
      <c r="A689" t="s">
        <v>1020</v>
      </c>
      <c r="B689" s="1">
        <v>45429</v>
      </c>
      <c r="C689" t="s">
        <v>352</v>
      </c>
      <c r="D689" t="s">
        <v>85</v>
      </c>
      <c r="E689" t="s">
        <v>86</v>
      </c>
      <c r="F689" t="s">
        <v>20</v>
      </c>
      <c r="G689" t="s">
        <v>81</v>
      </c>
      <c r="H689" t="s">
        <v>98</v>
      </c>
      <c r="I689">
        <v>2</v>
      </c>
      <c r="J689">
        <v>1941.67</v>
      </c>
      <c r="K689">
        <v>0.1</v>
      </c>
      <c r="L689">
        <v>3495.01</v>
      </c>
      <c r="M689" t="s">
        <v>23</v>
      </c>
      <c r="N689" t="s">
        <v>34</v>
      </c>
      <c r="O689" t="s">
        <v>25</v>
      </c>
      <c r="P689" t="s">
        <v>42</v>
      </c>
      <c r="Q689" t="str">
        <f t="shared" si="70"/>
        <v>Returned</v>
      </c>
      <c r="R689" t="str">
        <f t="shared" si="71"/>
        <v>Online</v>
      </c>
      <c r="S689" t="str">
        <v>Cash On Delivery</v>
      </c>
      <c r="T689" t="str">
        <v>Accessories</v>
      </c>
      <c r="U689" t="str">
        <f t="shared" si="72"/>
        <v>VALID</v>
      </c>
      <c r="V689" t="str">
        <f t="shared" si="73"/>
        <v>NORMAL</v>
      </c>
      <c r="W689" t="str">
        <f t="shared" si="74"/>
        <v>Valid</v>
      </c>
      <c r="X689">
        <f t="shared" si="76"/>
        <v>3883.34</v>
      </c>
      <c r="Y689">
        <f t="shared" si="75"/>
        <v>3495.0060000000003</v>
      </c>
    </row>
    <row r="690" spans="1:25" x14ac:dyDescent="0.3">
      <c r="A690" t="s">
        <v>1021</v>
      </c>
      <c r="B690" s="1">
        <v>45309</v>
      </c>
      <c r="C690" t="s">
        <v>104</v>
      </c>
      <c r="D690" t="s">
        <v>176</v>
      </c>
      <c r="E690" t="s">
        <v>177</v>
      </c>
      <c r="F690" t="s">
        <v>31</v>
      </c>
      <c r="G690" t="s">
        <v>81</v>
      </c>
      <c r="H690" t="s">
        <v>87</v>
      </c>
      <c r="I690">
        <v>1</v>
      </c>
      <c r="J690">
        <v>2254.41</v>
      </c>
      <c r="K690">
        <v>0.2</v>
      </c>
      <c r="L690">
        <v>1803.53</v>
      </c>
      <c r="M690" t="s">
        <v>76</v>
      </c>
      <c r="N690" t="s">
        <v>34</v>
      </c>
      <c r="O690" t="s">
        <v>65</v>
      </c>
      <c r="P690" t="s">
        <v>26</v>
      </c>
      <c r="Q690" t="str">
        <f t="shared" si="70"/>
        <v>Completed</v>
      </c>
      <c r="R690" t="str">
        <f t="shared" si="71"/>
        <v>Store</v>
      </c>
      <c r="S690" t="str">
        <v>Cash On Delivery</v>
      </c>
      <c r="T690" t="str">
        <v>Electronics</v>
      </c>
      <c r="U690" t="str">
        <f t="shared" si="72"/>
        <v>VALID</v>
      </c>
      <c r="V690" t="str">
        <f t="shared" si="73"/>
        <v>NORMAL</v>
      </c>
      <c r="W690" t="str">
        <f t="shared" si="74"/>
        <v>Valid</v>
      </c>
      <c r="X690">
        <f t="shared" si="76"/>
        <v>2254.41</v>
      </c>
      <c r="Y690">
        <f t="shared" si="75"/>
        <v>1803.5279999999998</v>
      </c>
    </row>
    <row r="691" spans="1:25" x14ac:dyDescent="0.3">
      <c r="A691" t="s">
        <v>1022</v>
      </c>
      <c r="B691" s="1">
        <v>46047</v>
      </c>
      <c r="D691" t="s">
        <v>121</v>
      </c>
      <c r="E691" t="s">
        <v>122</v>
      </c>
      <c r="F691" t="s">
        <v>55</v>
      </c>
      <c r="G691" t="s">
        <v>32</v>
      </c>
      <c r="H691" t="s">
        <v>47</v>
      </c>
      <c r="I691">
        <v>3</v>
      </c>
      <c r="J691">
        <v>459.79</v>
      </c>
      <c r="K691">
        <v>0.08</v>
      </c>
      <c r="L691">
        <v>1269.02</v>
      </c>
      <c r="M691" t="s">
        <v>48</v>
      </c>
      <c r="N691" t="s">
        <v>58</v>
      </c>
      <c r="O691" t="s">
        <v>65</v>
      </c>
      <c r="P691" t="s">
        <v>111</v>
      </c>
      <c r="Q691" t="str">
        <f t="shared" si="70"/>
        <v>Completed</v>
      </c>
      <c r="R691" t="str">
        <f t="shared" si="71"/>
        <v>Marketplace</v>
      </c>
      <c r="S691" t="str">
        <v>Credit Card</v>
      </c>
      <c r="T691" t="str">
        <v>Stationery</v>
      </c>
      <c r="U691" t="str">
        <f t="shared" si="72"/>
        <v>VALID</v>
      </c>
      <c r="V691" t="str">
        <f t="shared" si="73"/>
        <v>NORMAL</v>
      </c>
      <c r="W691" t="str">
        <f t="shared" si="74"/>
        <v>Valid</v>
      </c>
      <c r="X691">
        <f t="shared" si="76"/>
        <v>1379.3700000000001</v>
      </c>
      <c r="Y691">
        <f t="shared" si="75"/>
        <v>1269.0204000000001</v>
      </c>
    </row>
    <row r="692" spans="1:25" x14ac:dyDescent="0.3">
      <c r="A692" t="s">
        <v>1023</v>
      </c>
      <c r="B692" s="1">
        <v>45853</v>
      </c>
      <c r="C692" t="s">
        <v>277</v>
      </c>
      <c r="D692" t="s">
        <v>131</v>
      </c>
      <c r="E692" t="s">
        <v>132</v>
      </c>
      <c r="F692" t="s">
        <v>40</v>
      </c>
      <c r="G692" t="s">
        <v>56</v>
      </c>
      <c r="H692" t="s">
        <v>57</v>
      </c>
      <c r="I692">
        <v>4</v>
      </c>
      <c r="J692">
        <v>9178.35</v>
      </c>
      <c r="K692">
        <v>0.03</v>
      </c>
      <c r="L692">
        <v>35612</v>
      </c>
      <c r="M692" t="s">
        <v>76</v>
      </c>
      <c r="N692" t="s">
        <v>34</v>
      </c>
      <c r="O692" t="s">
        <v>65</v>
      </c>
      <c r="P692" t="s">
        <v>111</v>
      </c>
      <c r="Q692" t="str">
        <f t="shared" si="70"/>
        <v>Completed</v>
      </c>
      <c r="R692" t="str">
        <f t="shared" si="71"/>
        <v>Store</v>
      </c>
      <c r="S692" t="str">
        <v>Cash On Delivery</v>
      </c>
      <c r="T692" t="str">
        <v>Furniture</v>
      </c>
      <c r="U692" t="str">
        <f t="shared" si="72"/>
        <v>VALID</v>
      </c>
      <c r="V692" t="str">
        <f t="shared" si="73"/>
        <v>NORMAL</v>
      </c>
      <c r="W692" t="str">
        <f t="shared" si="74"/>
        <v>Valid</v>
      </c>
      <c r="X692">
        <f t="shared" si="76"/>
        <v>36713.4</v>
      </c>
      <c r="Y692">
        <f t="shared" si="75"/>
        <v>35611.998</v>
      </c>
    </row>
    <row r="693" spans="1:25" x14ac:dyDescent="0.3">
      <c r="A693" t="s">
        <v>1024</v>
      </c>
      <c r="B693" s="1">
        <v>46067</v>
      </c>
      <c r="C693" t="s">
        <v>531</v>
      </c>
      <c r="D693" t="s">
        <v>79</v>
      </c>
      <c r="E693" t="s">
        <v>80</v>
      </c>
      <c r="F693" t="s">
        <v>31</v>
      </c>
      <c r="G693" t="s">
        <v>32</v>
      </c>
      <c r="H693" t="s">
        <v>33</v>
      </c>
      <c r="I693">
        <v>4</v>
      </c>
      <c r="J693">
        <v>12042.78</v>
      </c>
      <c r="K693">
        <v>0</v>
      </c>
      <c r="L693">
        <v>48171.12</v>
      </c>
      <c r="M693" t="s">
        <v>48</v>
      </c>
      <c r="N693" t="s">
        <v>24</v>
      </c>
      <c r="O693" t="s">
        <v>65</v>
      </c>
      <c r="P693" t="s">
        <v>59</v>
      </c>
      <c r="Q693" t="str">
        <f t="shared" si="70"/>
        <v>Completed</v>
      </c>
      <c r="R693" t="str">
        <f t="shared" si="71"/>
        <v>Marketplace</v>
      </c>
      <c r="S693" t="str">
        <v>Debit Card</v>
      </c>
      <c r="T693" t="str">
        <v>Electronics</v>
      </c>
      <c r="U693" t="str">
        <f t="shared" si="72"/>
        <v>VALID</v>
      </c>
      <c r="V693" t="str">
        <f t="shared" si="73"/>
        <v>NORMAL</v>
      </c>
      <c r="W693" t="str">
        <f t="shared" si="74"/>
        <v>Valid</v>
      </c>
      <c r="X693">
        <f t="shared" si="76"/>
        <v>48171.12</v>
      </c>
      <c r="Y693">
        <f t="shared" si="75"/>
        <v>48171.12</v>
      </c>
    </row>
    <row r="694" spans="1:25" x14ac:dyDescent="0.3">
      <c r="A694" t="s">
        <v>1025</v>
      </c>
      <c r="B694" s="1">
        <v>45491</v>
      </c>
      <c r="C694" t="s">
        <v>531</v>
      </c>
      <c r="D694" t="s">
        <v>38</v>
      </c>
      <c r="E694" t="s">
        <v>39</v>
      </c>
      <c r="F694" t="s">
        <v>40</v>
      </c>
      <c r="G694" t="s">
        <v>81</v>
      </c>
      <c r="H694" t="s">
        <v>135</v>
      </c>
      <c r="I694">
        <v>4</v>
      </c>
      <c r="J694">
        <v>1588.49</v>
      </c>
      <c r="K694">
        <v>0.08</v>
      </c>
      <c r="L694">
        <v>5845.64</v>
      </c>
      <c r="M694" t="s">
        <v>76</v>
      </c>
      <c r="N694" t="s">
        <v>49</v>
      </c>
      <c r="O694" t="s">
        <v>65</v>
      </c>
      <c r="P694" t="s">
        <v>72</v>
      </c>
      <c r="Q694" t="str">
        <f t="shared" si="70"/>
        <v>Completed</v>
      </c>
      <c r="R694" t="str">
        <f t="shared" si="71"/>
        <v>Store</v>
      </c>
      <c r="S694" t="str">
        <v>Net Banking</v>
      </c>
      <c r="T694" t="str">
        <v>Furniture</v>
      </c>
      <c r="U694" t="str">
        <f t="shared" si="72"/>
        <v>VALID</v>
      </c>
      <c r="V694" t="str">
        <f t="shared" si="73"/>
        <v>NORMAL</v>
      </c>
      <c r="W694" t="str">
        <f t="shared" si="74"/>
        <v>Valid</v>
      </c>
      <c r="X694">
        <f t="shared" si="76"/>
        <v>6353.96</v>
      </c>
      <c r="Y694">
        <f t="shared" si="75"/>
        <v>5845.6432000000004</v>
      </c>
    </row>
    <row r="695" spans="1:25" x14ac:dyDescent="0.3">
      <c r="A695" t="s">
        <v>1026</v>
      </c>
      <c r="B695" s="1">
        <v>45411</v>
      </c>
      <c r="C695" t="s">
        <v>963</v>
      </c>
      <c r="D695" t="s">
        <v>121</v>
      </c>
      <c r="E695" t="s">
        <v>122</v>
      </c>
      <c r="F695" t="s">
        <v>55</v>
      </c>
      <c r="G695" t="s">
        <v>56</v>
      </c>
      <c r="H695" t="s">
        <v>57</v>
      </c>
      <c r="I695">
        <v>4</v>
      </c>
      <c r="J695">
        <v>427.52</v>
      </c>
      <c r="K695">
        <v>0.05</v>
      </c>
      <c r="L695">
        <v>1624.58</v>
      </c>
      <c r="M695" t="s">
        <v>23</v>
      </c>
      <c r="N695" t="s">
        <v>58</v>
      </c>
      <c r="O695" t="s">
        <v>35</v>
      </c>
      <c r="Q695" t="str">
        <f t="shared" si="70"/>
        <v>Cancelled</v>
      </c>
      <c r="R695" t="str">
        <f t="shared" si="71"/>
        <v>Online</v>
      </c>
      <c r="S695" t="str">
        <v>Credit Card</v>
      </c>
      <c r="T695" t="str">
        <v>Stationery</v>
      </c>
      <c r="U695" t="str">
        <f t="shared" si="72"/>
        <v>VALID</v>
      </c>
      <c r="V695" t="str">
        <f t="shared" si="73"/>
        <v>NORMAL</v>
      </c>
      <c r="W695" t="str">
        <f t="shared" si="74"/>
        <v>Valid</v>
      </c>
      <c r="X695">
        <f t="shared" si="76"/>
        <v>1710.08</v>
      </c>
      <c r="Y695">
        <f t="shared" si="75"/>
        <v>1624.576</v>
      </c>
    </row>
    <row r="696" spans="1:25" x14ac:dyDescent="0.3">
      <c r="A696" t="s">
        <v>1027</v>
      </c>
      <c r="B696" s="1">
        <v>46001</v>
      </c>
      <c r="C696" t="s">
        <v>514</v>
      </c>
      <c r="D696" t="s">
        <v>53</v>
      </c>
      <c r="E696" t="s">
        <v>54</v>
      </c>
      <c r="F696" t="s">
        <v>55</v>
      </c>
      <c r="G696" t="s">
        <v>32</v>
      </c>
      <c r="H696" t="s">
        <v>68</v>
      </c>
      <c r="I696">
        <v>5</v>
      </c>
      <c r="J696">
        <v>206.42</v>
      </c>
      <c r="K696">
        <v>0.2</v>
      </c>
      <c r="L696">
        <v>825.68</v>
      </c>
      <c r="M696" t="s">
        <v>23</v>
      </c>
      <c r="N696" t="s">
        <v>49</v>
      </c>
      <c r="O696" t="s">
        <v>65</v>
      </c>
      <c r="P696" t="s">
        <v>111</v>
      </c>
      <c r="Q696" t="str">
        <f t="shared" si="70"/>
        <v>Completed</v>
      </c>
      <c r="R696" t="str">
        <f t="shared" si="71"/>
        <v>Online</v>
      </c>
      <c r="S696" t="str">
        <v>Net Banking</v>
      </c>
      <c r="T696" t="str">
        <v>Stationery</v>
      </c>
      <c r="U696" t="str">
        <f t="shared" si="72"/>
        <v>VALID</v>
      </c>
      <c r="V696" t="str">
        <f t="shared" si="73"/>
        <v>NORMAL</v>
      </c>
      <c r="W696" t="str">
        <f t="shared" si="74"/>
        <v>Valid</v>
      </c>
      <c r="X696">
        <f t="shared" si="76"/>
        <v>1032.0999999999999</v>
      </c>
      <c r="Y696">
        <f t="shared" si="75"/>
        <v>825.68</v>
      </c>
    </row>
    <row r="697" spans="1:25" x14ac:dyDescent="0.3">
      <c r="A697" t="s">
        <v>1028</v>
      </c>
      <c r="B697" s="1">
        <v>45564</v>
      </c>
      <c r="C697" t="s">
        <v>695</v>
      </c>
      <c r="D697" t="s">
        <v>176</v>
      </c>
      <c r="E697" t="s">
        <v>177</v>
      </c>
      <c r="F697" t="s">
        <v>31</v>
      </c>
      <c r="G697" t="s">
        <v>32</v>
      </c>
      <c r="H697" t="s">
        <v>33</v>
      </c>
      <c r="I697">
        <v>5</v>
      </c>
      <c r="J697">
        <v>2053.84</v>
      </c>
      <c r="K697">
        <v>0.03</v>
      </c>
      <c r="L697">
        <v>9961.1200000000008</v>
      </c>
      <c r="M697" t="s">
        <v>48</v>
      </c>
      <c r="N697" t="s">
        <v>49</v>
      </c>
      <c r="O697" t="s">
        <v>25</v>
      </c>
      <c r="P697" t="s">
        <v>111</v>
      </c>
      <c r="Q697" t="str">
        <f t="shared" si="70"/>
        <v>Returned</v>
      </c>
      <c r="R697" t="str">
        <f t="shared" si="71"/>
        <v>Marketplace</v>
      </c>
      <c r="S697" t="str">
        <v>Net Banking</v>
      </c>
      <c r="T697" t="str">
        <v>Electronics</v>
      </c>
      <c r="U697" t="str">
        <f t="shared" si="72"/>
        <v>VALID</v>
      </c>
      <c r="V697" t="str">
        <f t="shared" si="73"/>
        <v>NORMAL</v>
      </c>
      <c r="W697" t="str">
        <f t="shared" si="74"/>
        <v>Valid</v>
      </c>
      <c r="X697">
        <f t="shared" si="76"/>
        <v>10269.200000000001</v>
      </c>
      <c r="Y697">
        <f t="shared" si="75"/>
        <v>9961.1239999999998</v>
      </c>
    </row>
    <row r="698" spans="1:25" x14ac:dyDescent="0.3">
      <c r="A698" t="s">
        <v>1029</v>
      </c>
      <c r="B698" s="1">
        <v>45666</v>
      </c>
      <c r="C698" t="s">
        <v>323</v>
      </c>
      <c r="D698" t="s">
        <v>18</v>
      </c>
      <c r="E698" t="s">
        <v>19</v>
      </c>
      <c r="F698" t="s">
        <v>20</v>
      </c>
      <c r="G698" t="s">
        <v>81</v>
      </c>
      <c r="H698" t="s">
        <v>135</v>
      </c>
      <c r="I698">
        <v>3</v>
      </c>
      <c r="J698">
        <v>874.67</v>
      </c>
      <c r="K698">
        <v>0</v>
      </c>
      <c r="L698">
        <v>2624.01</v>
      </c>
      <c r="M698" t="s">
        <v>23</v>
      </c>
      <c r="N698" t="s">
        <v>34</v>
      </c>
      <c r="O698" t="s">
        <v>65</v>
      </c>
      <c r="P698" t="s">
        <v>26</v>
      </c>
      <c r="Q698" t="str">
        <f t="shared" si="70"/>
        <v>Completed</v>
      </c>
      <c r="R698" t="str">
        <f t="shared" si="71"/>
        <v>Online</v>
      </c>
      <c r="S698" t="str">
        <v>Cash On Delivery</v>
      </c>
      <c r="T698" t="str">
        <v>Accessories</v>
      </c>
      <c r="U698" t="str">
        <f t="shared" si="72"/>
        <v>VALID</v>
      </c>
      <c r="V698" t="str">
        <f t="shared" si="73"/>
        <v>NORMAL</v>
      </c>
      <c r="W698" t="str">
        <f t="shared" si="74"/>
        <v>Valid</v>
      </c>
      <c r="X698">
        <f t="shared" si="76"/>
        <v>2624.0099999999998</v>
      </c>
      <c r="Y698">
        <f t="shared" si="75"/>
        <v>2624.0099999999998</v>
      </c>
    </row>
    <row r="699" spans="1:25" x14ac:dyDescent="0.3">
      <c r="A699" t="s">
        <v>1030</v>
      </c>
      <c r="B699" s="1">
        <v>45994</v>
      </c>
      <c r="C699" t="s">
        <v>28</v>
      </c>
      <c r="D699" t="s">
        <v>176</v>
      </c>
      <c r="E699" t="s">
        <v>177</v>
      </c>
      <c r="F699" t="s">
        <v>31</v>
      </c>
      <c r="G699" t="s">
        <v>56</v>
      </c>
      <c r="H699" t="s">
        <v>101</v>
      </c>
      <c r="I699">
        <v>4</v>
      </c>
      <c r="J699">
        <v>2193.48</v>
      </c>
      <c r="K699">
        <v>0.1</v>
      </c>
      <c r="L699">
        <v>7896.53</v>
      </c>
      <c r="M699" t="s">
        <v>23</v>
      </c>
      <c r="N699" t="s">
        <v>71</v>
      </c>
      <c r="O699" t="s">
        <v>65</v>
      </c>
      <c r="P699" t="s">
        <v>26</v>
      </c>
      <c r="Q699" t="str">
        <f t="shared" si="70"/>
        <v>Completed</v>
      </c>
      <c r="R699" t="str">
        <f t="shared" si="71"/>
        <v>Online</v>
      </c>
      <c r="S699" t="str">
        <v>Upi</v>
      </c>
      <c r="T699" t="str">
        <v>Electronics</v>
      </c>
      <c r="U699" t="str">
        <f t="shared" si="72"/>
        <v>VALID</v>
      </c>
      <c r="V699" t="str">
        <f t="shared" si="73"/>
        <v>NORMAL</v>
      </c>
      <c r="W699" t="str">
        <f t="shared" si="74"/>
        <v>Valid</v>
      </c>
      <c r="X699">
        <f t="shared" si="76"/>
        <v>8773.92</v>
      </c>
      <c r="Y699">
        <f t="shared" si="75"/>
        <v>7896.5280000000002</v>
      </c>
    </row>
    <row r="700" spans="1:25" x14ac:dyDescent="0.3">
      <c r="A700" t="s">
        <v>1031</v>
      </c>
      <c r="B700" s="1">
        <v>45673</v>
      </c>
      <c r="C700" t="s">
        <v>181</v>
      </c>
      <c r="D700" t="s">
        <v>38</v>
      </c>
      <c r="E700" t="s">
        <v>39</v>
      </c>
      <c r="F700" t="s">
        <v>40</v>
      </c>
      <c r="G700" t="s">
        <v>21</v>
      </c>
      <c r="H700" t="s">
        <v>22</v>
      </c>
      <c r="I700">
        <v>1</v>
      </c>
      <c r="J700">
        <v>1484.46</v>
      </c>
      <c r="K700">
        <v>0</v>
      </c>
      <c r="L700">
        <v>1484.46</v>
      </c>
      <c r="M700" t="s">
        <v>23</v>
      </c>
      <c r="N700" t="s">
        <v>24</v>
      </c>
      <c r="O700" t="s">
        <v>25</v>
      </c>
      <c r="P700" t="s">
        <v>26</v>
      </c>
      <c r="Q700" t="str">
        <f t="shared" si="70"/>
        <v>Returned</v>
      </c>
      <c r="R700" t="str">
        <f t="shared" si="71"/>
        <v>Online</v>
      </c>
      <c r="S700" t="str">
        <v>Debit Card</v>
      </c>
      <c r="T700" t="str">
        <v>Furniture</v>
      </c>
      <c r="U700" t="str">
        <f t="shared" si="72"/>
        <v>VALID</v>
      </c>
      <c r="V700" t="str">
        <f t="shared" si="73"/>
        <v>NORMAL</v>
      </c>
      <c r="W700" t="str">
        <f t="shared" si="74"/>
        <v>Valid</v>
      </c>
      <c r="X700">
        <f t="shared" si="76"/>
        <v>1484.46</v>
      </c>
      <c r="Y700">
        <f t="shared" si="75"/>
        <v>1484.46</v>
      </c>
    </row>
    <row r="701" spans="1:25" x14ac:dyDescent="0.3">
      <c r="A701" t="s">
        <v>1032</v>
      </c>
      <c r="B701" s="1">
        <v>45742</v>
      </c>
      <c r="C701" t="s">
        <v>539</v>
      </c>
      <c r="D701" t="s">
        <v>45</v>
      </c>
      <c r="E701" t="s">
        <v>46</v>
      </c>
      <c r="F701" t="s">
        <v>31</v>
      </c>
      <c r="G701" t="s">
        <v>56</v>
      </c>
      <c r="H701" t="s">
        <v>123</v>
      </c>
      <c r="I701">
        <v>3</v>
      </c>
      <c r="J701">
        <v>1938.24</v>
      </c>
      <c r="K701">
        <v>0.03</v>
      </c>
      <c r="L701">
        <v>5640.28</v>
      </c>
      <c r="M701" t="s">
        <v>23</v>
      </c>
      <c r="N701" t="s">
        <v>49</v>
      </c>
      <c r="O701" t="s">
        <v>65</v>
      </c>
      <c r="P701" t="s">
        <v>42</v>
      </c>
      <c r="Q701" t="str">
        <f t="shared" si="70"/>
        <v>Completed</v>
      </c>
      <c r="R701" t="str">
        <f t="shared" si="71"/>
        <v>Online</v>
      </c>
      <c r="S701" t="str">
        <v>Net Banking</v>
      </c>
      <c r="T701" t="str">
        <v>Electronics</v>
      </c>
      <c r="U701" t="str">
        <f t="shared" si="72"/>
        <v>VALID</v>
      </c>
      <c r="V701" t="str">
        <f t="shared" si="73"/>
        <v>NORMAL</v>
      </c>
      <c r="W701" t="str">
        <f t="shared" si="74"/>
        <v>Valid</v>
      </c>
      <c r="X701">
        <f t="shared" si="76"/>
        <v>5814.72</v>
      </c>
      <c r="Y701">
        <f t="shared" si="75"/>
        <v>5640.2784000000001</v>
      </c>
    </row>
    <row r="702" spans="1:25" x14ac:dyDescent="0.3">
      <c r="A702" t="s">
        <v>1033</v>
      </c>
      <c r="B702" s="1">
        <v>45491</v>
      </c>
      <c r="C702" t="s">
        <v>299</v>
      </c>
      <c r="D702" t="s">
        <v>96</v>
      </c>
      <c r="E702" t="s">
        <v>97</v>
      </c>
      <c r="F702" t="s">
        <v>31</v>
      </c>
      <c r="G702" t="s">
        <v>56</v>
      </c>
      <c r="H702" t="s">
        <v>123</v>
      </c>
      <c r="I702">
        <v>4</v>
      </c>
      <c r="J702">
        <v>1233.74</v>
      </c>
      <c r="K702">
        <v>0.03</v>
      </c>
      <c r="L702">
        <v>4786.91</v>
      </c>
      <c r="M702" t="s">
        <v>23</v>
      </c>
      <c r="N702" t="s">
        <v>71</v>
      </c>
      <c r="O702" t="s">
        <v>35</v>
      </c>
      <c r="P702" t="s">
        <v>111</v>
      </c>
      <c r="Q702" t="str">
        <f t="shared" si="70"/>
        <v>Cancelled</v>
      </c>
      <c r="R702" t="str">
        <f t="shared" si="71"/>
        <v>Online</v>
      </c>
      <c r="S702" t="str">
        <v>Upi</v>
      </c>
      <c r="T702" t="str">
        <v>Electronics</v>
      </c>
      <c r="U702" t="str">
        <f t="shared" si="72"/>
        <v>VALID</v>
      </c>
      <c r="V702" t="str">
        <f t="shared" si="73"/>
        <v>NORMAL</v>
      </c>
      <c r="W702" t="str">
        <f t="shared" si="74"/>
        <v>Valid</v>
      </c>
      <c r="X702">
        <f t="shared" si="76"/>
        <v>4934.96</v>
      </c>
      <c r="Y702">
        <f t="shared" si="75"/>
        <v>4786.9112000000005</v>
      </c>
    </row>
    <row r="703" spans="1:25" x14ac:dyDescent="0.3">
      <c r="A703" t="s">
        <v>1034</v>
      </c>
      <c r="B703" s="1">
        <v>45994</v>
      </c>
      <c r="C703" t="s">
        <v>404</v>
      </c>
      <c r="D703" t="s">
        <v>53</v>
      </c>
      <c r="E703" t="s">
        <v>54</v>
      </c>
      <c r="F703" t="s">
        <v>55</v>
      </c>
      <c r="G703" t="s">
        <v>21</v>
      </c>
      <c r="H703" t="s">
        <v>41</v>
      </c>
      <c r="I703">
        <v>2</v>
      </c>
      <c r="J703">
        <v>227.17</v>
      </c>
      <c r="K703">
        <v>0</v>
      </c>
      <c r="L703">
        <v>454.34</v>
      </c>
      <c r="M703" t="s">
        <v>48</v>
      </c>
      <c r="N703" t="s">
        <v>58</v>
      </c>
      <c r="O703" t="s">
        <v>65</v>
      </c>
      <c r="P703" t="s">
        <v>42</v>
      </c>
      <c r="Q703" t="str">
        <f t="shared" si="70"/>
        <v>Completed</v>
      </c>
      <c r="R703" t="str">
        <f t="shared" si="71"/>
        <v>Marketplace</v>
      </c>
      <c r="S703" t="str">
        <v>Credit Card</v>
      </c>
      <c r="T703" t="str">
        <v>Stationery</v>
      </c>
      <c r="U703" t="str">
        <f t="shared" si="72"/>
        <v>VALID</v>
      </c>
      <c r="V703" t="str">
        <f t="shared" si="73"/>
        <v>NORMAL</v>
      </c>
      <c r="W703" t="str">
        <f t="shared" si="74"/>
        <v>Valid</v>
      </c>
      <c r="X703">
        <f t="shared" si="76"/>
        <v>454.34</v>
      </c>
      <c r="Y703">
        <f t="shared" si="75"/>
        <v>454.34</v>
      </c>
    </row>
    <row r="704" spans="1:25" x14ac:dyDescent="0.3">
      <c r="A704" t="s">
        <v>1035</v>
      </c>
      <c r="B704" s="1">
        <v>46091</v>
      </c>
      <c r="C704" t="s">
        <v>115</v>
      </c>
      <c r="D704" t="s">
        <v>38</v>
      </c>
      <c r="E704" t="s">
        <v>39</v>
      </c>
      <c r="F704" t="s">
        <v>40</v>
      </c>
      <c r="G704" t="s">
        <v>81</v>
      </c>
      <c r="H704" t="s">
        <v>98</v>
      </c>
      <c r="I704">
        <v>1</v>
      </c>
      <c r="J704">
        <v>1665.29</v>
      </c>
      <c r="K704">
        <v>0.08</v>
      </c>
      <c r="L704">
        <v>1532.07</v>
      </c>
      <c r="M704" t="s">
        <v>23</v>
      </c>
      <c r="N704" t="s">
        <v>49</v>
      </c>
      <c r="O704" t="s">
        <v>65</v>
      </c>
      <c r="P704" t="s">
        <v>102</v>
      </c>
      <c r="Q704" t="str">
        <f t="shared" si="70"/>
        <v>Completed</v>
      </c>
      <c r="R704" t="str">
        <f t="shared" si="71"/>
        <v>Online</v>
      </c>
      <c r="S704" t="str">
        <v>Net Banking</v>
      </c>
      <c r="T704" t="str">
        <v>Furniture</v>
      </c>
      <c r="U704" t="str">
        <f t="shared" si="72"/>
        <v>VALID</v>
      </c>
      <c r="V704" t="str">
        <f t="shared" si="73"/>
        <v>NORMAL</v>
      </c>
      <c r="W704" t="str">
        <f t="shared" si="74"/>
        <v>Valid</v>
      </c>
      <c r="X704">
        <f t="shared" si="76"/>
        <v>1665.29</v>
      </c>
      <c r="Y704">
        <f t="shared" si="75"/>
        <v>1532.0668000000001</v>
      </c>
    </row>
    <row r="705" spans="1:25" x14ac:dyDescent="0.3">
      <c r="A705" t="s">
        <v>1036</v>
      </c>
      <c r="B705" s="1">
        <v>45817</v>
      </c>
      <c r="C705" t="s">
        <v>74</v>
      </c>
      <c r="D705" t="s">
        <v>53</v>
      </c>
      <c r="E705" t="s">
        <v>54</v>
      </c>
      <c r="F705" t="s">
        <v>55</v>
      </c>
      <c r="G705" t="s">
        <v>56</v>
      </c>
      <c r="H705" t="s">
        <v>123</v>
      </c>
      <c r="I705">
        <v>1</v>
      </c>
      <c r="J705">
        <v>208.13</v>
      </c>
      <c r="K705">
        <v>0.2</v>
      </c>
      <c r="L705">
        <v>166.5</v>
      </c>
      <c r="M705" t="s">
        <v>76</v>
      </c>
      <c r="N705" t="s">
        <v>34</v>
      </c>
      <c r="O705" t="s">
        <v>25</v>
      </c>
      <c r="P705" t="s">
        <v>50</v>
      </c>
      <c r="Q705" t="str">
        <f t="shared" si="70"/>
        <v>Returned</v>
      </c>
      <c r="R705" t="str">
        <f t="shared" si="71"/>
        <v>Store</v>
      </c>
      <c r="S705" t="str">
        <v>Cash On Delivery</v>
      </c>
      <c r="T705" t="str">
        <v>Stationery</v>
      </c>
      <c r="U705" t="str">
        <f t="shared" si="72"/>
        <v>VALID</v>
      </c>
      <c r="V705" t="str">
        <f t="shared" si="73"/>
        <v>NORMAL</v>
      </c>
      <c r="W705" t="str">
        <f t="shared" si="74"/>
        <v>Valid</v>
      </c>
      <c r="X705">
        <f t="shared" si="76"/>
        <v>208.13</v>
      </c>
      <c r="Y705">
        <f t="shared" si="75"/>
        <v>166.50399999999999</v>
      </c>
    </row>
    <row r="706" spans="1:25" x14ac:dyDescent="0.3">
      <c r="A706" t="s">
        <v>1037</v>
      </c>
      <c r="B706" s="1">
        <v>45572</v>
      </c>
      <c r="C706" t="s">
        <v>297</v>
      </c>
      <c r="D706" t="s">
        <v>38</v>
      </c>
      <c r="E706" t="s">
        <v>39</v>
      </c>
      <c r="F706" t="s">
        <v>40</v>
      </c>
      <c r="G706" t="s">
        <v>32</v>
      </c>
      <c r="H706" t="s">
        <v>75</v>
      </c>
      <c r="I706">
        <v>1</v>
      </c>
      <c r="J706">
        <v>1491.28</v>
      </c>
      <c r="K706">
        <v>0.15</v>
      </c>
      <c r="L706">
        <v>1267.5899999999999</v>
      </c>
      <c r="M706" t="s">
        <v>48</v>
      </c>
      <c r="N706" t="s">
        <v>49</v>
      </c>
      <c r="O706" t="s">
        <v>35</v>
      </c>
      <c r="P706" t="s">
        <v>102</v>
      </c>
      <c r="Q706" t="str">
        <f t="shared" si="70"/>
        <v>Cancelled</v>
      </c>
      <c r="R706" t="str">
        <f t="shared" si="71"/>
        <v>Marketplace</v>
      </c>
      <c r="S706" t="str">
        <v>Net Banking</v>
      </c>
      <c r="T706" t="str">
        <v>Furniture</v>
      </c>
      <c r="U706" t="str">
        <f t="shared" si="72"/>
        <v>VALID</v>
      </c>
      <c r="V706" t="str">
        <f t="shared" si="73"/>
        <v>NORMAL</v>
      </c>
      <c r="W706" t="str">
        <f t="shared" si="74"/>
        <v>Valid</v>
      </c>
      <c r="X706">
        <f t="shared" si="76"/>
        <v>1491.28</v>
      </c>
      <c r="Y706">
        <f t="shared" si="75"/>
        <v>1267.588</v>
      </c>
    </row>
    <row r="707" spans="1:25" x14ac:dyDescent="0.3">
      <c r="A707" t="s">
        <v>1038</v>
      </c>
      <c r="B707" s="1">
        <v>46067</v>
      </c>
      <c r="C707" t="s">
        <v>715</v>
      </c>
      <c r="D707" t="s">
        <v>18</v>
      </c>
      <c r="E707" t="s">
        <v>19</v>
      </c>
      <c r="F707" t="s">
        <v>20</v>
      </c>
      <c r="G707" t="s">
        <v>32</v>
      </c>
      <c r="H707" t="s">
        <v>75</v>
      </c>
      <c r="I707">
        <v>4</v>
      </c>
      <c r="J707">
        <v>886.59</v>
      </c>
      <c r="K707">
        <v>0.1</v>
      </c>
      <c r="L707">
        <v>3191.72</v>
      </c>
      <c r="M707" t="s">
        <v>76</v>
      </c>
      <c r="N707" t="s">
        <v>34</v>
      </c>
      <c r="O707" t="s">
        <v>65</v>
      </c>
      <c r="P707" t="s">
        <v>26</v>
      </c>
      <c r="Q707" t="str">
        <f t="shared" ref="Q707:Q770" si="77">PROPER(O707)</f>
        <v>Completed</v>
      </c>
      <c r="R707" t="str">
        <f t="shared" ref="R707:R770" si="78">PROPER(M707)</f>
        <v>Store</v>
      </c>
      <c r="S707" t="str">
        <v>Cash On Delivery</v>
      </c>
      <c r="T707" t="str">
        <v>Accessories</v>
      </c>
      <c r="U707" t="str">
        <f t="shared" ref="U707:U770" si="79">IF(I707&lt;=0,"INVALID","VALID")</f>
        <v>VALID</v>
      </c>
      <c r="V707" t="str">
        <f t="shared" ref="V707:V770" si="80">IF(I707&gt;100,"REVIEW","NORMAL")</f>
        <v>NORMAL</v>
      </c>
      <c r="W707" t="str">
        <f t="shared" ref="W707:W770" si="81">IF(OR(K707&lt;0,K707&gt;1),"Invalid","Valid")</f>
        <v>Valid</v>
      </c>
      <c r="X707">
        <f t="shared" si="76"/>
        <v>3546.36</v>
      </c>
      <c r="Y707">
        <f t="shared" ref="Y707:Y770" si="82">I707*J707-(I707*J707*K707)</f>
        <v>3191.7240000000002</v>
      </c>
    </row>
    <row r="708" spans="1:25" x14ac:dyDescent="0.3">
      <c r="A708" t="s">
        <v>1039</v>
      </c>
      <c r="B708" s="1">
        <v>45460</v>
      </c>
      <c r="C708" t="s">
        <v>623</v>
      </c>
      <c r="D708" t="s">
        <v>62</v>
      </c>
      <c r="E708" t="s">
        <v>63</v>
      </c>
      <c r="F708" t="s">
        <v>31</v>
      </c>
      <c r="G708" t="s">
        <v>32</v>
      </c>
      <c r="H708" t="s">
        <v>68</v>
      </c>
      <c r="I708">
        <v>2</v>
      </c>
      <c r="J708">
        <v>2902.96</v>
      </c>
      <c r="K708">
        <v>0.2</v>
      </c>
      <c r="L708">
        <v>4644.74</v>
      </c>
      <c r="M708" t="s">
        <v>23</v>
      </c>
      <c r="N708" t="s">
        <v>24</v>
      </c>
      <c r="O708" t="s">
        <v>65</v>
      </c>
      <c r="P708" t="s">
        <v>50</v>
      </c>
      <c r="Q708" t="str">
        <f t="shared" si="77"/>
        <v>Completed</v>
      </c>
      <c r="R708" t="str">
        <f t="shared" si="78"/>
        <v>Online</v>
      </c>
      <c r="S708" t="str">
        <v>Debit Card</v>
      </c>
      <c r="T708" t="str">
        <v>Electronics</v>
      </c>
      <c r="U708" t="str">
        <f t="shared" si="79"/>
        <v>VALID</v>
      </c>
      <c r="V708" t="str">
        <f t="shared" si="80"/>
        <v>NORMAL</v>
      </c>
      <c r="W708" t="str">
        <f t="shared" si="81"/>
        <v>Valid</v>
      </c>
      <c r="X708">
        <f t="shared" ref="X708:X771" si="83">I708*J708</f>
        <v>5805.92</v>
      </c>
      <c r="Y708">
        <f t="shared" si="82"/>
        <v>4644.7359999999999</v>
      </c>
    </row>
    <row r="709" spans="1:25" x14ac:dyDescent="0.3">
      <c r="A709" t="s">
        <v>1040</v>
      </c>
      <c r="B709" s="1">
        <v>46183</v>
      </c>
      <c r="C709" t="s">
        <v>204</v>
      </c>
      <c r="D709" t="s">
        <v>62</v>
      </c>
      <c r="E709" t="s">
        <v>63</v>
      </c>
      <c r="F709" t="s">
        <v>31</v>
      </c>
      <c r="G709" t="s">
        <v>56</v>
      </c>
      <c r="H709" t="s">
        <v>123</v>
      </c>
      <c r="J709">
        <v>2724.5</v>
      </c>
      <c r="K709">
        <v>0.03</v>
      </c>
      <c r="L709">
        <v>5285.53</v>
      </c>
      <c r="M709" t="s">
        <v>76</v>
      </c>
      <c r="N709" t="s">
        <v>49</v>
      </c>
      <c r="O709" t="s">
        <v>65</v>
      </c>
      <c r="P709" t="s">
        <v>102</v>
      </c>
      <c r="Q709" t="str">
        <f t="shared" si="77"/>
        <v>Completed</v>
      </c>
      <c r="R709" t="str">
        <f t="shared" si="78"/>
        <v>Store</v>
      </c>
      <c r="S709" t="str">
        <v>Net Banking</v>
      </c>
      <c r="T709" t="str">
        <v>Electronics</v>
      </c>
      <c r="U709" t="str">
        <f t="shared" si="79"/>
        <v>INVALID</v>
      </c>
      <c r="V709" t="str">
        <f t="shared" si="80"/>
        <v>NORMAL</v>
      </c>
      <c r="W709" t="str">
        <f t="shared" si="81"/>
        <v>Valid</v>
      </c>
      <c r="X709">
        <f t="shared" si="83"/>
        <v>0</v>
      </c>
      <c r="Y709">
        <f t="shared" si="82"/>
        <v>0</v>
      </c>
    </row>
    <row r="710" spans="1:25" x14ac:dyDescent="0.3">
      <c r="A710" t="s">
        <v>1041</v>
      </c>
      <c r="B710" s="1">
        <v>45878</v>
      </c>
      <c r="C710" t="s">
        <v>373</v>
      </c>
      <c r="D710" t="s">
        <v>89</v>
      </c>
      <c r="E710" t="s">
        <v>90</v>
      </c>
      <c r="F710" t="s">
        <v>20</v>
      </c>
      <c r="G710" t="s">
        <v>56</v>
      </c>
      <c r="H710" t="s">
        <v>57</v>
      </c>
      <c r="I710">
        <v>4</v>
      </c>
      <c r="J710">
        <v>680.04</v>
      </c>
      <c r="K710">
        <v>0.05</v>
      </c>
      <c r="L710">
        <v>2584.15</v>
      </c>
      <c r="M710" t="s">
        <v>48</v>
      </c>
      <c r="N710" t="s">
        <v>34</v>
      </c>
      <c r="O710" t="s">
        <v>65</v>
      </c>
      <c r="Q710" t="str">
        <f t="shared" si="77"/>
        <v>Completed</v>
      </c>
      <c r="R710" t="str">
        <f t="shared" si="78"/>
        <v>Marketplace</v>
      </c>
      <c r="S710" t="str">
        <v>Cash On Delivery</v>
      </c>
      <c r="T710" t="str">
        <v>Accessories</v>
      </c>
      <c r="U710" t="str">
        <f t="shared" si="79"/>
        <v>VALID</v>
      </c>
      <c r="V710" t="str">
        <f t="shared" si="80"/>
        <v>NORMAL</v>
      </c>
      <c r="W710" t="str">
        <f t="shared" si="81"/>
        <v>Valid</v>
      </c>
      <c r="X710">
        <f t="shared" si="83"/>
        <v>2720.16</v>
      </c>
      <c r="Y710">
        <f t="shared" si="82"/>
        <v>2584.152</v>
      </c>
    </row>
    <row r="711" spans="1:25" x14ac:dyDescent="0.3">
      <c r="A711" t="s">
        <v>1042</v>
      </c>
      <c r="B711" s="1">
        <v>45389</v>
      </c>
      <c r="C711" t="s">
        <v>583</v>
      </c>
      <c r="D711" t="s">
        <v>96</v>
      </c>
      <c r="E711" t="s">
        <v>97</v>
      </c>
      <c r="F711" t="s">
        <v>31</v>
      </c>
      <c r="G711" t="s">
        <v>32</v>
      </c>
      <c r="H711" t="s">
        <v>75</v>
      </c>
      <c r="I711">
        <v>1</v>
      </c>
      <c r="J711">
        <v>1162.3</v>
      </c>
      <c r="K711">
        <v>0.2</v>
      </c>
      <c r="L711">
        <v>929.84</v>
      </c>
      <c r="M711" t="s">
        <v>48</v>
      </c>
      <c r="N711" t="s">
        <v>24</v>
      </c>
      <c r="O711" t="s">
        <v>35</v>
      </c>
      <c r="P711" t="s">
        <v>42</v>
      </c>
      <c r="Q711" t="str">
        <f t="shared" si="77"/>
        <v>Cancelled</v>
      </c>
      <c r="R711" t="str">
        <f t="shared" si="78"/>
        <v>Marketplace</v>
      </c>
      <c r="S711" t="str">
        <v>Debit Card</v>
      </c>
      <c r="T711" t="str">
        <v>Electronics</v>
      </c>
      <c r="U711" t="str">
        <f t="shared" si="79"/>
        <v>VALID</v>
      </c>
      <c r="V711" t="str">
        <f t="shared" si="80"/>
        <v>NORMAL</v>
      </c>
      <c r="W711" t="str">
        <f t="shared" si="81"/>
        <v>Valid</v>
      </c>
      <c r="X711">
        <f t="shared" si="83"/>
        <v>1162.3</v>
      </c>
      <c r="Y711">
        <f t="shared" si="82"/>
        <v>929.83999999999992</v>
      </c>
    </row>
    <row r="712" spans="1:25" x14ac:dyDescent="0.3">
      <c r="A712" t="s">
        <v>1043</v>
      </c>
      <c r="B712" s="1">
        <v>45795</v>
      </c>
      <c r="C712" t="s">
        <v>110</v>
      </c>
      <c r="D712" t="s">
        <v>131</v>
      </c>
      <c r="E712" t="s">
        <v>132</v>
      </c>
      <c r="F712" t="s">
        <v>40</v>
      </c>
      <c r="G712" t="s">
        <v>21</v>
      </c>
      <c r="H712" t="s">
        <v>126</v>
      </c>
      <c r="I712">
        <v>1</v>
      </c>
      <c r="J712">
        <v>9418.83</v>
      </c>
      <c r="K712">
        <v>0.08</v>
      </c>
      <c r="L712">
        <v>8665.32</v>
      </c>
      <c r="M712" t="s">
        <v>76</v>
      </c>
      <c r="N712" t="s">
        <v>58</v>
      </c>
      <c r="O712" t="s">
        <v>65</v>
      </c>
      <c r="P712" t="s">
        <v>26</v>
      </c>
      <c r="Q712" t="str">
        <f t="shared" si="77"/>
        <v>Completed</v>
      </c>
      <c r="R712" t="str">
        <f t="shared" si="78"/>
        <v>Store</v>
      </c>
      <c r="S712" t="str">
        <v>Credit Card</v>
      </c>
      <c r="T712" t="str">
        <v>Furniture</v>
      </c>
      <c r="U712" t="str">
        <f t="shared" si="79"/>
        <v>VALID</v>
      </c>
      <c r="V712" t="str">
        <f t="shared" si="80"/>
        <v>NORMAL</v>
      </c>
      <c r="W712" t="str">
        <f t="shared" si="81"/>
        <v>Valid</v>
      </c>
      <c r="X712">
        <f t="shared" si="83"/>
        <v>9418.83</v>
      </c>
      <c r="Y712">
        <f t="shared" si="82"/>
        <v>8665.3235999999997</v>
      </c>
    </row>
    <row r="713" spans="1:25" x14ac:dyDescent="0.3">
      <c r="A713" t="s">
        <v>1044</v>
      </c>
      <c r="B713" s="1">
        <v>46148</v>
      </c>
      <c r="C713" t="s">
        <v>391</v>
      </c>
      <c r="D713" t="s">
        <v>18</v>
      </c>
      <c r="E713" t="s">
        <v>19</v>
      </c>
      <c r="F713" t="s">
        <v>20</v>
      </c>
      <c r="G713" t="s">
        <v>21</v>
      </c>
      <c r="H713" t="s">
        <v>126</v>
      </c>
      <c r="I713">
        <v>5</v>
      </c>
      <c r="J713">
        <v>796.86</v>
      </c>
      <c r="K713">
        <v>0.2</v>
      </c>
      <c r="L713">
        <v>3187.44</v>
      </c>
      <c r="M713" t="s">
        <v>23</v>
      </c>
      <c r="N713" t="s">
        <v>34</v>
      </c>
      <c r="O713" t="s">
        <v>25</v>
      </c>
      <c r="P713" t="s">
        <v>42</v>
      </c>
      <c r="Q713" t="str">
        <f t="shared" si="77"/>
        <v>Returned</v>
      </c>
      <c r="R713" t="str">
        <f t="shared" si="78"/>
        <v>Online</v>
      </c>
      <c r="S713" t="str">
        <v>Cash On Delivery</v>
      </c>
      <c r="T713" t="str">
        <v>Accessories</v>
      </c>
      <c r="U713" t="str">
        <f t="shared" si="79"/>
        <v>VALID</v>
      </c>
      <c r="V713" t="str">
        <f t="shared" si="80"/>
        <v>NORMAL</v>
      </c>
      <c r="W713" t="str">
        <f t="shared" si="81"/>
        <v>Valid</v>
      </c>
      <c r="X713">
        <f t="shared" si="83"/>
        <v>3984.3</v>
      </c>
      <c r="Y713">
        <f t="shared" si="82"/>
        <v>3187.44</v>
      </c>
    </row>
    <row r="714" spans="1:25" x14ac:dyDescent="0.3">
      <c r="A714" t="s">
        <v>1045</v>
      </c>
      <c r="B714" s="1">
        <v>45726</v>
      </c>
      <c r="C714" t="s">
        <v>216</v>
      </c>
      <c r="D714" t="s">
        <v>45</v>
      </c>
      <c r="E714" t="s">
        <v>46</v>
      </c>
      <c r="F714" t="s">
        <v>31</v>
      </c>
      <c r="G714" t="s">
        <v>81</v>
      </c>
      <c r="H714" t="s">
        <v>82</v>
      </c>
      <c r="I714">
        <v>2</v>
      </c>
      <c r="J714">
        <v>1784.79</v>
      </c>
      <c r="K714">
        <v>0.05</v>
      </c>
      <c r="L714">
        <v>3391.1</v>
      </c>
      <c r="M714" t="s">
        <v>23</v>
      </c>
      <c r="N714" t="s">
        <v>24</v>
      </c>
      <c r="O714" t="s">
        <v>65</v>
      </c>
      <c r="P714" t="s">
        <v>26</v>
      </c>
      <c r="Q714" t="str">
        <f t="shared" si="77"/>
        <v>Completed</v>
      </c>
      <c r="R714" t="str">
        <f t="shared" si="78"/>
        <v>Online</v>
      </c>
      <c r="S714" t="str">
        <v>Debit Card</v>
      </c>
      <c r="T714" t="str">
        <v>Electronics</v>
      </c>
      <c r="U714" t="str">
        <f t="shared" si="79"/>
        <v>VALID</v>
      </c>
      <c r="V714" t="str">
        <f t="shared" si="80"/>
        <v>NORMAL</v>
      </c>
      <c r="W714" t="str">
        <f t="shared" si="81"/>
        <v>Valid</v>
      </c>
      <c r="X714">
        <f t="shared" si="83"/>
        <v>3569.58</v>
      </c>
      <c r="Y714">
        <f t="shared" si="82"/>
        <v>3391.1010000000001</v>
      </c>
    </row>
    <row r="715" spans="1:25" x14ac:dyDescent="0.3">
      <c r="A715" t="s">
        <v>1046</v>
      </c>
      <c r="B715" s="1">
        <v>45883</v>
      </c>
      <c r="C715" t="s">
        <v>416</v>
      </c>
      <c r="D715" t="s">
        <v>89</v>
      </c>
      <c r="E715" t="s">
        <v>90</v>
      </c>
      <c r="F715" t="s">
        <v>20</v>
      </c>
      <c r="G715" t="s">
        <v>81</v>
      </c>
      <c r="H715" t="s">
        <v>98</v>
      </c>
      <c r="I715">
        <v>5</v>
      </c>
      <c r="J715">
        <v>721.25</v>
      </c>
      <c r="K715">
        <v>0.05</v>
      </c>
      <c r="L715">
        <v>3425.94</v>
      </c>
      <c r="M715" t="s">
        <v>48</v>
      </c>
      <c r="N715" t="s">
        <v>58</v>
      </c>
      <c r="O715" t="s">
        <v>65</v>
      </c>
      <c r="P715" t="s">
        <v>50</v>
      </c>
      <c r="Q715" t="str">
        <f t="shared" si="77"/>
        <v>Completed</v>
      </c>
      <c r="R715" t="str">
        <f t="shared" si="78"/>
        <v>Marketplace</v>
      </c>
      <c r="S715" t="str">
        <v>Credit Card</v>
      </c>
      <c r="T715" t="str">
        <v>Accessories</v>
      </c>
      <c r="U715" t="str">
        <f t="shared" si="79"/>
        <v>VALID</v>
      </c>
      <c r="V715" t="str">
        <f t="shared" si="80"/>
        <v>NORMAL</v>
      </c>
      <c r="W715" t="str">
        <f t="shared" si="81"/>
        <v>Valid</v>
      </c>
      <c r="X715">
        <f t="shared" si="83"/>
        <v>3606.25</v>
      </c>
      <c r="Y715">
        <f t="shared" si="82"/>
        <v>3425.9375</v>
      </c>
    </row>
    <row r="716" spans="1:25" x14ac:dyDescent="0.3">
      <c r="A716" t="s">
        <v>1047</v>
      </c>
      <c r="B716" s="1">
        <v>45405</v>
      </c>
      <c r="C716" t="s">
        <v>462</v>
      </c>
      <c r="D716" t="s">
        <v>170</v>
      </c>
      <c r="E716" t="s">
        <v>171</v>
      </c>
      <c r="F716" t="s">
        <v>31</v>
      </c>
      <c r="G716" t="s">
        <v>81</v>
      </c>
      <c r="H716" t="s">
        <v>82</v>
      </c>
      <c r="I716">
        <v>3</v>
      </c>
      <c r="J716">
        <v>62638.57</v>
      </c>
      <c r="K716">
        <v>0.08</v>
      </c>
      <c r="L716">
        <v>172882.45</v>
      </c>
      <c r="M716" t="s">
        <v>48</v>
      </c>
      <c r="N716" t="s">
        <v>49</v>
      </c>
      <c r="O716" t="s">
        <v>25</v>
      </c>
      <c r="P716" t="s">
        <v>50</v>
      </c>
      <c r="Q716" t="str">
        <f t="shared" si="77"/>
        <v>Returned</v>
      </c>
      <c r="R716" t="str">
        <f t="shared" si="78"/>
        <v>Marketplace</v>
      </c>
      <c r="S716" t="str">
        <v>Net Banking</v>
      </c>
      <c r="T716" t="str">
        <v>Electronics</v>
      </c>
      <c r="U716" t="str">
        <f t="shared" si="79"/>
        <v>VALID</v>
      </c>
      <c r="V716" t="str">
        <f t="shared" si="80"/>
        <v>NORMAL</v>
      </c>
      <c r="W716" t="str">
        <f t="shared" si="81"/>
        <v>Valid</v>
      </c>
      <c r="X716">
        <f t="shared" si="83"/>
        <v>187915.71</v>
      </c>
      <c r="Y716">
        <f t="shared" si="82"/>
        <v>172882.45319999999</v>
      </c>
    </row>
    <row r="717" spans="1:25" x14ac:dyDescent="0.3">
      <c r="A717" t="s">
        <v>1048</v>
      </c>
      <c r="B717" s="1">
        <v>45488</v>
      </c>
      <c r="C717" t="s">
        <v>365</v>
      </c>
      <c r="D717" t="s">
        <v>18</v>
      </c>
      <c r="E717" t="s">
        <v>19</v>
      </c>
      <c r="F717" t="s">
        <v>20</v>
      </c>
      <c r="G717" t="s">
        <v>56</v>
      </c>
      <c r="H717" t="s">
        <v>57</v>
      </c>
      <c r="I717">
        <v>5</v>
      </c>
      <c r="J717">
        <v>896.84</v>
      </c>
      <c r="K717">
        <v>0.08</v>
      </c>
      <c r="L717">
        <v>4125.46</v>
      </c>
      <c r="M717" t="s">
        <v>76</v>
      </c>
      <c r="N717" t="s">
        <v>71</v>
      </c>
      <c r="O717" t="s">
        <v>35</v>
      </c>
      <c r="P717" t="s">
        <v>72</v>
      </c>
      <c r="Q717" t="str">
        <f t="shared" si="77"/>
        <v>Cancelled</v>
      </c>
      <c r="R717" t="str">
        <f t="shared" si="78"/>
        <v>Store</v>
      </c>
      <c r="S717" t="str">
        <v>Upi</v>
      </c>
      <c r="T717" t="str">
        <v>Accessories</v>
      </c>
      <c r="U717" t="str">
        <f t="shared" si="79"/>
        <v>VALID</v>
      </c>
      <c r="V717" t="str">
        <f t="shared" si="80"/>
        <v>NORMAL</v>
      </c>
      <c r="W717" t="str">
        <f t="shared" si="81"/>
        <v>Valid</v>
      </c>
      <c r="X717">
        <f t="shared" si="83"/>
        <v>4484.2</v>
      </c>
      <c r="Y717">
        <f t="shared" si="82"/>
        <v>4125.4639999999999</v>
      </c>
    </row>
    <row r="718" spans="1:25" x14ac:dyDescent="0.3">
      <c r="A718" t="s">
        <v>1049</v>
      </c>
      <c r="B718" s="1">
        <v>45896</v>
      </c>
      <c r="C718" t="s">
        <v>343</v>
      </c>
      <c r="D718" t="s">
        <v>121</v>
      </c>
      <c r="E718" t="s">
        <v>122</v>
      </c>
      <c r="F718" t="s">
        <v>55</v>
      </c>
      <c r="G718" t="s">
        <v>32</v>
      </c>
      <c r="H718" t="s">
        <v>47</v>
      </c>
      <c r="I718">
        <v>5</v>
      </c>
      <c r="J718">
        <v>421.73</v>
      </c>
      <c r="K718">
        <v>0.05</v>
      </c>
      <c r="L718">
        <v>2003.22</v>
      </c>
      <c r="M718" t="s">
        <v>76</v>
      </c>
      <c r="N718" t="s">
        <v>24</v>
      </c>
      <c r="O718" t="s">
        <v>65</v>
      </c>
      <c r="P718" t="s">
        <v>42</v>
      </c>
      <c r="Q718" t="str">
        <f t="shared" si="77"/>
        <v>Completed</v>
      </c>
      <c r="R718" t="str">
        <f t="shared" si="78"/>
        <v>Store</v>
      </c>
      <c r="S718" t="str">
        <v>Debit Card</v>
      </c>
      <c r="T718" t="str">
        <v>Stationery</v>
      </c>
      <c r="U718" t="str">
        <f t="shared" si="79"/>
        <v>VALID</v>
      </c>
      <c r="V718" t="str">
        <f t="shared" si="80"/>
        <v>NORMAL</v>
      </c>
      <c r="W718" t="str">
        <f t="shared" si="81"/>
        <v>Valid</v>
      </c>
      <c r="X718">
        <f t="shared" si="83"/>
        <v>2108.65</v>
      </c>
      <c r="Y718">
        <f t="shared" si="82"/>
        <v>2003.2175000000002</v>
      </c>
    </row>
    <row r="719" spans="1:25" x14ac:dyDescent="0.3">
      <c r="A719" t="s">
        <v>1050</v>
      </c>
      <c r="B719" s="1">
        <v>45917</v>
      </c>
      <c r="C719" t="s">
        <v>845</v>
      </c>
      <c r="D719" t="s">
        <v>38</v>
      </c>
      <c r="E719" t="s">
        <v>39</v>
      </c>
      <c r="F719" t="s">
        <v>40</v>
      </c>
      <c r="G719" t="s">
        <v>32</v>
      </c>
      <c r="H719" t="s">
        <v>75</v>
      </c>
      <c r="I719">
        <v>3</v>
      </c>
      <c r="J719">
        <v>1493.27</v>
      </c>
      <c r="K719">
        <v>0.08</v>
      </c>
      <c r="L719">
        <v>4121.43</v>
      </c>
      <c r="M719" t="s">
        <v>23</v>
      </c>
      <c r="N719" t="s">
        <v>24</v>
      </c>
      <c r="O719" t="s">
        <v>65</v>
      </c>
      <c r="P719" t="s">
        <v>111</v>
      </c>
      <c r="Q719" t="str">
        <f t="shared" si="77"/>
        <v>Completed</v>
      </c>
      <c r="R719" t="str">
        <f t="shared" si="78"/>
        <v>Online</v>
      </c>
      <c r="S719" t="str">
        <v>Debit Card</v>
      </c>
      <c r="T719" t="str">
        <v>Furniture</v>
      </c>
      <c r="U719" t="str">
        <f t="shared" si="79"/>
        <v>VALID</v>
      </c>
      <c r="V719" t="str">
        <f t="shared" si="80"/>
        <v>NORMAL</v>
      </c>
      <c r="W719" t="str">
        <f t="shared" si="81"/>
        <v>Valid</v>
      </c>
      <c r="X719">
        <f t="shared" si="83"/>
        <v>4479.8099999999995</v>
      </c>
      <c r="Y719">
        <f t="shared" si="82"/>
        <v>4121.4251999999997</v>
      </c>
    </row>
    <row r="720" spans="1:25" x14ac:dyDescent="0.3">
      <c r="A720" t="s">
        <v>1051</v>
      </c>
      <c r="B720" s="1">
        <v>46147</v>
      </c>
      <c r="C720" t="s">
        <v>120</v>
      </c>
      <c r="D720" t="s">
        <v>105</v>
      </c>
      <c r="E720" t="s">
        <v>106</v>
      </c>
      <c r="F720" t="s">
        <v>40</v>
      </c>
      <c r="G720" t="s">
        <v>56</v>
      </c>
      <c r="H720" t="s">
        <v>123</v>
      </c>
      <c r="I720">
        <v>5</v>
      </c>
      <c r="J720">
        <v>6805.46</v>
      </c>
      <c r="K720">
        <v>0.1</v>
      </c>
      <c r="L720">
        <v>30624.57</v>
      </c>
      <c r="M720" t="s">
        <v>23</v>
      </c>
      <c r="N720" t="s">
        <v>34</v>
      </c>
      <c r="O720" t="s">
        <v>65</v>
      </c>
      <c r="P720" t="s">
        <v>111</v>
      </c>
      <c r="Q720" t="str">
        <f t="shared" si="77"/>
        <v>Completed</v>
      </c>
      <c r="R720" t="str">
        <f t="shared" si="78"/>
        <v>Online</v>
      </c>
      <c r="S720" t="str">
        <v>Cash On Delivery</v>
      </c>
      <c r="T720" t="str">
        <v>Furniture</v>
      </c>
      <c r="U720" t="str">
        <f t="shared" si="79"/>
        <v>VALID</v>
      </c>
      <c r="V720" t="str">
        <f t="shared" si="80"/>
        <v>NORMAL</v>
      </c>
      <c r="W720" t="str">
        <f t="shared" si="81"/>
        <v>Valid</v>
      </c>
      <c r="X720">
        <f t="shared" si="83"/>
        <v>34027.300000000003</v>
      </c>
      <c r="Y720">
        <f t="shared" si="82"/>
        <v>30624.570000000003</v>
      </c>
    </row>
    <row r="721" spans="1:25" x14ac:dyDescent="0.3">
      <c r="A721" t="s">
        <v>1052</v>
      </c>
      <c r="B721" s="1">
        <v>45548</v>
      </c>
      <c r="C721" t="s">
        <v>528</v>
      </c>
      <c r="D721" t="s">
        <v>170</v>
      </c>
      <c r="E721" t="s">
        <v>171</v>
      </c>
      <c r="F721" t="s">
        <v>31</v>
      </c>
      <c r="G721" t="s">
        <v>21</v>
      </c>
      <c r="H721" t="s">
        <v>22</v>
      </c>
      <c r="I721">
        <v>4</v>
      </c>
      <c r="J721">
        <v>60958.2</v>
      </c>
      <c r="K721">
        <v>0</v>
      </c>
      <c r="L721">
        <v>243832.8</v>
      </c>
      <c r="M721" t="s">
        <v>48</v>
      </c>
      <c r="N721" t="s">
        <v>71</v>
      </c>
      <c r="O721" t="s">
        <v>35</v>
      </c>
      <c r="P721" t="s">
        <v>111</v>
      </c>
      <c r="Q721" t="str">
        <f t="shared" si="77"/>
        <v>Cancelled</v>
      </c>
      <c r="R721" t="str">
        <f t="shared" si="78"/>
        <v>Marketplace</v>
      </c>
      <c r="S721" t="str">
        <v>Upi</v>
      </c>
      <c r="T721" t="str">
        <v>Electronics</v>
      </c>
      <c r="U721" t="str">
        <f t="shared" si="79"/>
        <v>VALID</v>
      </c>
      <c r="V721" t="str">
        <f t="shared" si="80"/>
        <v>NORMAL</v>
      </c>
      <c r="W721" t="str">
        <f t="shared" si="81"/>
        <v>Valid</v>
      </c>
      <c r="X721">
        <f t="shared" si="83"/>
        <v>243832.8</v>
      </c>
      <c r="Y721">
        <f t="shared" si="82"/>
        <v>243832.8</v>
      </c>
    </row>
    <row r="722" spans="1:25" x14ac:dyDescent="0.3">
      <c r="A722" t="s">
        <v>1053</v>
      </c>
      <c r="B722" s="1">
        <v>45945</v>
      </c>
      <c r="C722" t="s">
        <v>480</v>
      </c>
      <c r="D722" t="s">
        <v>89</v>
      </c>
      <c r="E722" t="s">
        <v>90</v>
      </c>
      <c r="F722" t="s">
        <v>20</v>
      </c>
      <c r="G722" t="s">
        <v>32</v>
      </c>
      <c r="H722" t="s">
        <v>47</v>
      </c>
      <c r="I722">
        <v>1</v>
      </c>
      <c r="J722">
        <v>726.56</v>
      </c>
      <c r="K722">
        <v>0.05</v>
      </c>
      <c r="L722">
        <v>690.23</v>
      </c>
      <c r="M722" t="s">
        <v>48</v>
      </c>
      <c r="N722" t="s">
        <v>58</v>
      </c>
      <c r="O722" t="s">
        <v>65</v>
      </c>
      <c r="P722" t="s">
        <v>72</v>
      </c>
      <c r="Q722" t="str">
        <f t="shared" si="77"/>
        <v>Completed</v>
      </c>
      <c r="R722" t="str">
        <f t="shared" si="78"/>
        <v>Marketplace</v>
      </c>
      <c r="S722" t="str">
        <v>Credit Card</v>
      </c>
      <c r="T722" t="str">
        <v>Accessories</v>
      </c>
      <c r="U722" t="str">
        <f t="shared" si="79"/>
        <v>VALID</v>
      </c>
      <c r="V722" t="str">
        <f t="shared" si="80"/>
        <v>NORMAL</v>
      </c>
      <c r="W722" t="str">
        <f t="shared" si="81"/>
        <v>Valid</v>
      </c>
      <c r="X722">
        <f t="shared" si="83"/>
        <v>726.56</v>
      </c>
      <c r="Y722">
        <f t="shared" si="82"/>
        <v>690.23199999999997</v>
      </c>
    </row>
    <row r="723" spans="1:25" x14ac:dyDescent="0.3">
      <c r="A723" t="s">
        <v>1054</v>
      </c>
      <c r="B723" s="1">
        <v>45552</v>
      </c>
      <c r="C723" t="s">
        <v>817</v>
      </c>
      <c r="D723" t="s">
        <v>131</v>
      </c>
      <c r="E723" t="s">
        <v>132</v>
      </c>
      <c r="F723" t="s">
        <v>40</v>
      </c>
      <c r="G723" t="s">
        <v>56</v>
      </c>
      <c r="H723" t="s">
        <v>123</v>
      </c>
      <c r="I723">
        <v>3</v>
      </c>
      <c r="J723">
        <v>9847.4599999999991</v>
      </c>
      <c r="K723">
        <v>0.15</v>
      </c>
      <c r="L723">
        <v>25111.02</v>
      </c>
      <c r="M723" t="s">
        <v>48</v>
      </c>
      <c r="N723" t="s">
        <v>58</v>
      </c>
      <c r="O723" t="s">
        <v>65</v>
      </c>
      <c r="P723" t="s">
        <v>26</v>
      </c>
      <c r="Q723" t="str">
        <f t="shared" si="77"/>
        <v>Completed</v>
      </c>
      <c r="R723" t="str">
        <f t="shared" si="78"/>
        <v>Marketplace</v>
      </c>
      <c r="S723" t="str">
        <v>Credit Card</v>
      </c>
      <c r="T723" t="str">
        <v>Furniture</v>
      </c>
      <c r="U723" t="str">
        <f t="shared" si="79"/>
        <v>VALID</v>
      </c>
      <c r="V723" t="str">
        <f t="shared" si="80"/>
        <v>NORMAL</v>
      </c>
      <c r="W723" t="str">
        <f t="shared" si="81"/>
        <v>Valid</v>
      </c>
      <c r="X723">
        <f t="shared" si="83"/>
        <v>29542.379999999997</v>
      </c>
      <c r="Y723">
        <f t="shared" si="82"/>
        <v>25111.022999999997</v>
      </c>
    </row>
    <row r="724" spans="1:25" x14ac:dyDescent="0.3">
      <c r="A724" t="s">
        <v>1055</v>
      </c>
      <c r="B724" s="1">
        <v>46016</v>
      </c>
      <c r="C724" t="s">
        <v>560</v>
      </c>
      <c r="D724" t="s">
        <v>38</v>
      </c>
      <c r="E724" t="s">
        <v>39</v>
      </c>
      <c r="F724" t="s">
        <v>40</v>
      </c>
      <c r="G724" t="s">
        <v>56</v>
      </c>
      <c r="H724" t="s">
        <v>64</v>
      </c>
      <c r="I724">
        <v>2</v>
      </c>
      <c r="J724">
        <v>1574.45</v>
      </c>
      <c r="L724">
        <v>2991.45</v>
      </c>
      <c r="M724" t="s">
        <v>76</v>
      </c>
      <c r="N724" t="s">
        <v>58</v>
      </c>
      <c r="O724" t="s">
        <v>65</v>
      </c>
      <c r="P724" t="s">
        <v>102</v>
      </c>
      <c r="Q724" t="str">
        <f t="shared" si="77"/>
        <v>Completed</v>
      </c>
      <c r="R724" t="str">
        <f t="shared" si="78"/>
        <v>Store</v>
      </c>
      <c r="S724" t="str">
        <v>Credit Card</v>
      </c>
      <c r="T724" t="str">
        <v>Furniture</v>
      </c>
      <c r="U724" t="str">
        <f t="shared" si="79"/>
        <v>VALID</v>
      </c>
      <c r="V724" t="str">
        <f t="shared" si="80"/>
        <v>NORMAL</v>
      </c>
      <c r="W724" t="str">
        <f t="shared" si="81"/>
        <v>Valid</v>
      </c>
      <c r="X724">
        <f t="shared" si="83"/>
        <v>3148.9</v>
      </c>
      <c r="Y724">
        <f t="shared" si="82"/>
        <v>3148.9</v>
      </c>
    </row>
    <row r="725" spans="1:25" x14ac:dyDescent="0.3">
      <c r="A725" t="s">
        <v>1056</v>
      </c>
      <c r="B725" s="1">
        <v>45999</v>
      </c>
      <c r="C725" t="s">
        <v>206</v>
      </c>
      <c r="D725" t="s">
        <v>53</v>
      </c>
      <c r="E725" t="s">
        <v>54</v>
      </c>
      <c r="F725" t="s">
        <v>55</v>
      </c>
      <c r="G725" t="s">
        <v>32</v>
      </c>
      <c r="H725" t="s">
        <v>33</v>
      </c>
      <c r="I725">
        <v>5</v>
      </c>
      <c r="J725">
        <v>214.45</v>
      </c>
      <c r="K725">
        <v>0.08</v>
      </c>
      <c r="L725">
        <v>986.47</v>
      </c>
      <c r="M725" t="s">
        <v>23</v>
      </c>
      <c r="N725" t="s">
        <v>71</v>
      </c>
      <c r="O725" t="s">
        <v>25</v>
      </c>
      <c r="P725" t="s">
        <v>42</v>
      </c>
      <c r="Q725" t="str">
        <f t="shared" si="77"/>
        <v>Returned</v>
      </c>
      <c r="R725" t="str">
        <f t="shared" si="78"/>
        <v>Online</v>
      </c>
      <c r="S725" t="str">
        <v>Upi</v>
      </c>
      <c r="T725" t="str">
        <v>Stationery</v>
      </c>
      <c r="U725" t="str">
        <f t="shared" si="79"/>
        <v>VALID</v>
      </c>
      <c r="V725" t="str">
        <f t="shared" si="80"/>
        <v>NORMAL</v>
      </c>
      <c r="W725" t="str">
        <f t="shared" si="81"/>
        <v>Valid</v>
      </c>
      <c r="X725">
        <f t="shared" si="83"/>
        <v>1072.25</v>
      </c>
      <c r="Y725">
        <f t="shared" si="82"/>
        <v>986.47</v>
      </c>
    </row>
    <row r="726" spans="1:25" x14ac:dyDescent="0.3">
      <c r="A726" t="s">
        <v>1057</v>
      </c>
      <c r="B726" s="1">
        <v>46033</v>
      </c>
      <c r="C726" t="s">
        <v>1058</v>
      </c>
      <c r="D726" t="s">
        <v>96</v>
      </c>
      <c r="E726" t="s">
        <v>97</v>
      </c>
      <c r="F726" t="s">
        <v>31</v>
      </c>
      <c r="G726" t="s">
        <v>21</v>
      </c>
      <c r="H726" t="s">
        <v>93</v>
      </c>
      <c r="I726">
        <v>3</v>
      </c>
      <c r="J726">
        <v>1170.51</v>
      </c>
      <c r="K726">
        <v>0.08</v>
      </c>
      <c r="L726">
        <v>3230.61</v>
      </c>
      <c r="M726" t="s">
        <v>48</v>
      </c>
      <c r="N726" t="s">
        <v>24</v>
      </c>
      <c r="O726" t="s">
        <v>65</v>
      </c>
      <c r="P726" t="s">
        <v>42</v>
      </c>
      <c r="Q726" t="str">
        <f t="shared" si="77"/>
        <v>Completed</v>
      </c>
      <c r="R726" t="str">
        <f t="shared" si="78"/>
        <v>Marketplace</v>
      </c>
      <c r="S726" t="str">
        <v>Debit Card</v>
      </c>
      <c r="T726" t="str">
        <v>Electronics</v>
      </c>
      <c r="U726" t="str">
        <f t="shared" si="79"/>
        <v>VALID</v>
      </c>
      <c r="V726" t="str">
        <f t="shared" si="80"/>
        <v>NORMAL</v>
      </c>
      <c r="W726" t="str">
        <f t="shared" si="81"/>
        <v>Valid</v>
      </c>
      <c r="X726">
        <f t="shared" si="83"/>
        <v>3511.5299999999997</v>
      </c>
      <c r="Y726">
        <f t="shared" si="82"/>
        <v>3230.6075999999998</v>
      </c>
    </row>
    <row r="727" spans="1:25" x14ac:dyDescent="0.3">
      <c r="A727" t="s">
        <v>1059</v>
      </c>
      <c r="B727" s="1">
        <v>45850</v>
      </c>
      <c r="C727" t="s">
        <v>253</v>
      </c>
      <c r="D727" t="s">
        <v>121</v>
      </c>
      <c r="E727" t="s">
        <v>122</v>
      </c>
      <c r="F727" t="s">
        <v>55</v>
      </c>
      <c r="G727" t="s">
        <v>32</v>
      </c>
      <c r="H727" t="s">
        <v>33</v>
      </c>
      <c r="I727">
        <v>3</v>
      </c>
      <c r="J727">
        <v>427.95</v>
      </c>
      <c r="K727">
        <v>0.08</v>
      </c>
      <c r="L727">
        <v>1181.1400000000001</v>
      </c>
      <c r="M727" t="s">
        <v>76</v>
      </c>
      <c r="N727" t="s">
        <v>24</v>
      </c>
      <c r="O727" t="s">
        <v>65</v>
      </c>
      <c r="P727" t="s">
        <v>116</v>
      </c>
      <c r="Q727" t="str">
        <f t="shared" si="77"/>
        <v>Completed</v>
      </c>
      <c r="R727" t="str">
        <f t="shared" si="78"/>
        <v>Store</v>
      </c>
      <c r="S727" t="str">
        <v>Debit Card</v>
      </c>
      <c r="T727" t="str">
        <v>Stationery</v>
      </c>
      <c r="U727" t="str">
        <f t="shared" si="79"/>
        <v>VALID</v>
      </c>
      <c r="V727" t="str">
        <f t="shared" si="80"/>
        <v>NORMAL</v>
      </c>
      <c r="W727" t="str">
        <f t="shared" si="81"/>
        <v>Valid</v>
      </c>
      <c r="X727">
        <f t="shared" si="83"/>
        <v>1283.8499999999999</v>
      </c>
      <c r="Y727">
        <f t="shared" si="82"/>
        <v>1181.1419999999998</v>
      </c>
    </row>
    <row r="728" spans="1:25" x14ac:dyDescent="0.3">
      <c r="A728" t="s">
        <v>1060</v>
      </c>
      <c r="B728" s="1">
        <v>45607</v>
      </c>
      <c r="C728" t="s">
        <v>695</v>
      </c>
      <c r="D728" t="s">
        <v>45</v>
      </c>
      <c r="E728" t="s">
        <v>46</v>
      </c>
      <c r="F728" t="s">
        <v>31</v>
      </c>
      <c r="G728" t="s">
        <v>56</v>
      </c>
      <c r="H728" t="s">
        <v>57</v>
      </c>
      <c r="I728">
        <v>3</v>
      </c>
      <c r="J728">
        <v>1732.99</v>
      </c>
      <c r="K728">
        <v>0.03</v>
      </c>
      <c r="L728">
        <v>5043</v>
      </c>
      <c r="M728" t="s">
        <v>76</v>
      </c>
      <c r="N728" t="s">
        <v>49</v>
      </c>
      <c r="O728" t="s">
        <v>65</v>
      </c>
      <c r="P728" t="s">
        <v>111</v>
      </c>
      <c r="Q728" t="str">
        <f t="shared" si="77"/>
        <v>Completed</v>
      </c>
      <c r="R728" t="str">
        <f t="shared" si="78"/>
        <v>Store</v>
      </c>
      <c r="S728" t="str">
        <v>Net Banking</v>
      </c>
      <c r="T728" t="str">
        <v>Electronics</v>
      </c>
      <c r="U728" t="str">
        <f t="shared" si="79"/>
        <v>VALID</v>
      </c>
      <c r="V728" t="str">
        <f t="shared" si="80"/>
        <v>NORMAL</v>
      </c>
      <c r="W728" t="str">
        <f t="shared" si="81"/>
        <v>Valid</v>
      </c>
      <c r="X728">
        <f t="shared" si="83"/>
        <v>5198.97</v>
      </c>
      <c r="Y728">
        <f t="shared" si="82"/>
        <v>5043.0009</v>
      </c>
    </row>
    <row r="729" spans="1:25" x14ac:dyDescent="0.3">
      <c r="A729" t="s">
        <v>1061</v>
      </c>
      <c r="B729" s="1">
        <v>45598</v>
      </c>
      <c r="C729" t="s">
        <v>196</v>
      </c>
      <c r="D729" t="s">
        <v>29</v>
      </c>
      <c r="E729" t="s">
        <v>30</v>
      </c>
      <c r="F729" t="s">
        <v>31</v>
      </c>
      <c r="G729" t="s">
        <v>32</v>
      </c>
      <c r="H729" t="s">
        <v>33</v>
      </c>
      <c r="I729">
        <v>2</v>
      </c>
      <c r="J729">
        <v>3253.85</v>
      </c>
      <c r="K729">
        <v>0.03</v>
      </c>
      <c r="L729">
        <v>6312.47</v>
      </c>
      <c r="M729" t="s">
        <v>23</v>
      </c>
      <c r="N729" t="s">
        <v>58</v>
      </c>
      <c r="O729" t="s">
        <v>65</v>
      </c>
      <c r="P729" t="s">
        <v>102</v>
      </c>
      <c r="Q729" t="str">
        <f t="shared" si="77"/>
        <v>Completed</v>
      </c>
      <c r="R729" t="str">
        <f t="shared" si="78"/>
        <v>Online</v>
      </c>
      <c r="S729" t="str">
        <v>Credit Card</v>
      </c>
      <c r="T729" t="str">
        <v>Electronics</v>
      </c>
      <c r="U729" t="str">
        <f t="shared" si="79"/>
        <v>VALID</v>
      </c>
      <c r="V729" t="str">
        <f t="shared" si="80"/>
        <v>NORMAL</v>
      </c>
      <c r="W729" t="str">
        <f t="shared" si="81"/>
        <v>Valid</v>
      </c>
      <c r="X729">
        <f t="shared" si="83"/>
        <v>6507.7</v>
      </c>
      <c r="Y729">
        <f t="shared" si="82"/>
        <v>6312.4690000000001</v>
      </c>
    </row>
    <row r="730" spans="1:25" x14ac:dyDescent="0.3">
      <c r="A730" t="s">
        <v>1062</v>
      </c>
      <c r="B730" s="1">
        <v>45405</v>
      </c>
      <c r="C730" t="s">
        <v>1063</v>
      </c>
      <c r="D730" t="s">
        <v>105</v>
      </c>
      <c r="E730" t="s">
        <v>106</v>
      </c>
      <c r="F730" t="s">
        <v>40</v>
      </c>
      <c r="G730" t="s">
        <v>21</v>
      </c>
      <c r="H730" t="s">
        <v>41</v>
      </c>
      <c r="I730">
        <v>2</v>
      </c>
      <c r="J730">
        <v>7483.33</v>
      </c>
      <c r="K730">
        <v>0.2</v>
      </c>
      <c r="L730">
        <v>11973.33</v>
      </c>
      <c r="M730" t="s">
        <v>48</v>
      </c>
      <c r="N730" t="s">
        <v>71</v>
      </c>
      <c r="O730" t="s">
        <v>65</v>
      </c>
      <c r="P730" t="s">
        <v>42</v>
      </c>
      <c r="Q730" t="str">
        <f t="shared" si="77"/>
        <v>Completed</v>
      </c>
      <c r="R730" t="str">
        <f t="shared" si="78"/>
        <v>Marketplace</v>
      </c>
      <c r="S730" t="str">
        <v>Upi</v>
      </c>
      <c r="T730" t="str">
        <v>Furniture</v>
      </c>
      <c r="U730" t="str">
        <f t="shared" si="79"/>
        <v>VALID</v>
      </c>
      <c r="V730" t="str">
        <f t="shared" si="80"/>
        <v>NORMAL</v>
      </c>
      <c r="W730" t="str">
        <f t="shared" si="81"/>
        <v>Valid</v>
      </c>
      <c r="X730">
        <f t="shared" si="83"/>
        <v>14966.66</v>
      </c>
      <c r="Y730">
        <f t="shared" si="82"/>
        <v>11973.328</v>
      </c>
    </row>
    <row r="731" spans="1:25" x14ac:dyDescent="0.3">
      <c r="A731" t="s">
        <v>1064</v>
      </c>
      <c r="B731" s="1">
        <v>45411</v>
      </c>
      <c r="C731" t="s">
        <v>309</v>
      </c>
      <c r="D731" t="s">
        <v>131</v>
      </c>
      <c r="E731" t="s">
        <v>132</v>
      </c>
      <c r="F731" t="s">
        <v>40</v>
      </c>
      <c r="G731" t="s">
        <v>21</v>
      </c>
      <c r="H731" t="s">
        <v>41</v>
      </c>
      <c r="I731">
        <v>3</v>
      </c>
      <c r="J731">
        <v>9082.9699999999993</v>
      </c>
      <c r="K731">
        <v>0.03</v>
      </c>
      <c r="L731">
        <v>26431.439999999999</v>
      </c>
      <c r="M731" t="s">
        <v>76</v>
      </c>
      <c r="N731" t="s">
        <v>58</v>
      </c>
      <c r="O731" t="s">
        <v>65</v>
      </c>
      <c r="P731" t="s">
        <v>72</v>
      </c>
      <c r="Q731" t="str">
        <f t="shared" si="77"/>
        <v>Completed</v>
      </c>
      <c r="R731" t="str">
        <f t="shared" si="78"/>
        <v>Store</v>
      </c>
      <c r="S731" t="str">
        <v>Credit Card</v>
      </c>
      <c r="T731" t="str">
        <v>Furniture</v>
      </c>
      <c r="U731" t="str">
        <f t="shared" si="79"/>
        <v>VALID</v>
      </c>
      <c r="V731" t="str">
        <f t="shared" si="80"/>
        <v>NORMAL</v>
      </c>
      <c r="W731" t="str">
        <f t="shared" si="81"/>
        <v>Valid</v>
      </c>
      <c r="X731">
        <f t="shared" si="83"/>
        <v>27248.909999999996</v>
      </c>
      <c r="Y731">
        <f t="shared" si="82"/>
        <v>26431.442699999996</v>
      </c>
    </row>
    <row r="732" spans="1:25" x14ac:dyDescent="0.3">
      <c r="A732" t="s">
        <v>1065</v>
      </c>
      <c r="B732" s="1">
        <v>45497</v>
      </c>
      <c r="C732" t="s">
        <v>542</v>
      </c>
      <c r="D732" t="s">
        <v>170</v>
      </c>
      <c r="E732" t="s">
        <v>171</v>
      </c>
      <c r="F732" t="s">
        <v>31</v>
      </c>
      <c r="G732" t="s">
        <v>21</v>
      </c>
      <c r="H732" t="s">
        <v>41</v>
      </c>
      <c r="I732">
        <v>3</v>
      </c>
      <c r="J732">
        <v>68836.41</v>
      </c>
      <c r="K732">
        <v>0.1</v>
      </c>
      <c r="L732">
        <v>185858.31</v>
      </c>
      <c r="M732" t="s">
        <v>23</v>
      </c>
      <c r="N732" t="s">
        <v>34</v>
      </c>
      <c r="O732" t="s">
        <v>65</v>
      </c>
      <c r="P732" t="s">
        <v>50</v>
      </c>
      <c r="Q732" t="str">
        <f t="shared" si="77"/>
        <v>Completed</v>
      </c>
      <c r="R732" t="str">
        <f t="shared" si="78"/>
        <v>Online</v>
      </c>
      <c r="S732" t="str">
        <v>Cash On Delivery</v>
      </c>
      <c r="T732" t="str">
        <v>Electronics</v>
      </c>
      <c r="U732" t="str">
        <f t="shared" si="79"/>
        <v>VALID</v>
      </c>
      <c r="V732" t="str">
        <f t="shared" si="80"/>
        <v>NORMAL</v>
      </c>
      <c r="W732" t="str">
        <f t="shared" si="81"/>
        <v>Valid</v>
      </c>
      <c r="X732">
        <f t="shared" si="83"/>
        <v>206509.23</v>
      </c>
      <c r="Y732">
        <f t="shared" si="82"/>
        <v>185858.307</v>
      </c>
    </row>
    <row r="733" spans="1:25" x14ac:dyDescent="0.3">
      <c r="A733" t="s">
        <v>1066</v>
      </c>
      <c r="B733" s="1">
        <v>45775</v>
      </c>
      <c r="C733" t="s">
        <v>508</v>
      </c>
      <c r="D733" t="s">
        <v>170</v>
      </c>
      <c r="E733" t="s">
        <v>171</v>
      </c>
      <c r="F733" t="s">
        <v>31</v>
      </c>
      <c r="G733" t="s">
        <v>56</v>
      </c>
      <c r="H733" t="s">
        <v>101</v>
      </c>
      <c r="I733">
        <v>1</v>
      </c>
      <c r="J733">
        <v>69410.899999999994</v>
      </c>
      <c r="K733">
        <v>0.08</v>
      </c>
      <c r="L733">
        <v>63858.03</v>
      </c>
      <c r="M733" t="s">
        <v>76</v>
      </c>
      <c r="N733" t="s">
        <v>24</v>
      </c>
      <c r="O733" t="s">
        <v>65</v>
      </c>
      <c r="P733" t="s">
        <v>102</v>
      </c>
      <c r="Q733" t="str">
        <f t="shared" si="77"/>
        <v>Completed</v>
      </c>
      <c r="R733" t="str">
        <f t="shared" si="78"/>
        <v>Store</v>
      </c>
      <c r="S733" t="str">
        <v>Debit Card</v>
      </c>
      <c r="T733" t="str">
        <v>Electronics</v>
      </c>
      <c r="U733" t="str">
        <f t="shared" si="79"/>
        <v>VALID</v>
      </c>
      <c r="V733" t="str">
        <f t="shared" si="80"/>
        <v>NORMAL</v>
      </c>
      <c r="W733" t="str">
        <f t="shared" si="81"/>
        <v>Valid</v>
      </c>
      <c r="X733">
        <f t="shared" si="83"/>
        <v>69410.899999999994</v>
      </c>
      <c r="Y733">
        <f t="shared" si="82"/>
        <v>63858.027999999991</v>
      </c>
    </row>
    <row r="734" spans="1:25" x14ac:dyDescent="0.3">
      <c r="A734" t="s">
        <v>1067</v>
      </c>
      <c r="B734" s="1">
        <v>45661</v>
      </c>
      <c r="C734" t="s">
        <v>28</v>
      </c>
      <c r="D734" t="s">
        <v>170</v>
      </c>
      <c r="E734" t="s">
        <v>171</v>
      </c>
      <c r="F734" t="s">
        <v>31</v>
      </c>
      <c r="G734" t="s">
        <v>32</v>
      </c>
      <c r="H734" t="s">
        <v>33</v>
      </c>
      <c r="I734">
        <v>5</v>
      </c>
      <c r="J734">
        <v>65039.07</v>
      </c>
      <c r="K734">
        <v>0.05</v>
      </c>
      <c r="L734">
        <v>308935.58</v>
      </c>
      <c r="M734" t="s">
        <v>48</v>
      </c>
      <c r="N734" t="s">
        <v>34</v>
      </c>
      <c r="O734" t="s">
        <v>65</v>
      </c>
      <c r="P734" t="s">
        <v>50</v>
      </c>
      <c r="Q734" t="str">
        <f t="shared" si="77"/>
        <v>Completed</v>
      </c>
      <c r="R734" t="str">
        <f t="shared" si="78"/>
        <v>Marketplace</v>
      </c>
      <c r="S734" t="str">
        <v>Cash On Delivery</v>
      </c>
      <c r="T734" t="str">
        <v>Electronics</v>
      </c>
      <c r="U734" t="str">
        <f t="shared" si="79"/>
        <v>VALID</v>
      </c>
      <c r="V734" t="str">
        <f t="shared" si="80"/>
        <v>NORMAL</v>
      </c>
      <c r="W734" t="str">
        <f t="shared" si="81"/>
        <v>Valid</v>
      </c>
      <c r="X734">
        <f t="shared" si="83"/>
        <v>325195.34999999998</v>
      </c>
      <c r="Y734">
        <f t="shared" si="82"/>
        <v>308935.58249999996</v>
      </c>
    </row>
    <row r="735" spans="1:25" x14ac:dyDescent="0.3">
      <c r="A735" t="s">
        <v>1068</v>
      </c>
      <c r="B735" s="1">
        <v>45691</v>
      </c>
      <c r="C735" t="s">
        <v>1069</v>
      </c>
      <c r="D735" t="s">
        <v>29</v>
      </c>
      <c r="E735" t="s">
        <v>30</v>
      </c>
      <c r="F735" t="s">
        <v>31</v>
      </c>
      <c r="G735" t="s">
        <v>56</v>
      </c>
      <c r="H735" t="s">
        <v>64</v>
      </c>
      <c r="I735">
        <v>3</v>
      </c>
      <c r="J735">
        <v>3235.66</v>
      </c>
      <c r="K735">
        <v>0.1</v>
      </c>
      <c r="L735">
        <v>8736.2800000000007</v>
      </c>
      <c r="M735" t="s">
        <v>76</v>
      </c>
      <c r="N735" t="s">
        <v>49</v>
      </c>
      <c r="O735" t="s">
        <v>65</v>
      </c>
      <c r="P735" t="s">
        <v>26</v>
      </c>
      <c r="Q735" t="str">
        <f t="shared" si="77"/>
        <v>Completed</v>
      </c>
      <c r="R735" t="str">
        <f t="shared" si="78"/>
        <v>Store</v>
      </c>
      <c r="S735" t="str">
        <v>Net Banking</v>
      </c>
      <c r="T735" t="str">
        <v>Electronics</v>
      </c>
      <c r="U735" t="str">
        <f t="shared" si="79"/>
        <v>VALID</v>
      </c>
      <c r="V735" t="str">
        <f t="shared" si="80"/>
        <v>NORMAL</v>
      </c>
      <c r="W735" t="str">
        <f t="shared" si="81"/>
        <v>Valid</v>
      </c>
      <c r="X735">
        <f t="shared" si="83"/>
        <v>9706.98</v>
      </c>
      <c r="Y735">
        <f t="shared" si="82"/>
        <v>8736.2819999999992</v>
      </c>
    </row>
    <row r="736" spans="1:25" x14ac:dyDescent="0.3">
      <c r="A736" t="s">
        <v>1070</v>
      </c>
      <c r="B736" s="1">
        <v>45528</v>
      </c>
      <c r="C736" t="s">
        <v>108</v>
      </c>
      <c r="D736" t="s">
        <v>105</v>
      </c>
      <c r="E736" t="s">
        <v>106</v>
      </c>
      <c r="F736" t="s">
        <v>40</v>
      </c>
      <c r="G736" t="s">
        <v>21</v>
      </c>
      <c r="H736" t="s">
        <v>41</v>
      </c>
      <c r="I736">
        <v>1</v>
      </c>
      <c r="J736">
        <v>6630.98</v>
      </c>
      <c r="K736">
        <v>0</v>
      </c>
      <c r="L736">
        <v>6630.98</v>
      </c>
      <c r="M736" t="s">
        <v>23</v>
      </c>
      <c r="N736" t="s">
        <v>24</v>
      </c>
      <c r="O736" t="s">
        <v>65</v>
      </c>
      <c r="P736" t="s">
        <v>59</v>
      </c>
      <c r="Q736" t="str">
        <f t="shared" si="77"/>
        <v>Completed</v>
      </c>
      <c r="R736" t="str">
        <f t="shared" si="78"/>
        <v>Online</v>
      </c>
      <c r="S736" t="str">
        <v>Debit Card</v>
      </c>
      <c r="T736" t="str">
        <v>Furniture</v>
      </c>
      <c r="U736" t="str">
        <f t="shared" si="79"/>
        <v>VALID</v>
      </c>
      <c r="V736" t="str">
        <f t="shared" si="80"/>
        <v>NORMAL</v>
      </c>
      <c r="W736" t="str">
        <f t="shared" si="81"/>
        <v>Valid</v>
      </c>
      <c r="X736">
        <f t="shared" si="83"/>
        <v>6630.98</v>
      </c>
      <c r="Y736">
        <f t="shared" si="82"/>
        <v>6630.98</v>
      </c>
    </row>
    <row r="737" spans="1:25" x14ac:dyDescent="0.3">
      <c r="A737" t="s">
        <v>1071</v>
      </c>
      <c r="B737" s="1">
        <v>45366</v>
      </c>
      <c r="C737" t="s">
        <v>607</v>
      </c>
      <c r="D737" t="s">
        <v>18</v>
      </c>
      <c r="E737" t="s">
        <v>19</v>
      </c>
      <c r="F737" t="s">
        <v>20</v>
      </c>
      <c r="G737" t="s">
        <v>56</v>
      </c>
      <c r="H737" t="s">
        <v>57</v>
      </c>
      <c r="I737">
        <v>4</v>
      </c>
      <c r="J737">
        <v>823.97</v>
      </c>
      <c r="K737">
        <v>0.1</v>
      </c>
      <c r="L737">
        <v>2966.29</v>
      </c>
      <c r="M737" t="s">
        <v>48</v>
      </c>
      <c r="N737" t="s">
        <v>34</v>
      </c>
      <c r="O737" t="s">
        <v>65</v>
      </c>
      <c r="P737" t="s">
        <v>116</v>
      </c>
      <c r="Q737" t="str">
        <f t="shared" si="77"/>
        <v>Completed</v>
      </c>
      <c r="R737" t="str">
        <f t="shared" si="78"/>
        <v>Marketplace</v>
      </c>
      <c r="S737" t="str">
        <v>Cash On Delivery</v>
      </c>
      <c r="T737" t="str">
        <v>Accessories</v>
      </c>
      <c r="U737" t="str">
        <f t="shared" si="79"/>
        <v>VALID</v>
      </c>
      <c r="V737" t="str">
        <f t="shared" si="80"/>
        <v>NORMAL</v>
      </c>
      <c r="W737" t="str">
        <f t="shared" si="81"/>
        <v>Valid</v>
      </c>
      <c r="X737">
        <f t="shared" si="83"/>
        <v>3295.88</v>
      </c>
      <c r="Y737">
        <f t="shared" si="82"/>
        <v>2966.2919999999999</v>
      </c>
    </row>
    <row r="738" spans="1:25" x14ac:dyDescent="0.3">
      <c r="A738" t="s">
        <v>1072</v>
      </c>
      <c r="B738" s="1">
        <v>45654</v>
      </c>
      <c r="C738" t="s">
        <v>227</v>
      </c>
      <c r="D738" t="s">
        <v>89</v>
      </c>
      <c r="E738" t="s">
        <v>90</v>
      </c>
      <c r="F738" t="s">
        <v>20</v>
      </c>
      <c r="G738" t="s">
        <v>32</v>
      </c>
      <c r="H738" t="s">
        <v>33</v>
      </c>
      <c r="I738">
        <v>5</v>
      </c>
      <c r="J738">
        <v>727.95</v>
      </c>
      <c r="K738">
        <v>0.03</v>
      </c>
      <c r="L738">
        <v>3530.56</v>
      </c>
      <c r="M738" t="s">
        <v>23</v>
      </c>
      <c r="N738" t="s">
        <v>71</v>
      </c>
      <c r="O738" t="s">
        <v>35</v>
      </c>
      <c r="P738" t="s">
        <v>59</v>
      </c>
      <c r="Q738" t="str">
        <f t="shared" si="77"/>
        <v>Cancelled</v>
      </c>
      <c r="R738" t="str">
        <f t="shared" si="78"/>
        <v>Online</v>
      </c>
      <c r="S738" t="str">
        <v>Upi</v>
      </c>
      <c r="T738" t="str">
        <v>Accessories</v>
      </c>
      <c r="U738" t="str">
        <f t="shared" si="79"/>
        <v>VALID</v>
      </c>
      <c r="V738" t="str">
        <f t="shared" si="80"/>
        <v>NORMAL</v>
      </c>
      <c r="W738" t="str">
        <f t="shared" si="81"/>
        <v>Valid</v>
      </c>
      <c r="X738">
        <f t="shared" si="83"/>
        <v>3639.75</v>
      </c>
      <c r="Y738">
        <f t="shared" si="82"/>
        <v>3530.5574999999999</v>
      </c>
    </row>
    <row r="739" spans="1:25" x14ac:dyDescent="0.3">
      <c r="A739" t="s">
        <v>1073</v>
      </c>
      <c r="B739" s="1">
        <v>45739</v>
      </c>
      <c r="C739" t="s">
        <v>28</v>
      </c>
      <c r="D739" t="s">
        <v>38</v>
      </c>
      <c r="E739" t="s">
        <v>39</v>
      </c>
      <c r="F739" t="s">
        <v>40</v>
      </c>
      <c r="G739" t="s">
        <v>81</v>
      </c>
      <c r="H739" t="s">
        <v>87</v>
      </c>
      <c r="I739">
        <v>4</v>
      </c>
      <c r="J739">
        <v>1716.58</v>
      </c>
      <c r="K739">
        <v>0.03</v>
      </c>
      <c r="L739">
        <v>6660.33</v>
      </c>
      <c r="M739" t="s">
        <v>23</v>
      </c>
      <c r="N739" t="s">
        <v>71</v>
      </c>
      <c r="O739" t="s">
        <v>25</v>
      </c>
      <c r="P739" t="s">
        <v>50</v>
      </c>
      <c r="Q739" t="str">
        <f t="shared" si="77"/>
        <v>Returned</v>
      </c>
      <c r="R739" t="str">
        <f t="shared" si="78"/>
        <v>Online</v>
      </c>
      <c r="S739" t="str">
        <v>Upi</v>
      </c>
      <c r="T739" t="str">
        <v>Furniture</v>
      </c>
      <c r="U739" t="str">
        <f t="shared" si="79"/>
        <v>VALID</v>
      </c>
      <c r="V739" t="str">
        <f t="shared" si="80"/>
        <v>NORMAL</v>
      </c>
      <c r="W739" t="str">
        <f t="shared" si="81"/>
        <v>Valid</v>
      </c>
      <c r="X739">
        <f t="shared" si="83"/>
        <v>6866.32</v>
      </c>
      <c r="Y739">
        <f t="shared" si="82"/>
        <v>6660.3303999999998</v>
      </c>
    </row>
    <row r="740" spans="1:25" x14ac:dyDescent="0.3">
      <c r="A740" t="s">
        <v>1074</v>
      </c>
      <c r="B740" s="1">
        <v>45699</v>
      </c>
      <c r="C740" t="s">
        <v>480</v>
      </c>
      <c r="D740" t="s">
        <v>53</v>
      </c>
      <c r="E740" t="s">
        <v>54</v>
      </c>
      <c r="F740" t="s">
        <v>55</v>
      </c>
      <c r="G740" t="s">
        <v>21</v>
      </c>
      <c r="H740" t="s">
        <v>22</v>
      </c>
      <c r="I740">
        <v>5</v>
      </c>
      <c r="J740">
        <v>217.78</v>
      </c>
      <c r="K740">
        <v>0.08</v>
      </c>
      <c r="L740">
        <v>1001.79</v>
      </c>
      <c r="M740" t="s">
        <v>23</v>
      </c>
      <c r="N740" t="s">
        <v>24</v>
      </c>
      <c r="O740" t="s">
        <v>65</v>
      </c>
      <c r="P740" t="s">
        <v>42</v>
      </c>
      <c r="Q740" t="str">
        <f t="shared" si="77"/>
        <v>Completed</v>
      </c>
      <c r="R740" t="str">
        <f t="shared" si="78"/>
        <v>Online</v>
      </c>
      <c r="S740" t="str">
        <v>Debit Card</v>
      </c>
      <c r="T740" t="str">
        <v>Stationery</v>
      </c>
      <c r="U740" t="str">
        <f t="shared" si="79"/>
        <v>VALID</v>
      </c>
      <c r="V740" t="str">
        <f t="shared" si="80"/>
        <v>NORMAL</v>
      </c>
      <c r="W740" t="str">
        <f t="shared" si="81"/>
        <v>Valid</v>
      </c>
      <c r="X740">
        <f t="shared" si="83"/>
        <v>1088.9000000000001</v>
      </c>
      <c r="Y740">
        <f t="shared" si="82"/>
        <v>1001.7880000000001</v>
      </c>
    </row>
    <row r="741" spans="1:25" x14ac:dyDescent="0.3">
      <c r="A741" t="s">
        <v>1075</v>
      </c>
      <c r="B741" s="1">
        <v>45713</v>
      </c>
      <c r="C741" t="s">
        <v>130</v>
      </c>
      <c r="D741" t="s">
        <v>53</v>
      </c>
      <c r="E741" t="s">
        <v>54</v>
      </c>
      <c r="F741" t="s">
        <v>55</v>
      </c>
      <c r="G741" t="s">
        <v>32</v>
      </c>
      <c r="H741" t="s">
        <v>75</v>
      </c>
      <c r="I741">
        <v>5</v>
      </c>
      <c r="J741">
        <v>216.78</v>
      </c>
      <c r="K741">
        <v>0.15</v>
      </c>
      <c r="L741">
        <v>921.32</v>
      </c>
      <c r="M741" t="s">
        <v>76</v>
      </c>
      <c r="N741" t="s">
        <v>24</v>
      </c>
      <c r="O741" t="s">
        <v>65</v>
      </c>
      <c r="P741" t="s">
        <v>116</v>
      </c>
      <c r="Q741" t="str">
        <f t="shared" si="77"/>
        <v>Completed</v>
      </c>
      <c r="R741" t="str">
        <f t="shared" si="78"/>
        <v>Store</v>
      </c>
      <c r="S741" t="str">
        <v>Debit Card</v>
      </c>
      <c r="T741" t="str">
        <v>Stationery</v>
      </c>
      <c r="U741" t="str">
        <f t="shared" si="79"/>
        <v>VALID</v>
      </c>
      <c r="V741" t="str">
        <f t="shared" si="80"/>
        <v>NORMAL</v>
      </c>
      <c r="W741" t="str">
        <f t="shared" si="81"/>
        <v>Valid</v>
      </c>
      <c r="X741">
        <f t="shared" si="83"/>
        <v>1083.9000000000001</v>
      </c>
      <c r="Y741">
        <f t="shared" si="82"/>
        <v>921.31500000000005</v>
      </c>
    </row>
    <row r="742" spans="1:25" x14ac:dyDescent="0.3">
      <c r="A742" t="s">
        <v>1076</v>
      </c>
      <c r="B742" s="1">
        <v>45455</v>
      </c>
      <c r="C742" t="s">
        <v>1077</v>
      </c>
      <c r="D742" t="s">
        <v>53</v>
      </c>
      <c r="E742" t="s">
        <v>54</v>
      </c>
      <c r="F742" t="s">
        <v>55</v>
      </c>
      <c r="G742" t="s">
        <v>81</v>
      </c>
      <c r="H742" t="s">
        <v>82</v>
      </c>
      <c r="I742">
        <v>4</v>
      </c>
      <c r="J742">
        <v>235.51</v>
      </c>
      <c r="K742">
        <v>0.2</v>
      </c>
      <c r="L742">
        <v>753.63</v>
      </c>
      <c r="M742" t="s">
        <v>76</v>
      </c>
      <c r="N742" t="s">
        <v>71</v>
      </c>
      <c r="O742" t="s">
        <v>65</v>
      </c>
      <c r="P742" t="s">
        <v>50</v>
      </c>
      <c r="Q742" t="str">
        <f t="shared" si="77"/>
        <v>Completed</v>
      </c>
      <c r="R742" t="str">
        <f t="shared" si="78"/>
        <v>Store</v>
      </c>
      <c r="S742" t="str">
        <v>Upi</v>
      </c>
      <c r="T742" t="str">
        <v>Stationery</v>
      </c>
      <c r="U742" t="str">
        <f t="shared" si="79"/>
        <v>VALID</v>
      </c>
      <c r="V742" t="str">
        <f t="shared" si="80"/>
        <v>NORMAL</v>
      </c>
      <c r="W742" t="str">
        <f t="shared" si="81"/>
        <v>Valid</v>
      </c>
      <c r="X742">
        <f t="shared" si="83"/>
        <v>942.04</v>
      </c>
      <c r="Y742">
        <f t="shared" si="82"/>
        <v>753.63199999999995</v>
      </c>
    </row>
    <row r="743" spans="1:25" x14ac:dyDescent="0.3">
      <c r="A743" t="s">
        <v>1078</v>
      </c>
      <c r="B743" s="1">
        <v>45507</v>
      </c>
      <c r="C743" t="s">
        <v>325</v>
      </c>
      <c r="D743" t="s">
        <v>29</v>
      </c>
      <c r="E743" t="s">
        <v>30</v>
      </c>
      <c r="F743" t="s">
        <v>31</v>
      </c>
      <c r="G743" t="s">
        <v>21</v>
      </c>
      <c r="H743" t="s">
        <v>126</v>
      </c>
      <c r="I743">
        <v>5</v>
      </c>
      <c r="J743">
        <v>3226.82</v>
      </c>
      <c r="K743">
        <v>0.08</v>
      </c>
      <c r="L743">
        <v>14843.37</v>
      </c>
      <c r="M743" t="s">
        <v>76</v>
      </c>
      <c r="N743" t="s">
        <v>58</v>
      </c>
      <c r="O743" t="s">
        <v>65</v>
      </c>
      <c r="P743" t="s">
        <v>26</v>
      </c>
      <c r="Q743" t="str">
        <f t="shared" si="77"/>
        <v>Completed</v>
      </c>
      <c r="R743" t="str">
        <f t="shared" si="78"/>
        <v>Store</v>
      </c>
      <c r="S743" t="str">
        <v>Credit Card</v>
      </c>
      <c r="T743" t="str">
        <v>Electronics</v>
      </c>
      <c r="U743" t="str">
        <f t="shared" si="79"/>
        <v>VALID</v>
      </c>
      <c r="V743" t="str">
        <f t="shared" si="80"/>
        <v>NORMAL</v>
      </c>
      <c r="W743" t="str">
        <f t="shared" si="81"/>
        <v>Valid</v>
      </c>
      <c r="X743">
        <f t="shared" si="83"/>
        <v>16134.1</v>
      </c>
      <c r="Y743">
        <f t="shared" si="82"/>
        <v>14843.371999999999</v>
      </c>
    </row>
    <row r="744" spans="1:25" x14ac:dyDescent="0.3">
      <c r="A744" t="s">
        <v>1079</v>
      </c>
      <c r="B744" s="1">
        <v>45634</v>
      </c>
      <c r="C744" t="s">
        <v>225</v>
      </c>
      <c r="D744" t="s">
        <v>29</v>
      </c>
      <c r="E744" t="s">
        <v>30</v>
      </c>
      <c r="F744" t="s">
        <v>31</v>
      </c>
      <c r="G744" t="s">
        <v>32</v>
      </c>
      <c r="H744" t="s">
        <v>47</v>
      </c>
      <c r="I744">
        <v>3</v>
      </c>
      <c r="J744">
        <v>3035.61</v>
      </c>
      <c r="K744">
        <v>0.05</v>
      </c>
      <c r="L744">
        <v>8651.49</v>
      </c>
      <c r="M744" t="s">
        <v>76</v>
      </c>
      <c r="N744" t="s">
        <v>34</v>
      </c>
      <c r="O744" t="s">
        <v>35</v>
      </c>
      <c r="P744" t="s">
        <v>111</v>
      </c>
      <c r="Q744" t="str">
        <f t="shared" si="77"/>
        <v>Cancelled</v>
      </c>
      <c r="R744" t="str">
        <f t="shared" si="78"/>
        <v>Store</v>
      </c>
      <c r="S744" t="str">
        <v>Cash On Delivery</v>
      </c>
      <c r="T744" t="str">
        <v>Electronics</v>
      </c>
      <c r="U744" t="str">
        <f t="shared" si="79"/>
        <v>VALID</v>
      </c>
      <c r="V744" t="str">
        <f t="shared" si="80"/>
        <v>NORMAL</v>
      </c>
      <c r="W744" t="str">
        <f t="shared" si="81"/>
        <v>Valid</v>
      </c>
      <c r="X744">
        <f t="shared" si="83"/>
        <v>9106.83</v>
      </c>
      <c r="Y744">
        <f t="shared" si="82"/>
        <v>8651.4884999999995</v>
      </c>
    </row>
    <row r="745" spans="1:25" x14ac:dyDescent="0.3">
      <c r="A745" t="s">
        <v>1080</v>
      </c>
      <c r="B745" s="1">
        <v>46120</v>
      </c>
      <c r="C745" t="s">
        <v>578</v>
      </c>
      <c r="D745" t="s">
        <v>45</v>
      </c>
      <c r="E745" t="s">
        <v>46</v>
      </c>
      <c r="F745" t="s">
        <v>31</v>
      </c>
      <c r="G745" t="s">
        <v>21</v>
      </c>
      <c r="H745" t="s">
        <v>126</v>
      </c>
      <c r="I745">
        <v>1</v>
      </c>
      <c r="J745">
        <v>1852.5</v>
      </c>
      <c r="K745">
        <v>0.05</v>
      </c>
      <c r="L745">
        <v>1759.88</v>
      </c>
      <c r="M745" t="s">
        <v>23</v>
      </c>
      <c r="N745" t="s">
        <v>58</v>
      </c>
      <c r="O745" t="s">
        <v>35</v>
      </c>
      <c r="P745" t="s">
        <v>111</v>
      </c>
      <c r="Q745" t="str">
        <f t="shared" si="77"/>
        <v>Cancelled</v>
      </c>
      <c r="R745" t="str">
        <f t="shared" si="78"/>
        <v>Online</v>
      </c>
      <c r="S745" t="str">
        <v>Credit Card</v>
      </c>
      <c r="T745" t="str">
        <v>Electronics</v>
      </c>
      <c r="U745" t="str">
        <f t="shared" si="79"/>
        <v>VALID</v>
      </c>
      <c r="V745" t="str">
        <f t="shared" si="80"/>
        <v>NORMAL</v>
      </c>
      <c r="W745" t="str">
        <f t="shared" si="81"/>
        <v>Valid</v>
      </c>
      <c r="X745">
        <f t="shared" si="83"/>
        <v>1852.5</v>
      </c>
      <c r="Y745">
        <f t="shared" si="82"/>
        <v>1759.875</v>
      </c>
    </row>
    <row r="746" spans="1:25" x14ac:dyDescent="0.3">
      <c r="A746" t="s">
        <v>1081</v>
      </c>
      <c r="B746" s="1">
        <v>46099</v>
      </c>
      <c r="C746" t="s">
        <v>514</v>
      </c>
      <c r="D746" t="s">
        <v>96</v>
      </c>
      <c r="E746" t="s">
        <v>97</v>
      </c>
      <c r="F746" t="s">
        <v>31</v>
      </c>
      <c r="G746" t="s">
        <v>56</v>
      </c>
      <c r="H746" t="s">
        <v>64</v>
      </c>
      <c r="I746">
        <v>1</v>
      </c>
      <c r="J746">
        <v>1133.95</v>
      </c>
      <c r="K746">
        <v>0.15</v>
      </c>
      <c r="L746">
        <v>963.86</v>
      </c>
      <c r="M746" t="s">
        <v>48</v>
      </c>
      <c r="N746" t="s">
        <v>24</v>
      </c>
      <c r="O746" t="s">
        <v>65</v>
      </c>
      <c r="P746" t="s">
        <v>26</v>
      </c>
      <c r="Q746" t="str">
        <f t="shared" si="77"/>
        <v>Completed</v>
      </c>
      <c r="R746" t="str">
        <f t="shared" si="78"/>
        <v>Marketplace</v>
      </c>
      <c r="S746" t="str">
        <v>Debit Card</v>
      </c>
      <c r="T746" t="str">
        <v>Electronics</v>
      </c>
      <c r="U746" t="str">
        <f t="shared" si="79"/>
        <v>VALID</v>
      </c>
      <c r="V746" t="str">
        <f t="shared" si="80"/>
        <v>NORMAL</v>
      </c>
      <c r="W746" t="str">
        <f t="shared" si="81"/>
        <v>Valid</v>
      </c>
      <c r="X746">
        <f t="shared" si="83"/>
        <v>1133.95</v>
      </c>
      <c r="Y746">
        <f t="shared" si="82"/>
        <v>963.85750000000007</v>
      </c>
    </row>
    <row r="747" spans="1:25" x14ac:dyDescent="0.3">
      <c r="A747" t="s">
        <v>1082</v>
      </c>
      <c r="B747" s="1">
        <v>45542</v>
      </c>
      <c r="C747" t="s">
        <v>808</v>
      </c>
      <c r="D747" t="s">
        <v>29</v>
      </c>
      <c r="E747" t="s">
        <v>30</v>
      </c>
      <c r="F747" t="s">
        <v>31</v>
      </c>
      <c r="G747" t="s">
        <v>56</v>
      </c>
      <c r="H747" t="s">
        <v>64</v>
      </c>
      <c r="I747">
        <v>2</v>
      </c>
      <c r="J747">
        <v>3098.35</v>
      </c>
      <c r="K747">
        <v>0.05</v>
      </c>
      <c r="L747">
        <v>5886.86</v>
      </c>
      <c r="M747" t="s">
        <v>23</v>
      </c>
      <c r="N747" t="s">
        <v>49</v>
      </c>
      <c r="O747" t="s">
        <v>65</v>
      </c>
      <c r="P747" t="s">
        <v>50</v>
      </c>
      <c r="Q747" t="str">
        <f t="shared" si="77"/>
        <v>Completed</v>
      </c>
      <c r="R747" t="str">
        <f t="shared" si="78"/>
        <v>Online</v>
      </c>
      <c r="S747" t="str">
        <v>Net Banking</v>
      </c>
      <c r="T747" t="str">
        <v>Electronics</v>
      </c>
      <c r="U747" t="str">
        <f t="shared" si="79"/>
        <v>VALID</v>
      </c>
      <c r="V747" t="str">
        <f t="shared" si="80"/>
        <v>NORMAL</v>
      </c>
      <c r="W747" t="str">
        <f t="shared" si="81"/>
        <v>Valid</v>
      </c>
      <c r="X747">
        <f t="shared" si="83"/>
        <v>6196.7</v>
      </c>
      <c r="Y747">
        <f t="shared" si="82"/>
        <v>5886.8649999999998</v>
      </c>
    </row>
    <row r="748" spans="1:25" x14ac:dyDescent="0.3">
      <c r="A748" t="s">
        <v>1083</v>
      </c>
      <c r="B748" s="1">
        <v>45974</v>
      </c>
      <c r="D748" t="s">
        <v>18</v>
      </c>
      <c r="E748" t="s">
        <v>19</v>
      </c>
      <c r="F748" t="s">
        <v>20</v>
      </c>
      <c r="G748" t="s">
        <v>81</v>
      </c>
      <c r="H748" t="s">
        <v>87</v>
      </c>
      <c r="I748">
        <v>2</v>
      </c>
      <c r="J748">
        <v>891.56</v>
      </c>
      <c r="K748">
        <v>0.05</v>
      </c>
      <c r="L748">
        <v>1693.96</v>
      </c>
      <c r="M748" t="s">
        <v>23</v>
      </c>
      <c r="N748" t="s">
        <v>34</v>
      </c>
      <c r="O748" t="s">
        <v>65</v>
      </c>
      <c r="P748" t="s">
        <v>50</v>
      </c>
      <c r="Q748" t="str">
        <f t="shared" si="77"/>
        <v>Completed</v>
      </c>
      <c r="R748" t="str">
        <f t="shared" si="78"/>
        <v>Online</v>
      </c>
      <c r="S748" t="str">
        <v>Cash On Delivery</v>
      </c>
      <c r="T748" t="str">
        <v>Accessories</v>
      </c>
      <c r="U748" t="str">
        <f t="shared" si="79"/>
        <v>VALID</v>
      </c>
      <c r="V748" t="str">
        <f t="shared" si="80"/>
        <v>NORMAL</v>
      </c>
      <c r="W748" t="str">
        <f t="shared" si="81"/>
        <v>Valid</v>
      </c>
      <c r="X748">
        <f t="shared" si="83"/>
        <v>1783.12</v>
      </c>
      <c r="Y748">
        <f t="shared" si="82"/>
        <v>1693.9639999999999</v>
      </c>
    </row>
    <row r="749" spans="1:25" x14ac:dyDescent="0.3">
      <c r="A749" t="s">
        <v>1084</v>
      </c>
      <c r="B749" s="1">
        <v>46158</v>
      </c>
      <c r="C749" t="s">
        <v>365</v>
      </c>
      <c r="D749" t="s">
        <v>53</v>
      </c>
      <c r="E749" t="s">
        <v>54</v>
      </c>
      <c r="F749" t="s">
        <v>55</v>
      </c>
      <c r="G749" t="s">
        <v>56</v>
      </c>
      <c r="H749" t="s">
        <v>123</v>
      </c>
      <c r="I749">
        <v>4</v>
      </c>
      <c r="J749">
        <v>203.22</v>
      </c>
      <c r="K749">
        <v>0.1</v>
      </c>
      <c r="L749">
        <v>731.59</v>
      </c>
      <c r="M749" t="s">
        <v>48</v>
      </c>
      <c r="N749" t="s">
        <v>24</v>
      </c>
      <c r="O749" t="s">
        <v>65</v>
      </c>
      <c r="P749" t="s">
        <v>102</v>
      </c>
      <c r="Q749" t="str">
        <f t="shared" si="77"/>
        <v>Completed</v>
      </c>
      <c r="R749" t="str">
        <f t="shared" si="78"/>
        <v>Marketplace</v>
      </c>
      <c r="S749" t="str">
        <v>Debit Card</v>
      </c>
      <c r="T749" t="str">
        <v>Stationery</v>
      </c>
      <c r="U749" t="str">
        <f t="shared" si="79"/>
        <v>VALID</v>
      </c>
      <c r="V749" t="str">
        <f t="shared" si="80"/>
        <v>NORMAL</v>
      </c>
      <c r="W749" t="str">
        <f t="shared" si="81"/>
        <v>Valid</v>
      </c>
      <c r="X749">
        <f t="shared" si="83"/>
        <v>812.88</v>
      </c>
      <c r="Y749">
        <f t="shared" si="82"/>
        <v>731.59199999999998</v>
      </c>
    </row>
    <row r="750" spans="1:25" x14ac:dyDescent="0.3">
      <c r="A750" t="s">
        <v>1085</v>
      </c>
      <c r="B750" s="1">
        <v>45551</v>
      </c>
      <c r="C750" t="s">
        <v>92</v>
      </c>
      <c r="D750" t="s">
        <v>131</v>
      </c>
      <c r="E750" t="s">
        <v>132</v>
      </c>
      <c r="F750" t="s">
        <v>40</v>
      </c>
      <c r="G750" t="s">
        <v>32</v>
      </c>
      <c r="H750" t="s">
        <v>75</v>
      </c>
      <c r="I750">
        <v>4</v>
      </c>
      <c r="J750">
        <v>8915.2099999999991</v>
      </c>
      <c r="K750">
        <v>0.2</v>
      </c>
      <c r="L750">
        <v>28528.67</v>
      </c>
      <c r="M750" t="s">
        <v>23</v>
      </c>
      <c r="N750" t="s">
        <v>58</v>
      </c>
      <c r="O750" t="s">
        <v>65</v>
      </c>
      <c r="P750" t="s">
        <v>50</v>
      </c>
      <c r="Q750" t="str">
        <f t="shared" si="77"/>
        <v>Completed</v>
      </c>
      <c r="R750" t="str">
        <f t="shared" si="78"/>
        <v>Online</v>
      </c>
      <c r="S750" t="str">
        <v>Credit Card</v>
      </c>
      <c r="T750" t="str">
        <v>Furniture</v>
      </c>
      <c r="U750" t="str">
        <f t="shared" si="79"/>
        <v>VALID</v>
      </c>
      <c r="V750" t="str">
        <f t="shared" si="80"/>
        <v>NORMAL</v>
      </c>
      <c r="W750" t="str">
        <f t="shared" si="81"/>
        <v>Valid</v>
      </c>
      <c r="X750">
        <f t="shared" si="83"/>
        <v>35660.839999999997</v>
      </c>
      <c r="Y750">
        <f t="shared" si="82"/>
        <v>28528.671999999999</v>
      </c>
    </row>
    <row r="751" spans="1:25" x14ac:dyDescent="0.3">
      <c r="A751" t="s">
        <v>1086</v>
      </c>
      <c r="B751" s="1">
        <v>45695</v>
      </c>
      <c r="C751" t="s">
        <v>341</v>
      </c>
      <c r="D751" t="s">
        <v>62</v>
      </c>
      <c r="E751" t="s">
        <v>63</v>
      </c>
      <c r="F751" t="s">
        <v>31</v>
      </c>
      <c r="G751" t="s">
        <v>21</v>
      </c>
      <c r="H751" t="s">
        <v>126</v>
      </c>
      <c r="I751">
        <v>2</v>
      </c>
      <c r="J751">
        <v>2685.55</v>
      </c>
      <c r="K751">
        <v>0.08</v>
      </c>
      <c r="L751">
        <v>4941.41</v>
      </c>
      <c r="M751" t="s">
        <v>23</v>
      </c>
      <c r="N751" t="s">
        <v>24</v>
      </c>
      <c r="O751" t="s">
        <v>35</v>
      </c>
      <c r="P751" t="s">
        <v>116</v>
      </c>
      <c r="Q751" t="str">
        <f t="shared" si="77"/>
        <v>Cancelled</v>
      </c>
      <c r="R751" t="str">
        <f t="shared" si="78"/>
        <v>Online</v>
      </c>
      <c r="S751" t="str">
        <v>Debit Card</v>
      </c>
      <c r="T751" t="str">
        <v>Electronics</v>
      </c>
      <c r="U751" t="str">
        <f t="shared" si="79"/>
        <v>VALID</v>
      </c>
      <c r="V751" t="str">
        <f t="shared" si="80"/>
        <v>NORMAL</v>
      </c>
      <c r="W751" t="str">
        <f t="shared" si="81"/>
        <v>Valid</v>
      </c>
      <c r="X751">
        <f t="shared" si="83"/>
        <v>5371.1</v>
      </c>
      <c r="Y751">
        <f t="shared" si="82"/>
        <v>4941.4120000000003</v>
      </c>
    </row>
    <row r="752" spans="1:25" x14ac:dyDescent="0.3">
      <c r="A752" t="s">
        <v>1087</v>
      </c>
      <c r="B752" s="1">
        <v>45558</v>
      </c>
      <c r="C752" t="s">
        <v>208</v>
      </c>
      <c r="D752" t="s">
        <v>85</v>
      </c>
      <c r="E752" t="s">
        <v>86</v>
      </c>
      <c r="F752" t="s">
        <v>20</v>
      </c>
      <c r="G752" t="s">
        <v>32</v>
      </c>
      <c r="H752" t="s">
        <v>47</v>
      </c>
      <c r="I752">
        <v>2</v>
      </c>
      <c r="J752">
        <v>1767.6</v>
      </c>
      <c r="K752">
        <v>0.1</v>
      </c>
      <c r="L752">
        <v>3181.68</v>
      </c>
      <c r="M752" t="s">
        <v>76</v>
      </c>
      <c r="N752" t="s">
        <v>24</v>
      </c>
      <c r="O752" t="s">
        <v>65</v>
      </c>
      <c r="P752" t="s">
        <v>102</v>
      </c>
      <c r="Q752" t="str">
        <f t="shared" si="77"/>
        <v>Completed</v>
      </c>
      <c r="R752" t="str">
        <f t="shared" si="78"/>
        <v>Store</v>
      </c>
      <c r="S752" t="str">
        <v>Debit Card</v>
      </c>
      <c r="T752" t="str">
        <v>Accessories</v>
      </c>
      <c r="U752" t="str">
        <f t="shared" si="79"/>
        <v>VALID</v>
      </c>
      <c r="V752" t="str">
        <f t="shared" si="80"/>
        <v>NORMAL</v>
      </c>
      <c r="W752" t="str">
        <f t="shared" si="81"/>
        <v>Valid</v>
      </c>
      <c r="X752">
        <f t="shared" si="83"/>
        <v>3535.2</v>
      </c>
      <c r="Y752">
        <f t="shared" si="82"/>
        <v>3181.68</v>
      </c>
    </row>
    <row r="753" spans="1:25" x14ac:dyDescent="0.3">
      <c r="A753" t="s">
        <v>1088</v>
      </c>
      <c r="B753" s="1">
        <v>45836</v>
      </c>
      <c r="C753" t="s">
        <v>441</v>
      </c>
      <c r="D753" t="s">
        <v>18</v>
      </c>
      <c r="E753" t="s">
        <v>19</v>
      </c>
      <c r="F753" t="s">
        <v>20</v>
      </c>
      <c r="G753" t="s">
        <v>21</v>
      </c>
      <c r="H753" t="s">
        <v>41</v>
      </c>
      <c r="I753">
        <v>2</v>
      </c>
      <c r="J753">
        <v>898.94</v>
      </c>
      <c r="K753">
        <v>0.05</v>
      </c>
      <c r="L753">
        <v>1707.99</v>
      </c>
      <c r="M753" t="s">
        <v>48</v>
      </c>
      <c r="N753" t="s">
        <v>71</v>
      </c>
      <c r="O753" t="s">
        <v>65</v>
      </c>
      <c r="P753" t="s">
        <v>26</v>
      </c>
      <c r="Q753" t="str">
        <f t="shared" si="77"/>
        <v>Completed</v>
      </c>
      <c r="R753" t="str">
        <f t="shared" si="78"/>
        <v>Marketplace</v>
      </c>
      <c r="S753" t="str">
        <v>Upi</v>
      </c>
      <c r="T753" t="str">
        <v>Accessories</v>
      </c>
      <c r="U753" t="str">
        <f t="shared" si="79"/>
        <v>VALID</v>
      </c>
      <c r="V753" t="str">
        <f t="shared" si="80"/>
        <v>NORMAL</v>
      </c>
      <c r="W753" t="str">
        <f t="shared" si="81"/>
        <v>Valid</v>
      </c>
      <c r="X753">
        <f t="shared" si="83"/>
        <v>1797.88</v>
      </c>
      <c r="Y753">
        <f t="shared" si="82"/>
        <v>1707.9860000000001</v>
      </c>
    </row>
    <row r="754" spans="1:25" x14ac:dyDescent="0.3">
      <c r="A754" t="s">
        <v>1089</v>
      </c>
      <c r="B754" s="1">
        <v>46060</v>
      </c>
      <c r="C754" t="s">
        <v>493</v>
      </c>
      <c r="D754" t="s">
        <v>105</v>
      </c>
      <c r="E754" t="s">
        <v>106</v>
      </c>
      <c r="F754" t="s">
        <v>40</v>
      </c>
      <c r="G754" t="s">
        <v>21</v>
      </c>
      <c r="H754" t="s">
        <v>93</v>
      </c>
      <c r="I754">
        <v>5</v>
      </c>
      <c r="J754">
        <v>6947.16</v>
      </c>
      <c r="K754">
        <v>0.05</v>
      </c>
      <c r="L754">
        <v>32999.01</v>
      </c>
      <c r="M754" t="s">
        <v>76</v>
      </c>
      <c r="N754" t="s">
        <v>24</v>
      </c>
      <c r="O754" t="s">
        <v>65</v>
      </c>
      <c r="P754" t="s">
        <v>26</v>
      </c>
      <c r="Q754" t="str">
        <f t="shared" si="77"/>
        <v>Completed</v>
      </c>
      <c r="R754" t="str">
        <f t="shared" si="78"/>
        <v>Store</v>
      </c>
      <c r="S754" t="str">
        <v>Debit Card</v>
      </c>
      <c r="T754" t="str">
        <v>Furniture</v>
      </c>
      <c r="U754" t="str">
        <f t="shared" si="79"/>
        <v>VALID</v>
      </c>
      <c r="V754" t="str">
        <f t="shared" si="80"/>
        <v>NORMAL</v>
      </c>
      <c r="W754" t="str">
        <f t="shared" si="81"/>
        <v>Valid</v>
      </c>
      <c r="X754">
        <f t="shared" si="83"/>
        <v>34735.800000000003</v>
      </c>
      <c r="Y754">
        <f t="shared" si="82"/>
        <v>32999.01</v>
      </c>
    </row>
    <row r="755" spans="1:25" x14ac:dyDescent="0.3">
      <c r="A755" t="s">
        <v>1090</v>
      </c>
      <c r="B755" s="1">
        <v>45923</v>
      </c>
      <c r="C755" t="s">
        <v>306</v>
      </c>
      <c r="D755" t="s">
        <v>79</v>
      </c>
      <c r="E755" t="s">
        <v>80</v>
      </c>
      <c r="F755" t="s">
        <v>31</v>
      </c>
      <c r="G755" t="s">
        <v>56</v>
      </c>
      <c r="H755" t="s">
        <v>57</v>
      </c>
      <c r="I755">
        <v>1</v>
      </c>
      <c r="J755">
        <v>12512.75</v>
      </c>
      <c r="K755">
        <v>0.03</v>
      </c>
      <c r="L755">
        <v>12137.37</v>
      </c>
      <c r="M755" t="s">
        <v>48</v>
      </c>
      <c r="N755" t="s">
        <v>49</v>
      </c>
      <c r="O755" t="s">
        <v>35</v>
      </c>
      <c r="P755" t="s">
        <v>59</v>
      </c>
      <c r="Q755" t="str">
        <f t="shared" si="77"/>
        <v>Cancelled</v>
      </c>
      <c r="R755" t="str">
        <f t="shared" si="78"/>
        <v>Marketplace</v>
      </c>
      <c r="S755" t="str">
        <v>Net Banking</v>
      </c>
      <c r="T755" t="str">
        <v>Electronics</v>
      </c>
      <c r="U755" t="str">
        <f t="shared" si="79"/>
        <v>VALID</v>
      </c>
      <c r="V755" t="str">
        <f t="shared" si="80"/>
        <v>NORMAL</v>
      </c>
      <c r="W755" t="str">
        <f t="shared" si="81"/>
        <v>Valid</v>
      </c>
      <c r="X755">
        <f t="shared" si="83"/>
        <v>12512.75</v>
      </c>
      <c r="Y755">
        <f t="shared" si="82"/>
        <v>12137.3675</v>
      </c>
    </row>
    <row r="756" spans="1:25" x14ac:dyDescent="0.3">
      <c r="A756" t="s">
        <v>1091</v>
      </c>
      <c r="B756" s="1">
        <v>45868</v>
      </c>
      <c r="C756" t="s">
        <v>206</v>
      </c>
      <c r="D756" t="s">
        <v>131</v>
      </c>
      <c r="E756" t="s">
        <v>132</v>
      </c>
      <c r="F756" t="s">
        <v>40</v>
      </c>
      <c r="G756" t="s">
        <v>32</v>
      </c>
      <c r="H756" t="s">
        <v>47</v>
      </c>
      <c r="I756">
        <v>1</v>
      </c>
      <c r="J756">
        <v>9819.4500000000007</v>
      </c>
      <c r="K756">
        <v>0.2</v>
      </c>
      <c r="L756">
        <v>7855.56</v>
      </c>
      <c r="M756" t="s">
        <v>76</v>
      </c>
      <c r="N756" t="s">
        <v>58</v>
      </c>
      <c r="O756" t="s">
        <v>25</v>
      </c>
      <c r="P756" t="s">
        <v>116</v>
      </c>
      <c r="Q756" t="str">
        <f t="shared" si="77"/>
        <v>Returned</v>
      </c>
      <c r="R756" t="str">
        <f t="shared" si="78"/>
        <v>Store</v>
      </c>
      <c r="S756" t="str">
        <v>Credit Card</v>
      </c>
      <c r="T756" t="str">
        <v>Furniture</v>
      </c>
      <c r="U756" t="str">
        <f t="shared" si="79"/>
        <v>VALID</v>
      </c>
      <c r="V756" t="str">
        <f t="shared" si="80"/>
        <v>NORMAL</v>
      </c>
      <c r="W756" t="str">
        <f t="shared" si="81"/>
        <v>Valid</v>
      </c>
      <c r="X756">
        <f t="shared" si="83"/>
        <v>9819.4500000000007</v>
      </c>
      <c r="Y756">
        <f t="shared" si="82"/>
        <v>7855.56</v>
      </c>
    </row>
    <row r="757" spans="1:25" x14ac:dyDescent="0.3">
      <c r="A757" t="s">
        <v>1092</v>
      </c>
      <c r="B757" s="1">
        <v>45402</v>
      </c>
      <c r="C757" t="s">
        <v>643</v>
      </c>
      <c r="D757" t="s">
        <v>79</v>
      </c>
      <c r="E757" t="s">
        <v>80</v>
      </c>
      <c r="F757" t="s">
        <v>31</v>
      </c>
      <c r="G757" t="s">
        <v>21</v>
      </c>
      <c r="H757" t="s">
        <v>93</v>
      </c>
      <c r="I757">
        <v>3</v>
      </c>
      <c r="J757">
        <v>11741.15</v>
      </c>
      <c r="K757">
        <v>0.03</v>
      </c>
      <c r="L757">
        <v>34166.75</v>
      </c>
      <c r="M757" t="s">
        <v>23</v>
      </c>
      <c r="N757" t="s">
        <v>58</v>
      </c>
      <c r="O757" t="s">
        <v>25</v>
      </c>
      <c r="Q757" t="str">
        <f t="shared" si="77"/>
        <v>Returned</v>
      </c>
      <c r="R757" t="str">
        <f t="shared" si="78"/>
        <v>Online</v>
      </c>
      <c r="S757" t="str">
        <v>Credit Card</v>
      </c>
      <c r="T757" t="str">
        <v>Electronics</v>
      </c>
      <c r="U757" t="str">
        <f t="shared" si="79"/>
        <v>VALID</v>
      </c>
      <c r="V757" t="str">
        <f t="shared" si="80"/>
        <v>NORMAL</v>
      </c>
      <c r="W757" t="str">
        <f t="shared" si="81"/>
        <v>Valid</v>
      </c>
      <c r="X757">
        <f t="shared" si="83"/>
        <v>35223.449999999997</v>
      </c>
      <c r="Y757">
        <f t="shared" si="82"/>
        <v>34166.746499999994</v>
      </c>
    </row>
    <row r="758" spans="1:25" x14ac:dyDescent="0.3">
      <c r="A758" t="s">
        <v>1093</v>
      </c>
      <c r="B758" s="1">
        <v>46087</v>
      </c>
      <c r="C758" t="s">
        <v>153</v>
      </c>
      <c r="D758" t="s">
        <v>131</v>
      </c>
      <c r="E758" t="s">
        <v>132</v>
      </c>
      <c r="F758" t="s">
        <v>40</v>
      </c>
      <c r="G758" t="s">
        <v>81</v>
      </c>
      <c r="H758" t="s">
        <v>82</v>
      </c>
      <c r="I758">
        <v>5</v>
      </c>
      <c r="J758">
        <v>9755.24</v>
      </c>
      <c r="K758">
        <v>0.05</v>
      </c>
      <c r="L758">
        <v>46337.39</v>
      </c>
      <c r="M758" t="s">
        <v>48</v>
      </c>
      <c r="N758" t="s">
        <v>71</v>
      </c>
      <c r="O758" t="s">
        <v>65</v>
      </c>
      <c r="P758" t="s">
        <v>102</v>
      </c>
      <c r="Q758" t="str">
        <f t="shared" si="77"/>
        <v>Completed</v>
      </c>
      <c r="R758" t="str">
        <f t="shared" si="78"/>
        <v>Marketplace</v>
      </c>
      <c r="S758" t="str">
        <v>Upi</v>
      </c>
      <c r="T758" t="str">
        <v>Furniture</v>
      </c>
      <c r="U758" t="str">
        <f t="shared" si="79"/>
        <v>VALID</v>
      </c>
      <c r="V758" t="str">
        <f t="shared" si="80"/>
        <v>NORMAL</v>
      </c>
      <c r="W758" t="str">
        <f t="shared" si="81"/>
        <v>Valid</v>
      </c>
      <c r="X758">
        <f t="shared" si="83"/>
        <v>48776.2</v>
      </c>
      <c r="Y758">
        <f t="shared" si="82"/>
        <v>46337.39</v>
      </c>
    </row>
    <row r="759" spans="1:25" x14ac:dyDescent="0.3">
      <c r="A759" t="s">
        <v>1094</v>
      </c>
      <c r="B759" s="1">
        <v>45647</v>
      </c>
      <c r="C759" t="s">
        <v>115</v>
      </c>
      <c r="D759" t="s">
        <v>176</v>
      </c>
      <c r="E759" t="s">
        <v>177</v>
      </c>
      <c r="F759" t="s">
        <v>31</v>
      </c>
      <c r="G759" t="s">
        <v>81</v>
      </c>
      <c r="H759" t="s">
        <v>87</v>
      </c>
      <c r="I759">
        <v>4</v>
      </c>
      <c r="J759">
        <v>2333.6799999999998</v>
      </c>
      <c r="K759">
        <v>0.03</v>
      </c>
      <c r="L759">
        <v>9054.68</v>
      </c>
      <c r="M759" t="s">
        <v>23</v>
      </c>
      <c r="N759" t="s">
        <v>58</v>
      </c>
      <c r="O759" t="s">
        <v>25</v>
      </c>
      <c r="P759" t="s">
        <v>50</v>
      </c>
      <c r="Q759" t="str">
        <f t="shared" si="77"/>
        <v>Returned</v>
      </c>
      <c r="R759" t="str">
        <f t="shared" si="78"/>
        <v>Online</v>
      </c>
      <c r="S759" t="str">
        <v>Credit Card</v>
      </c>
      <c r="T759" t="str">
        <v>Electronics</v>
      </c>
      <c r="U759" t="str">
        <f t="shared" si="79"/>
        <v>VALID</v>
      </c>
      <c r="V759" t="str">
        <f t="shared" si="80"/>
        <v>NORMAL</v>
      </c>
      <c r="W759" t="str">
        <f t="shared" si="81"/>
        <v>Valid</v>
      </c>
      <c r="X759">
        <f t="shared" si="83"/>
        <v>9334.7199999999993</v>
      </c>
      <c r="Y759">
        <f t="shared" si="82"/>
        <v>9054.6783999999989</v>
      </c>
    </row>
    <row r="760" spans="1:25" x14ac:dyDescent="0.3">
      <c r="A760" t="s">
        <v>1095</v>
      </c>
      <c r="B760" s="1">
        <v>45890</v>
      </c>
      <c r="C760" t="s">
        <v>1096</v>
      </c>
      <c r="D760" t="s">
        <v>53</v>
      </c>
      <c r="E760" t="s">
        <v>54</v>
      </c>
      <c r="F760" t="s">
        <v>55</v>
      </c>
      <c r="G760" t="s">
        <v>56</v>
      </c>
      <c r="H760" t="s">
        <v>57</v>
      </c>
      <c r="I760">
        <v>4</v>
      </c>
      <c r="J760">
        <v>229.07</v>
      </c>
      <c r="K760">
        <v>0.05</v>
      </c>
      <c r="L760">
        <v>870.47</v>
      </c>
      <c r="M760" t="s">
        <v>76</v>
      </c>
      <c r="O760" t="s">
        <v>35</v>
      </c>
      <c r="P760" t="s">
        <v>42</v>
      </c>
      <c r="Q760" t="str">
        <f t="shared" si="77"/>
        <v>Cancelled</v>
      </c>
      <c r="R760" t="str">
        <f t="shared" si="78"/>
        <v>Store</v>
      </c>
      <c r="S760" t="str">
        <v/>
      </c>
      <c r="T760" t="str">
        <v>Stationery</v>
      </c>
      <c r="U760" t="str">
        <f t="shared" si="79"/>
        <v>VALID</v>
      </c>
      <c r="V760" t="str">
        <f t="shared" si="80"/>
        <v>NORMAL</v>
      </c>
      <c r="W760" t="str">
        <f t="shared" si="81"/>
        <v>Valid</v>
      </c>
      <c r="X760">
        <f t="shared" si="83"/>
        <v>916.28</v>
      </c>
      <c r="Y760">
        <f t="shared" si="82"/>
        <v>870.46600000000001</v>
      </c>
    </row>
    <row r="761" spans="1:25" x14ac:dyDescent="0.3">
      <c r="A761" t="s">
        <v>1097</v>
      </c>
      <c r="B761" s="1">
        <v>45520</v>
      </c>
      <c r="C761" t="s">
        <v>206</v>
      </c>
      <c r="D761" t="s">
        <v>53</v>
      </c>
      <c r="E761" t="s">
        <v>54</v>
      </c>
      <c r="F761" t="s">
        <v>55</v>
      </c>
      <c r="G761" t="s">
        <v>254</v>
      </c>
      <c r="H761" t="s">
        <v>126</v>
      </c>
      <c r="I761">
        <v>4</v>
      </c>
      <c r="J761">
        <v>215.21</v>
      </c>
      <c r="K761">
        <v>0.03</v>
      </c>
      <c r="L761">
        <v>835.01</v>
      </c>
      <c r="M761" t="s">
        <v>48</v>
      </c>
      <c r="N761" t="s">
        <v>49</v>
      </c>
      <c r="O761" t="s">
        <v>65</v>
      </c>
      <c r="P761" t="s">
        <v>50</v>
      </c>
      <c r="Q761" t="str">
        <f t="shared" si="77"/>
        <v>Completed</v>
      </c>
      <c r="R761" t="str">
        <f t="shared" si="78"/>
        <v>Marketplace</v>
      </c>
      <c r="S761" t="str">
        <v>Net Banking</v>
      </c>
      <c r="T761" t="str">
        <v>Stationery</v>
      </c>
      <c r="U761" t="str">
        <f t="shared" si="79"/>
        <v>VALID</v>
      </c>
      <c r="V761" t="str">
        <f t="shared" si="80"/>
        <v>NORMAL</v>
      </c>
      <c r="W761" t="str">
        <f t="shared" si="81"/>
        <v>Valid</v>
      </c>
      <c r="X761">
        <f t="shared" si="83"/>
        <v>860.84</v>
      </c>
      <c r="Y761">
        <f t="shared" si="82"/>
        <v>835.01480000000004</v>
      </c>
    </row>
    <row r="762" spans="1:25" x14ac:dyDescent="0.3">
      <c r="A762" t="s">
        <v>1098</v>
      </c>
      <c r="B762" s="1">
        <v>45655</v>
      </c>
      <c r="C762" t="s">
        <v>319</v>
      </c>
      <c r="D762" t="s">
        <v>38</v>
      </c>
      <c r="E762" t="s">
        <v>39</v>
      </c>
      <c r="F762" t="s">
        <v>40</v>
      </c>
      <c r="G762" t="s">
        <v>56</v>
      </c>
      <c r="H762" t="s">
        <v>57</v>
      </c>
      <c r="I762">
        <v>1</v>
      </c>
      <c r="J762">
        <v>1723.86</v>
      </c>
      <c r="K762">
        <v>0.03</v>
      </c>
      <c r="L762">
        <v>1672.14</v>
      </c>
      <c r="M762" t="s">
        <v>76</v>
      </c>
      <c r="N762" t="s">
        <v>24</v>
      </c>
      <c r="O762" t="s">
        <v>35</v>
      </c>
      <c r="P762" t="s">
        <v>72</v>
      </c>
      <c r="Q762" t="str">
        <f t="shared" si="77"/>
        <v>Cancelled</v>
      </c>
      <c r="R762" t="str">
        <f t="shared" si="78"/>
        <v>Store</v>
      </c>
      <c r="S762" t="str">
        <v>Debit Card</v>
      </c>
      <c r="T762" t="str">
        <v>Furniture</v>
      </c>
      <c r="U762" t="str">
        <f t="shared" si="79"/>
        <v>VALID</v>
      </c>
      <c r="V762" t="str">
        <f t="shared" si="80"/>
        <v>NORMAL</v>
      </c>
      <c r="W762" t="str">
        <f t="shared" si="81"/>
        <v>Valid</v>
      </c>
      <c r="X762">
        <f t="shared" si="83"/>
        <v>1723.86</v>
      </c>
      <c r="Y762">
        <f t="shared" si="82"/>
        <v>1672.1442</v>
      </c>
    </row>
    <row r="763" spans="1:25" x14ac:dyDescent="0.3">
      <c r="A763" t="s">
        <v>1099</v>
      </c>
      <c r="B763" s="1">
        <v>45834</v>
      </c>
      <c r="C763" t="s">
        <v>535</v>
      </c>
      <c r="D763" t="s">
        <v>53</v>
      </c>
      <c r="E763" t="s">
        <v>54</v>
      </c>
      <c r="F763" t="s">
        <v>55</v>
      </c>
      <c r="G763" t="s">
        <v>756</v>
      </c>
      <c r="H763" t="s">
        <v>68</v>
      </c>
      <c r="I763">
        <v>5</v>
      </c>
      <c r="J763">
        <v>226.73</v>
      </c>
      <c r="K763">
        <v>0.1</v>
      </c>
      <c r="L763">
        <v>1020.28</v>
      </c>
      <c r="M763" t="s">
        <v>23</v>
      </c>
      <c r="N763" t="s">
        <v>49</v>
      </c>
      <c r="O763" t="s">
        <v>65</v>
      </c>
      <c r="P763" t="s">
        <v>50</v>
      </c>
      <c r="Q763" t="str">
        <f t="shared" si="77"/>
        <v>Completed</v>
      </c>
      <c r="R763" t="str">
        <f t="shared" si="78"/>
        <v>Online</v>
      </c>
      <c r="S763" t="str">
        <v>Net Banking</v>
      </c>
      <c r="T763" t="str">
        <v>Stationery</v>
      </c>
      <c r="U763" t="str">
        <f t="shared" si="79"/>
        <v>VALID</v>
      </c>
      <c r="V763" t="str">
        <f t="shared" si="80"/>
        <v>NORMAL</v>
      </c>
      <c r="W763" t="str">
        <f t="shared" si="81"/>
        <v>Valid</v>
      </c>
      <c r="X763">
        <f t="shared" si="83"/>
        <v>1133.6499999999999</v>
      </c>
      <c r="Y763">
        <f t="shared" si="82"/>
        <v>1020.2849999999999</v>
      </c>
    </row>
    <row r="764" spans="1:25" x14ac:dyDescent="0.3">
      <c r="A764" t="s">
        <v>1100</v>
      </c>
      <c r="B764" s="1">
        <v>46092</v>
      </c>
      <c r="C764" t="s">
        <v>663</v>
      </c>
      <c r="D764" t="s">
        <v>89</v>
      </c>
      <c r="E764" t="s">
        <v>90</v>
      </c>
      <c r="F764" t="s">
        <v>20</v>
      </c>
      <c r="G764" t="s">
        <v>21</v>
      </c>
      <c r="H764" t="s">
        <v>126</v>
      </c>
      <c r="I764">
        <v>2</v>
      </c>
      <c r="J764">
        <v>740.17</v>
      </c>
      <c r="K764">
        <v>0.2</v>
      </c>
      <c r="L764">
        <v>1184.27</v>
      </c>
      <c r="M764" t="s">
        <v>23</v>
      </c>
      <c r="N764" t="s">
        <v>71</v>
      </c>
      <c r="O764" t="s">
        <v>65</v>
      </c>
      <c r="P764" t="s">
        <v>26</v>
      </c>
      <c r="Q764" t="str">
        <f t="shared" si="77"/>
        <v>Completed</v>
      </c>
      <c r="R764" t="str">
        <f t="shared" si="78"/>
        <v>Online</v>
      </c>
      <c r="S764" t="str">
        <v>Upi</v>
      </c>
      <c r="T764" t="str">
        <v>Accessories</v>
      </c>
      <c r="U764" t="str">
        <f t="shared" si="79"/>
        <v>VALID</v>
      </c>
      <c r="V764" t="str">
        <f t="shared" si="80"/>
        <v>NORMAL</v>
      </c>
      <c r="W764" t="str">
        <f t="shared" si="81"/>
        <v>Valid</v>
      </c>
      <c r="X764">
        <f t="shared" si="83"/>
        <v>1480.34</v>
      </c>
      <c r="Y764">
        <f t="shared" si="82"/>
        <v>1184.2719999999999</v>
      </c>
    </row>
    <row r="765" spans="1:25" x14ac:dyDescent="0.3">
      <c r="A765" t="s">
        <v>1101</v>
      </c>
      <c r="B765" s="1">
        <v>45943</v>
      </c>
      <c r="C765" t="s">
        <v>192</v>
      </c>
      <c r="D765" t="s">
        <v>79</v>
      </c>
      <c r="E765" t="s">
        <v>80</v>
      </c>
      <c r="F765" t="s">
        <v>31</v>
      </c>
      <c r="G765" t="s">
        <v>81</v>
      </c>
      <c r="H765" t="s">
        <v>98</v>
      </c>
      <c r="I765">
        <v>4</v>
      </c>
      <c r="J765">
        <v>12472.72</v>
      </c>
      <c r="K765">
        <v>0.03</v>
      </c>
      <c r="L765">
        <v>48394.15</v>
      </c>
      <c r="M765" t="s">
        <v>23</v>
      </c>
      <c r="N765" t="s">
        <v>58</v>
      </c>
      <c r="O765" t="s">
        <v>65</v>
      </c>
      <c r="P765" t="s">
        <v>72</v>
      </c>
      <c r="Q765" t="str">
        <f t="shared" si="77"/>
        <v>Completed</v>
      </c>
      <c r="R765" t="str">
        <f t="shared" si="78"/>
        <v>Online</v>
      </c>
      <c r="S765" t="str">
        <v>Credit Card</v>
      </c>
      <c r="T765" t="str">
        <v>Electronics</v>
      </c>
      <c r="U765" t="str">
        <f t="shared" si="79"/>
        <v>VALID</v>
      </c>
      <c r="V765" t="str">
        <f t="shared" si="80"/>
        <v>NORMAL</v>
      </c>
      <c r="W765" t="str">
        <f t="shared" si="81"/>
        <v>Valid</v>
      </c>
      <c r="X765">
        <f t="shared" si="83"/>
        <v>49890.879999999997</v>
      </c>
      <c r="Y765">
        <f t="shared" si="82"/>
        <v>48394.153599999998</v>
      </c>
    </row>
    <row r="766" spans="1:25" x14ac:dyDescent="0.3">
      <c r="A766" t="s">
        <v>1102</v>
      </c>
      <c r="B766" s="1">
        <v>45302</v>
      </c>
      <c r="C766" t="s">
        <v>143</v>
      </c>
      <c r="D766" t="s">
        <v>105</v>
      </c>
      <c r="E766" t="s">
        <v>106</v>
      </c>
      <c r="F766" t="s">
        <v>40</v>
      </c>
      <c r="G766" t="s">
        <v>81</v>
      </c>
      <c r="H766" t="s">
        <v>82</v>
      </c>
      <c r="I766">
        <v>2</v>
      </c>
      <c r="J766">
        <v>7339.66</v>
      </c>
      <c r="K766">
        <v>0.1</v>
      </c>
      <c r="L766">
        <v>13211.39</v>
      </c>
      <c r="M766" t="s">
        <v>76</v>
      </c>
      <c r="N766" t="s">
        <v>34</v>
      </c>
      <c r="O766" t="s">
        <v>65</v>
      </c>
      <c r="P766" t="s">
        <v>50</v>
      </c>
      <c r="Q766" t="str">
        <f t="shared" si="77"/>
        <v>Completed</v>
      </c>
      <c r="R766" t="str">
        <f t="shared" si="78"/>
        <v>Store</v>
      </c>
      <c r="S766" t="str">
        <v>Cash On Delivery</v>
      </c>
      <c r="T766" t="str">
        <v>Furniture</v>
      </c>
      <c r="U766" t="str">
        <f t="shared" si="79"/>
        <v>VALID</v>
      </c>
      <c r="V766" t="str">
        <f t="shared" si="80"/>
        <v>NORMAL</v>
      </c>
      <c r="W766" t="str">
        <f t="shared" si="81"/>
        <v>Valid</v>
      </c>
      <c r="X766">
        <f t="shared" si="83"/>
        <v>14679.32</v>
      </c>
      <c r="Y766">
        <f t="shared" si="82"/>
        <v>13211.387999999999</v>
      </c>
    </row>
    <row r="767" spans="1:25" x14ac:dyDescent="0.3">
      <c r="A767" t="s">
        <v>1103</v>
      </c>
      <c r="B767" s="1">
        <v>45581</v>
      </c>
      <c r="C767" t="s">
        <v>179</v>
      </c>
      <c r="D767" t="s">
        <v>29</v>
      </c>
      <c r="E767" t="s">
        <v>30</v>
      </c>
      <c r="F767" t="s">
        <v>31</v>
      </c>
      <c r="G767" t="s">
        <v>32</v>
      </c>
      <c r="H767" t="s">
        <v>33</v>
      </c>
      <c r="I767">
        <v>5</v>
      </c>
      <c r="J767">
        <v>3154.93</v>
      </c>
      <c r="K767">
        <v>0.1</v>
      </c>
      <c r="L767">
        <v>14197.18</v>
      </c>
      <c r="M767" t="s">
        <v>76</v>
      </c>
      <c r="N767" t="s">
        <v>58</v>
      </c>
      <c r="O767" t="s">
        <v>35</v>
      </c>
      <c r="P767" t="s">
        <v>111</v>
      </c>
      <c r="Q767" t="str">
        <f t="shared" si="77"/>
        <v>Cancelled</v>
      </c>
      <c r="R767" t="str">
        <f t="shared" si="78"/>
        <v>Store</v>
      </c>
      <c r="S767" t="str">
        <v>Credit Card</v>
      </c>
      <c r="T767" t="str">
        <v>Electronics</v>
      </c>
      <c r="U767" t="str">
        <f t="shared" si="79"/>
        <v>VALID</v>
      </c>
      <c r="V767" t="str">
        <f t="shared" si="80"/>
        <v>NORMAL</v>
      </c>
      <c r="W767" t="str">
        <f t="shared" si="81"/>
        <v>Valid</v>
      </c>
      <c r="X767">
        <f t="shared" si="83"/>
        <v>15774.65</v>
      </c>
      <c r="Y767">
        <f t="shared" si="82"/>
        <v>14197.184999999999</v>
      </c>
    </row>
    <row r="768" spans="1:25" x14ac:dyDescent="0.3">
      <c r="A768" t="s">
        <v>1104</v>
      </c>
      <c r="B768" s="1">
        <v>45567</v>
      </c>
      <c r="D768" t="s">
        <v>62</v>
      </c>
      <c r="E768" t="s">
        <v>63</v>
      </c>
      <c r="F768" t="s">
        <v>31</v>
      </c>
      <c r="G768" t="s">
        <v>81</v>
      </c>
      <c r="H768" t="s">
        <v>135</v>
      </c>
      <c r="I768">
        <v>5</v>
      </c>
      <c r="J768">
        <v>2715.21</v>
      </c>
      <c r="K768">
        <v>0.15</v>
      </c>
      <c r="L768">
        <v>11539.64</v>
      </c>
      <c r="M768" t="s">
        <v>23</v>
      </c>
      <c r="N768" t="s">
        <v>58</v>
      </c>
      <c r="O768" t="s">
        <v>65</v>
      </c>
      <c r="P768" t="s">
        <v>50</v>
      </c>
      <c r="Q768" t="str">
        <f t="shared" si="77"/>
        <v>Completed</v>
      </c>
      <c r="R768" t="str">
        <f t="shared" si="78"/>
        <v>Online</v>
      </c>
      <c r="S768" t="str">
        <v>Credit Card</v>
      </c>
      <c r="T768" t="str">
        <v>Electronics</v>
      </c>
      <c r="U768" t="str">
        <f t="shared" si="79"/>
        <v>VALID</v>
      </c>
      <c r="V768" t="str">
        <f t="shared" si="80"/>
        <v>NORMAL</v>
      </c>
      <c r="W768" t="str">
        <f t="shared" si="81"/>
        <v>Valid</v>
      </c>
      <c r="X768">
        <f t="shared" si="83"/>
        <v>13576.05</v>
      </c>
      <c r="Y768">
        <f t="shared" si="82"/>
        <v>11539.6425</v>
      </c>
    </row>
    <row r="769" spans="1:25" x14ac:dyDescent="0.3">
      <c r="A769" t="s">
        <v>1105</v>
      </c>
      <c r="B769" s="1">
        <v>45595</v>
      </c>
      <c r="C769" t="s">
        <v>348</v>
      </c>
      <c r="D769" t="s">
        <v>176</v>
      </c>
      <c r="E769" t="s">
        <v>177</v>
      </c>
      <c r="F769" t="s">
        <v>31</v>
      </c>
      <c r="G769" t="s">
        <v>21</v>
      </c>
      <c r="H769" t="s">
        <v>22</v>
      </c>
      <c r="I769">
        <v>3</v>
      </c>
      <c r="J769">
        <v>2347.63</v>
      </c>
      <c r="K769">
        <v>0.03</v>
      </c>
      <c r="L769">
        <v>6831.6</v>
      </c>
      <c r="M769" t="s">
        <v>76</v>
      </c>
      <c r="N769" t="s">
        <v>71</v>
      </c>
      <c r="O769" t="s">
        <v>65</v>
      </c>
      <c r="P769" t="s">
        <v>111</v>
      </c>
      <c r="Q769" t="str">
        <f t="shared" si="77"/>
        <v>Completed</v>
      </c>
      <c r="R769" t="str">
        <f t="shared" si="78"/>
        <v>Store</v>
      </c>
      <c r="S769" t="str">
        <v>Upi</v>
      </c>
      <c r="T769" t="str">
        <v>Electronics</v>
      </c>
      <c r="U769" t="str">
        <f t="shared" si="79"/>
        <v>VALID</v>
      </c>
      <c r="V769" t="str">
        <f t="shared" si="80"/>
        <v>NORMAL</v>
      </c>
      <c r="W769" t="str">
        <f t="shared" si="81"/>
        <v>Valid</v>
      </c>
      <c r="X769">
        <f t="shared" si="83"/>
        <v>7042.89</v>
      </c>
      <c r="Y769">
        <f t="shared" si="82"/>
        <v>6831.6033000000007</v>
      </c>
    </row>
    <row r="770" spans="1:25" x14ac:dyDescent="0.3">
      <c r="A770" t="s">
        <v>1106</v>
      </c>
      <c r="B770" s="1">
        <v>45535</v>
      </c>
      <c r="C770" t="s">
        <v>319</v>
      </c>
      <c r="D770" t="s">
        <v>29</v>
      </c>
      <c r="E770" t="s">
        <v>30</v>
      </c>
      <c r="F770" t="s">
        <v>31</v>
      </c>
      <c r="G770" t="s">
        <v>56</v>
      </c>
      <c r="H770" t="s">
        <v>57</v>
      </c>
      <c r="I770">
        <v>2</v>
      </c>
      <c r="J770">
        <v>3058.45</v>
      </c>
      <c r="K770">
        <v>0.1</v>
      </c>
      <c r="L770">
        <v>5505.21</v>
      </c>
      <c r="M770" t="s">
        <v>23</v>
      </c>
      <c r="N770" t="s">
        <v>34</v>
      </c>
      <c r="O770" t="s">
        <v>65</v>
      </c>
      <c r="P770" t="s">
        <v>102</v>
      </c>
      <c r="Q770" t="str">
        <f t="shared" si="77"/>
        <v>Completed</v>
      </c>
      <c r="R770" t="str">
        <f t="shared" si="78"/>
        <v>Online</v>
      </c>
      <c r="S770" t="str">
        <v>Cash On Delivery</v>
      </c>
      <c r="T770" t="str">
        <v>Electronics</v>
      </c>
      <c r="U770" t="str">
        <f t="shared" si="79"/>
        <v>VALID</v>
      </c>
      <c r="V770" t="str">
        <f t="shared" si="80"/>
        <v>NORMAL</v>
      </c>
      <c r="W770" t="str">
        <f t="shared" si="81"/>
        <v>Valid</v>
      </c>
      <c r="X770">
        <f t="shared" si="83"/>
        <v>6116.9</v>
      </c>
      <c r="Y770">
        <f t="shared" si="82"/>
        <v>5505.21</v>
      </c>
    </row>
    <row r="771" spans="1:25" x14ac:dyDescent="0.3">
      <c r="A771" t="s">
        <v>1107</v>
      </c>
      <c r="B771" s="1">
        <v>45614</v>
      </c>
      <c r="C771" t="s">
        <v>949</v>
      </c>
      <c r="D771" t="s">
        <v>85</v>
      </c>
      <c r="E771" t="s">
        <v>86</v>
      </c>
      <c r="F771" t="s">
        <v>20</v>
      </c>
      <c r="G771" t="s">
        <v>21</v>
      </c>
      <c r="H771" t="s">
        <v>41</v>
      </c>
      <c r="I771">
        <v>2</v>
      </c>
      <c r="J771">
        <v>1846.92</v>
      </c>
      <c r="K771">
        <v>0.03</v>
      </c>
      <c r="L771">
        <v>3583.02</v>
      </c>
      <c r="M771" t="s">
        <v>76</v>
      </c>
      <c r="N771" t="s">
        <v>71</v>
      </c>
      <c r="O771" t="s">
        <v>25</v>
      </c>
      <c r="P771" t="s">
        <v>72</v>
      </c>
      <c r="Q771" t="str">
        <f t="shared" ref="Q771:Q834" si="84">PROPER(O771)</f>
        <v>Returned</v>
      </c>
      <c r="R771" t="str">
        <f t="shared" ref="R771:R834" si="85">PROPER(M771)</f>
        <v>Store</v>
      </c>
      <c r="S771" t="str">
        <v>Upi</v>
      </c>
      <c r="T771" t="str">
        <v>Accessories</v>
      </c>
      <c r="U771" t="str">
        <f t="shared" ref="U771:U834" si="86">IF(I771&lt;=0,"INVALID","VALID")</f>
        <v>VALID</v>
      </c>
      <c r="V771" t="str">
        <f t="shared" ref="V771:V834" si="87">IF(I771&gt;100,"REVIEW","NORMAL")</f>
        <v>NORMAL</v>
      </c>
      <c r="W771" t="str">
        <f t="shared" ref="W771:W834" si="88">IF(OR(K771&lt;0,K771&gt;1),"Invalid","Valid")</f>
        <v>Valid</v>
      </c>
      <c r="X771">
        <f t="shared" si="83"/>
        <v>3693.84</v>
      </c>
      <c r="Y771">
        <f t="shared" ref="Y771:Y834" si="89">I771*J771-(I771*J771*K771)</f>
        <v>3583.0248000000001</v>
      </c>
    </row>
    <row r="772" spans="1:25" x14ac:dyDescent="0.3">
      <c r="A772" t="s">
        <v>1108</v>
      </c>
      <c r="B772" s="1">
        <v>45888</v>
      </c>
      <c r="C772" t="s">
        <v>607</v>
      </c>
      <c r="D772" t="s">
        <v>121</v>
      </c>
      <c r="E772" t="s">
        <v>122</v>
      </c>
      <c r="F772" t="s">
        <v>55</v>
      </c>
      <c r="G772" t="s">
        <v>21</v>
      </c>
      <c r="H772" t="s">
        <v>41</v>
      </c>
      <c r="I772">
        <v>4</v>
      </c>
      <c r="J772">
        <v>464.54</v>
      </c>
      <c r="K772">
        <v>0.1</v>
      </c>
      <c r="L772">
        <v>1672.34</v>
      </c>
      <c r="M772" t="s">
        <v>76</v>
      </c>
      <c r="N772" t="s">
        <v>58</v>
      </c>
      <c r="O772" t="s">
        <v>65</v>
      </c>
      <c r="P772" t="s">
        <v>116</v>
      </c>
      <c r="Q772" t="str">
        <f t="shared" si="84"/>
        <v>Completed</v>
      </c>
      <c r="R772" t="str">
        <f t="shared" si="85"/>
        <v>Store</v>
      </c>
      <c r="S772" t="str">
        <v>Credit Card</v>
      </c>
      <c r="T772" t="str">
        <v>Stationery</v>
      </c>
      <c r="U772" t="str">
        <f t="shared" si="86"/>
        <v>VALID</v>
      </c>
      <c r="V772" t="str">
        <f t="shared" si="87"/>
        <v>NORMAL</v>
      </c>
      <c r="W772" t="str">
        <f t="shared" si="88"/>
        <v>Valid</v>
      </c>
      <c r="X772">
        <f t="shared" ref="X772:X835" si="90">I772*J772</f>
        <v>1858.16</v>
      </c>
      <c r="Y772">
        <f t="shared" si="89"/>
        <v>1672.3440000000001</v>
      </c>
    </row>
    <row r="773" spans="1:25" x14ac:dyDescent="0.3">
      <c r="A773" t="s">
        <v>1109</v>
      </c>
      <c r="B773" s="1">
        <v>45776</v>
      </c>
      <c r="C773" t="s">
        <v>776</v>
      </c>
      <c r="D773" t="s">
        <v>96</v>
      </c>
      <c r="E773" t="s">
        <v>97</v>
      </c>
      <c r="F773" t="s">
        <v>31</v>
      </c>
      <c r="G773" t="s">
        <v>81</v>
      </c>
      <c r="H773" t="s">
        <v>87</v>
      </c>
      <c r="I773">
        <v>5</v>
      </c>
      <c r="J773">
        <v>1141.82</v>
      </c>
      <c r="K773">
        <v>0.15</v>
      </c>
      <c r="L773">
        <v>4852.7299999999996</v>
      </c>
      <c r="M773" t="s">
        <v>48</v>
      </c>
      <c r="N773" t="s">
        <v>24</v>
      </c>
      <c r="O773" t="s">
        <v>35</v>
      </c>
      <c r="P773" t="s">
        <v>59</v>
      </c>
      <c r="Q773" t="str">
        <f t="shared" si="84"/>
        <v>Cancelled</v>
      </c>
      <c r="R773" t="str">
        <f t="shared" si="85"/>
        <v>Marketplace</v>
      </c>
      <c r="S773" t="str">
        <v>Debit Card</v>
      </c>
      <c r="T773" t="str">
        <v>Electronics</v>
      </c>
      <c r="U773" t="str">
        <f t="shared" si="86"/>
        <v>VALID</v>
      </c>
      <c r="V773" t="str">
        <f t="shared" si="87"/>
        <v>NORMAL</v>
      </c>
      <c r="W773" t="str">
        <f t="shared" si="88"/>
        <v>Valid</v>
      </c>
      <c r="X773">
        <f t="shared" si="90"/>
        <v>5709.0999999999995</v>
      </c>
      <c r="Y773">
        <f t="shared" si="89"/>
        <v>4852.7349999999997</v>
      </c>
    </row>
    <row r="774" spans="1:25" x14ac:dyDescent="0.3">
      <c r="A774" t="s">
        <v>1110</v>
      </c>
      <c r="B774" s="1">
        <v>45739</v>
      </c>
      <c r="C774" t="s">
        <v>839</v>
      </c>
      <c r="D774" t="s">
        <v>176</v>
      </c>
      <c r="E774" t="s">
        <v>177</v>
      </c>
      <c r="F774" t="s">
        <v>31</v>
      </c>
      <c r="G774" t="s">
        <v>32</v>
      </c>
      <c r="H774" t="s">
        <v>75</v>
      </c>
      <c r="I774">
        <v>3</v>
      </c>
      <c r="J774">
        <v>2319.66</v>
      </c>
      <c r="K774">
        <v>0.1</v>
      </c>
      <c r="L774">
        <v>6263.08</v>
      </c>
      <c r="M774" t="s">
        <v>48</v>
      </c>
      <c r="N774" t="s">
        <v>24</v>
      </c>
      <c r="O774" t="s">
        <v>65</v>
      </c>
      <c r="P774" t="s">
        <v>42</v>
      </c>
      <c r="Q774" t="str">
        <f t="shared" si="84"/>
        <v>Completed</v>
      </c>
      <c r="R774" t="str">
        <f t="shared" si="85"/>
        <v>Marketplace</v>
      </c>
      <c r="S774" t="str">
        <v>Debit Card</v>
      </c>
      <c r="T774" t="str">
        <v>Electronics</v>
      </c>
      <c r="U774" t="str">
        <f t="shared" si="86"/>
        <v>VALID</v>
      </c>
      <c r="V774" t="str">
        <f t="shared" si="87"/>
        <v>NORMAL</v>
      </c>
      <c r="W774" t="str">
        <f t="shared" si="88"/>
        <v>Valid</v>
      </c>
      <c r="X774">
        <f t="shared" si="90"/>
        <v>6958.98</v>
      </c>
      <c r="Y774">
        <f t="shared" si="89"/>
        <v>6263.0819999999994</v>
      </c>
    </row>
    <row r="775" spans="1:25" x14ac:dyDescent="0.3">
      <c r="A775" t="s">
        <v>1111</v>
      </c>
      <c r="B775" s="1">
        <v>45871</v>
      </c>
      <c r="C775" t="s">
        <v>130</v>
      </c>
      <c r="D775" t="s">
        <v>131</v>
      </c>
      <c r="E775" t="s">
        <v>132</v>
      </c>
      <c r="F775" t="s">
        <v>40</v>
      </c>
      <c r="G775" t="s">
        <v>21</v>
      </c>
      <c r="H775" t="s">
        <v>126</v>
      </c>
      <c r="I775">
        <v>4</v>
      </c>
      <c r="J775">
        <v>9229.6</v>
      </c>
      <c r="K775">
        <v>0.08</v>
      </c>
      <c r="L775">
        <v>33964.93</v>
      </c>
      <c r="M775" t="s">
        <v>76</v>
      </c>
      <c r="N775" t="s">
        <v>71</v>
      </c>
      <c r="O775" t="s">
        <v>65</v>
      </c>
      <c r="P775" t="s">
        <v>72</v>
      </c>
      <c r="Q775" t="str">
        <f t="shared" si="84"/>
        <v>Completed</v>
      </c>
      <c r="R775" t="str">
        <f t="shared" si="85"/>
        <v>Store</v>
      </c>
      <c r="S775" t="str">
        <v>Upi</v>
      </c>
      <c r="T775" t="str">
        <v>Furniture</v>
      </c>
      <c r="U775" t="str">
        <f t="shared" si="86"/>
        <v>VALID</v>
      </c>
      <c r="V775" t="str">
        <f t="shared" si="87"/>
        <v>NORMAL</v>
      </c>
      <c r="W775" t="str">
        <f t="shared" si="88"/>
        <v>Valid</v>
      </c>
      <c r="X775">
        <f t="shared" si="90"/>
        <v>36918.400000000001</v>
      </c>
      <c r="Y775">
        <f t="shared" si="89"/>
        <v>33964.928</v>
      </c>
    </row>
    <row r="776" spans="1:25" x14ac:dyDescent="0.3">
      <c r="A776" t="s">
        <v>1112</v>
      </c>
      <c r="B776" s="1">
        <v>46067</v>
      </c>
      <c r="C776" t="s">
        <v>169</v>
      </c>
      <c r="D776" t="s">
        <v>38</v>
      </c>
      <c r="E776" t="s">
        <v>39</v>
      </c>
      <c r="F776" t="s">
        <v>40</v>
      </c>
      <c r="G776" t="s">
        <v>81</v>
      </c>
      <c r="H776" t="s">
        <v>98</v>
      </c>
      <c r="I776">
        <v>1</v>
      </c>
      <c r="J776">
        <v>1629.44</v>
      </c>
      <c r="K776">
        <v>0.15</v>
      </c>
      <c r="L776">
        <v>1385.02</v>
      </c>
      <c r="M776" t="s">
        <v>23</v>
      </c>
      <c r="N776" t="s">
        <v>58</v>
      </c>
      <c r="O776" t="s">
        <v>25</v>
      </c>
      <c r="P776" t="s">
        <v>111</v>
      </c>
      <c r="Q776" t="str">
        <f t="shared" si="84"/>
        <v>Returned</v>
      </c>
      <c r="R776" t="str">
        <f t="shared" si="85"/>
        <v>Online</v>
      </c>
      <c r="S776" t="str">
        <v>Credit Card</v>
      </c>
      <c r="T776" t="str">
        <v>Furniture</v>
      </c>
      <c r="U776" t="str">
        <f t="shared" si="86"/>
        <v>VALID</v>
      </c>
      <c r="V776" t="str">
        <f t="shared" si="87"/>
        <v>NORMAL</v>
      </c>
      <c r="W776" t="str">
        <f t="shared" si="88"/>
        <v>Valid</v>
      </c>
      <c r="X776">
        <f t="shared" si="90"/>
        <v>1629.44</v>
      </c>
      <c r="Y776">
        <f t="shared" si="89"/>
        <v>1385.0240000000001</v>
      </c>
    </row>
    <row r="777" spans="1:25" x14ac:dyDescent="0.3">
      <c r="A777" t="s">
        <v>1113</v>
      </c>
      <c r="B777" s="1">
        <v>45465</v>
      </c>
      <c r="C777" t="s">
        <v>643</v>
      </c>
      <c r="D777" t="s">
        <v>85</v>
      </c>
      <c r="E777" t="s">
        <v>86</v>
      </c>
      <c r="F777" t="s">
        <v>20</v>
      </c>
      <c r="G777" t="s">
        <v>32</v>
      </c>
      <c r="H777" t="s">
        <v>68</v>
      </c>
      <c r="J777">
        <v>1725.33</v>
      </c>
      <c r="K777">
        <v>0.15</v>
      </c>
      <c r="L777">
        <v>7332.65</v>
      </c>
      <c r="M777" t="s">
        <v>23</v>
      </c>
      <c r="N777" t="s">
        <v>58</v>
      </c>
      <c r="O777" t="s">
        <v>65</v>
      </c>
      <c r="P777" t="s">
        <v>59</v>
      </c>
      <c r="Q777" t="str">
        <f t="shared" si="84"/>
        <v>Completed</v>
      </c>
      <c r="R777" t="str">
        <f t="shared" si="85"/>
        <v>Online</v>
      </c>
      <c r="S777" t="str">
        <v>Credit Card</v>
      </c>
      <c r="T777" t="str">
        <v>Accessories</v>
      </c>
      <c r="U777" t="str">
        <f t="shared" si="86"/>
        <v>INVALID</v>
      </c>
      <c r="V777" t="str">
        <f t="shared" si="87"/>
        <v>NORMAL</v>
      </c>
      <c r="W777" t="str">
        <f t="shared" si="88"/>
        <v>Valid</v>
      </c>
      <c r="X777">
        <f t="shared" si="90"/>
        <v>0</v>
      </c>
      <c r="Y777">
        <f t="shared" si="89"/>
        <v>0</v>
      </c>
    </row>
    <row r="778" spans="1:25" x14ac:dyDescent="0.3">
      <c r="A778" t="s">
        <v>1114</v>
      </c>
      <c r="B778" s="1">
        <v>45675</v>
      </c>
      <c r="C778" t="s">
        <v>37</v>
      </c>
      <c r="D778" t="s">
        <v>79</v>
      </c>
      <c r="E778" t="s">
        <v>80</v>
      </c>
      <c r="F778" t="s">
        <v>31</v>
      </c>
      <c r="G778" t="s">
        <v>81</v>
      </c>
      <c r="H778" t="s">
        <v>135</v>
      </c>
      <c r="I778">
        <v>5</v>
      </c>
      <c r="J778">
        <v>13161.27</v>
      </c>
      <c r="K778">
        <v>0.1</v>
      </c>
      <c r="L778">
        <v>59225.72</v>
      </c>
      <c r="M778" t="s">
        <v>23</v>
      </c>
      <c r="N778" t="s">
        <v>49</v>
      </c>
      <c r="O778" t="s">
        <v>25</v>
      </c>
      <c r="P778" t="s">
        <v>111</v>
      </c>
      <c r="Q778" t="str">
        <f t="shared" si="84"/>
        <v>Returned</v>
      </c>
      <c r="R778" t="str">
        <f t="shared" si="85"/>
        <v>Online</v>
      </c>
      <c r="S778" t="str">
        <v>Net Banking</v>
      </c>
      <c r="T778" t="str">
        <v>Electronics</v>
      </c>
      <c r="U778" t="str">
        <f t="shared" si="86"/>
        <v>VALID</v>
      </c>
      <c r="V778" t="str">
        <f t="shared" si="87"/>
        <v>NORMAL</v>
      </c>
      <c r="W778" t="str">
        <f t="shared" si="88"/>
        <v>Valid</v>
      </c>
      <c r="X778">
        <f t="shared" si="90"/>
        <v>65806.350000000006</v>
      </c>
      <c r="Y778">
        <f t="shared" si="89"/>
        <v>59225.715000000004</v>
      </c>
    </row>
    <row r="779" spans="1:25" x14ac:dyDescent="0.3">
      <c r="A779" t="s">
        <v>1115</v>
      </c>
      <c r="B779" s="1">
        <v>45497</v>
      </c>
      <c r="C779" t="s">
        <v>810</v>
      </c>
      <c r="D779" t="s">
        <v>62</v>
      </c>
      <c r="E779" t="s">
        <v>63</v>
      </c>
      <c r="F779" t="s">
        <v>31</v>
      </c>
      <c r="G779" t="s">
        <v>56</v>
      </c>
      <c r="H779" t="s">
        <v>57</v>
      </c>
      <c r="I779">
        <v>3</v>
      </c>
      <c r="J779">
        <v>2629.89</v>
      </c>
      <c r="K779">
        <v>0.08</v>
      </c>
      <c r="L779">
        <v>7258.5</v>
      </c>
      <c r="M779" t="s">
        <v>76</v>
      </c>
      <c r="N779" t="s">
        <v>58</v>
      </c>
      <c r="O779" t="s">
        <v>65</v>
      </c>
      <c r="P779" t="s">
        <v>116</v>
      </c>
      <c r="Q779" t="str">
        <f t="shared" si="84"/>
        <v>Completed</v>
      </c>
      <c r="R779" t="str">
        <f t="shared" si="85"/>
        <v>Store</v>
      </c>
      <c r="S779" t="str">
        <v>Credit Card</v>
      </c>
      <c r="T779" t="str">
        <v>Electronics</v>
      </c>
      <c r="U779" t="str">
        <f t="shared" si="86"/>
        <v>VALID</v>
      </c>
      <c r="V779" t="str">
        <f t="shared" si="87"/>
        <v>NORMAL</v>
      </c>
      <c r="W779" t="str">
        <f t="shared" si="88"/>
        <v>Valid</v>
      </c>
      <c r="X779">
        <f t="shared" si="90"/>
        <v>7889.67</v>
      </c>
      <c r="Y779">
        <f t="shared" si="89"/>
        <v>7258.4964</v>
      </c>
    </row>
    <row r="780" spans="1:25" x14ac:dyDescent="0.3">
      <c r="A780" t="s">
        <v>1116</v>
      </c>
      <c r="B780" s="1">
        <v>45933</v>
      </c>
      <c r="C780" t="s">
        <v>1117</v>
      </c>
      <c r="D780" t="s">
        <v>85</v>
      </c>
      <c r="E780" t="s">
        <v>86</v>
      </c>
      <c r="F780" t="s">
        <v>20</v>
      </c>
      <c r="G780" t="s">
        <v>32</v>
      </c>
      <c r="H780" t="s">
        <v>75</v>
      </c>
      <c r="I780">
        <v>4</v>
      </c>
      <c r="J780">
        <v>1704.56</v>
      </c>
      <c r="K780">
        <v>0.08</v>
      </c>
      <c r="L780">
        <v>6272.78</v>
      </c>
      <c r="M780" t="s">
        <v>23</v>
      </c>
      <c r="N780" t="s">
        <v>34</v>
      </c>
      <c r="O780" t="s">
        <v>65</v>
      </c>
      <c r="P780" t="s">
        <v>59</v>
      </c>
      <c r="Q780" t="str">
        <f t="shared" si="84"/>
        <v>Completed</v>
      </c>
      <c r="R780" t="str">
        <f t="shared" si="85"/>
        <v>Online</v>
      </c>
      <c r="S780" t="str">
        <v>Cash On Delivery</v>
      </c>
      <c r="T780" t="str">
        <v>Accessories</v>
      </c>
      <c r="U780" t="str">
        <f t="shared" si="86"/>
        <v>VALID</v>
      </c>
      <c r="V780" t="str">
        <f t="shared" si="87"/>
        <v>NORMAL</v>
      </c>
      <c r="W780" t="str">
        <f t="shared" si="88"/>
        <v>Valid</v>
      </c>
      <c r="X780">
        <f t="shared" si="90"/>
        <v>6818.24</v>
      </c>
      <c r="Y780">
        <f t="shared" si="89"/>
        <v>6272.7807999999995</v>
      </c>
    </row>
    <row r="781" spans="1:25" x14ac:dyDescent="0.3">
      <c r="A781" t="s">
        <v>1118</v>
      </c>
      <c r="B781" s="1">
        <v>45424</v>
      </c>
      <c r="C781" t="s">
        <v>462</v>
      </c>
      <c r="D781" t="s">
        <v>79</v>
      </c>
      <c r="E781" t="s">
        <v>80</v>
      </c>
      <c r="F781" t="s">
        <v>31</v>
      </c>
      <c r="G781" t="s">
        <v>32</v>
      </c>
      <c r="I781">
        <v>2</v>
      </c>
      <c r="J781">
        <v>12747.15</v>
      </c>
      <c r="K781">
        <v>0.08</v>
      </c>
      <c r="L781">
        <v>23454.76</v>
      </c>
      <c r="M781" t="s">
        <v>76</v>
      </c>
      <c r="N781" t="s">
        <v>58</v>
      </c>
      <c r="O781" t="s">
        <v>65</v>
      </c>
      <c r="P781" t="s">
        <v>116</v>
      </c>
      <c r="Q781" t="str">
        <f t="shared" si="84"/>
        <v>Completed</v>
      </c>
      <c r="R781" t="str">
        <f t="shared" si="85"/>
        <v>Store</v>
      </c>
      <c r="S781" t="str">
        <v>Credit Card</v>
      </c>
      <c r="T781" t="str">
        <v>Electronics</v>
      </c>
      <c r="U781" t="str">
        <f t="shared" si="86"/>
        <v>VALID</v>
      </c>
      <c r="V781" t="str">
        <f t="shared" si="87"/>
        <v>NORMAL</v>
      </c>
      <c r="W781" t="str">
        <f t="shared" si="88"/>
        <v>Valid</v>
      </c>
      <c r="X781">
        <f t="shared" si="90"/>
        <v>25494.3</v>
      </c>
      <c r="Y781">
        <f t="shared" si="89"/>
        <v>23454.755999999998</v>
      </c>
    </row>
    <row r="782" spans="1:25" x14ac:dyDescent="0.3">
      <c r="A782" t="s">
        <v>1119</v>
      </c>
      <c r="B782" s="1">
        <v>45635</v>
      </c>
      <c r="C782" t="s">
        <v>357</v>
      </c>
      <c r="D782" t="s">
        <v>131</v>
      </c>
      <c r="E782" t="s">
        <v>132</v>
      </c>
      <c r="F782" t="s">
        <v>40</v>
      </c>
      <c r="G782" t="s">
        <v>56</v>
      </c>
      <c r="H782" t="s">
        <v>101</v>
      </c>
      <c r="I782">
        <v>2</v>
      </c>
      <c r="J782">
        <v>9508.7199999999993</v>
      </c>
      <c r="K782">
        <v>0.03</v>
      </c>
      <c r="L782">
        <v>18446.919999999998</v>
      </c>
      <c r="M782" t="s">
        <v>48</v>
      </c>
      <c r="N782" t="s">
        <v>49</v>
      </c>
      <c r="O782" t="s">
        <v>65</v>
      </c>
      <c r="P782" t="s">
        <v>59</v>
      </c>
      <c r="Q782" t="str">
        <f t="shared" si="84"/>
        <v>Completed</v>
      </c>
      <c r="R782" t="str">
        <f t="shared" si="85"/>
        <v>Marketplace</v>
      </c>
      <c r="S782" t="str">
        <v>Net Banking</v>
      </c>
      <c r="T782" t="str">
        <v>Furniture</v>
      </c>
      <c r="U782" t="str">
        <f t="shared" si="86"/>
        <v>VALID</v>
      </c>
      <c r="V782" t="str">
        <f t="shared" si="87"/>
        <v>NORMAL</v>
      </c>
      <c r="W782" t="str">
        <f t="shared" si="88"/>
        <v>Valid</v>
      </c>
      <c r="X782">
        <f t="shared" si="90"/>
        <v>19017.439999999999</v>
      </c>
      <c r="Y782">
        <f t="shared" si="89"/>
        <v>18446.916799999999</v>
      </c>
    </row>
    <row r="783" spans="1:25" x14ac:dyDescent="0.3">
      <c r="A783" t="s">
        <v>1120</v>
      </c>
      <c r="B783" s="1">
        <v>45737</v>
      </c>
      <c r="C783" t="s">
        <v>321</v>
      </c>
      <c r="D783" t="s">
        <v>53</v>
      </c>
      <c r="E783" t="s">
        <v>54</v>
      </c>
      <c r="F783" t="s">
        <v>55</v>
      </c>
      <c r="G783" t="s">
        <v>81</v>
      </c>
      <c r="H783" t="s">
        <v>98</v>
      </c>
      <c r="I783">
        <v>1</v>
      </c>
      <c r="J783">
        <v>227.65</v>
      </c>
      <c r="K783">
        <v>0.05</v>
      </c>
      <c r="L783">
        <v>216.27</v>
      </c>
      <c r="M783" t="s">
        <v>76</v>
      </c>
      <c r="N783" t="s">
        <v>24</v>
      </c>
      <c r="O783" t="s">
        <v>65</v>
      </c>
      <c r="P783" t="s">
        <v>59</v>
      </c>
      <c r="Q783" t="str">
        <f t="shared" si="84"/>
        <v>Completed</v>
      </c>
      <c r="R783" t="str">
        <f t="shared" si="85"/>
        <v>Store</v>
      </c>
      <c r="S783" t="str">
        <v>Debit Card</v>
      </c>
      <c r="T783" t="str">
        <v>Stationery</v>
      </c>
      <c r="U783" t="str">
        <f t="shared" si="86"/>
        <v>VALID</v>
      </c>
      <c r="V783" t="str">
        <f t="shared" si="87"/>
        <v>NORMAL</v>
      </c>
      <c r="W783" t="str">
        <f t="shared" si="88"/>
        <v>Valid</v>
      </c>
      <c r="X783">
        <f t="shared" si="90"/>
        <v>227.65</v>
      </c>
      <c r="Y783">
        <f t="shared" si="89"/>
        <v>216.26750000000001</v>
      </c>
    </row>
    <row r="784" spans="1:25" x14ac:dyDescent="0.3">
      <c r="A784" t="s">
        <v>1121</v>
      </c>
      <c r="B784" s="1">
        <v>45620</v>
      </c>
      <c r="C784" t="s">
        <v>554</v>
      </c>
      <c r="D784" t="s">
        <v>170</v>
      </c>
      <c r="E784" t="s">
        <v>171</v>
      </c>
      <c r="F784" t="s">
        <v>31</v>
      </c>
      <c r="G784" t="s">
        <v>32</v>
      </c>
      <c r="H784" t="s">
        <v>47</v>
      </c>
      <c r="I784">
        <v>5</v>
      </c>
      <c r="J784">
        <v>67952.84</v>
      </c>
      <c r="K784">
        <v>0</v>
      </c>
      <c r="L784">
        <v>339764.2</v>
      </c>
      <c r="M784" t="s">
        <v>76</v>
      </c>
      <c r="N784" t="s">
        <v>49</v>
      </c>
      <c r="O784" t="s">
        <v>25</v>
      </c>
      <c r="P784" t="s">
        <v>111</v>
      </c>
      <c r="Q784" t="str">
        <f t="shared" si="84"/>
        <v>Returned</v>
      </c>
      <c r="R784" t="str">
        <f t="shared" si="85"/>
        <v>Store</v>
      </c>
      <c r="S784" t="str">
        <v>Net Banking</v>
      </c>
      <c r="T784" t="str">
        <v>Electronics</v>
      </c>
      <c r="U784" t="str">
        <f t="shared" si="86"/>
        <v>VALID</v>
      </c>
      <c r="V784" t="str">
        <f t="shared" si="87"/>
        <v>NORMAL</v>
      </c>
      <c r="W784" t="str">
        <f t="shared" si="88"/>
        <v>Valid</v>
      </c>
      <c r="X784">
        <f t="shared" si="90"/>
        <v>339764.19999999995</v>
      </c>
      <c r="Y784">
        <f t="shared" si="89"/>
        <v>339764.19999999995</v>
      </c>
    </row>
    <row r="785" spans="1:25" x14ac:dyDescent="0.3">
      <c r="A785" t="s">
        <v>1122</v>
      </c>
      <c r="B785" s="1">
        <v>45556</v>
      </c>
      <c r="C785" t="s">
        <v>357</v>
      </c>
      <c r="D785" t="s">
        <v>38</v>
      </c>
      <c r="E785" t="s">
        <v>39</v>
      </c>
      <c r="F785" t="s">
        <v>40</v>
      </c>
      <c r="G785" t="s">
        <v>56</v>
      </c>
      <c r="H785" t="s">
        <v>123</v>
      </c>
      <c r="I785">
        <v>1</v>
      </c>
      <c r="J785">
        <v>1559.98</v>
      </c>
      <c r="K785">
        <v>0.15</v>
      </c>
      <c r="L785">
        <v>1325.98</v>
      </c>
      <c r="M785" t="s">
        <v>23</v>
      </c>
      <c r="N785" t="s">
        <v>34</v>
      </c>
      <c r="O785" t="s">
        <v>65</v>
      </c>
      <c r="P785" t="s">
        <v>116</v>
      </c>
      <c r="Q785" t="str">
        <f t="shared" si="84"/>
        <v>Completed</v>
      </c>
      <c r="R785" t="str">
        <f t="shared" si="85"/>
        <v>Online</v>
      </c>
      <c r="S785" t="str">
        <v>Cash On Delivery</v>
      </c>
      <c r="T785" t="str">
        <v>Furniture</v>
      </c>
      <c r="U785" t="str">
        <f t="shared" si="86"/>
        <v>VALID</v>
      </c>
      <c r="V785" t="str">
        <f t="shared" si="87"/>
        <v>NORMAL</v>
      </c>
      <c r="W785" t="str">
        <f t="shared" si="88"/>
        <v>Valid</v>
      </c>
      <c r="X785">
        <f t="shared" si="90"/>
        <v>1559.98</v>
      </c>
      <c r="Y785">
        <f t="shared" si="89"/>
        <v>1325.9829999999999</v>
      </c>
    </row>
    <row r="786" spans="1:25" x14ac:dyDescent="0.3">
      <c r="A786" t="s">
        <v>1123</v>
      </c>
      <c r="B786" s="1">
        <v>45305</v>
      </c>
      <c r="C786" t="s">
        <v>362</v>
      </c>
      <c r="D786" t="s">
        <v>29</v>
      </c>
      <c r="E786" t="s">
        <v>30</v>
      </c>
      <c r="F786" t="s">
        <v>31</v>
      </c>
      <c r="G786" t="s">
        <v>32</v>
      </c>
      <c r="H786" t="s">
        <v>68</v>
      </c>
      <c r="I786">
        <v>4</v>
      </c>
      <c r="J786">
        <v>3385.25</v>
      </c>
      <c r="K786">
        <v>0.1</v>
      </c>
      <c r="L786">
        <v>12186.9</v>
      </c>
      <c r="M786" t="s">
        <v>76</v>
      </c>
      <c r="N786" t="s">
        <v>34</v>
      </c>
      <c r="O786" t="s">
        <v>65</v>
      </c>
      <c r="P786" t="s">
        <v>26</v>
      </c>
      <c r="Q786" t="str">
        <f t="shared" si="84"/>
        <v>Completed</v>
      </c>
      <c r="R786" t="str">
        <f t="shared" si="85"/>
        <v>Store</v>
      </c>
      <c r="S786" t="str">
        <v>Cash On Delivery</v>
      </c>
      <c r="T786" t="str">
        <v>Electronics</v>
      </c>
      <c r="U786" t="str">
        <f t="shared" si="86"/>
        <v>VALID</v>
      </c>
      <c r="V786" t="str">
        <f t="shared" si="87"/>
        <v>NORMAL</v>
      </c>
      <c r="W786" t="str">
        <f t="shared" si="88"/>
        <v>Valid</v>
      </c>
      <c r="X786">
        <f t="shared" si="90"/>
        <v>13541</v>
      </c>
      <c r="Y786">
        <f t="shared" si="89"/>
        <v>12186.9</v>
      </c>
    </row>
    <row r="787" spans="1:25" x14ac:dyDescent="0.3">
      <c r="A787" t="s">
        <v>1124</v>
      </c>
      <c r="B787" s="1">
        <v>45312</v>
      </c>
      <c r="C787" t="s">
        <v>17</v>
      </c>
      <c r="D787" t="s">
        <v>62</v>
      </c>
      <c r="E787" t="s">
        <v>63</v>
      </c>
      <c r="F787" t="s">
        <v>31</v>
      </c>
      <c r="G787" t="s">
        <v>21</v>
      </c>
      <c r="H787" t="s">
        <v>22</v>
      </c>
      <c r="I787">
        <v>4</v>
      </c>
      <c r="J787">
        <v>2777.84</v>
      </c>
      <c r="K787">
        <v>0.15</v>
      </c>
      <c r="L787">
        <v>9444.66</v>
      </c>
      <c r="M787" t="s">
        <v>48</v>
      </c>
      <c r="N787" t="s">
        <v>58</v>
      </c>
      <c r="O787" t="s">
        <v>65</v>
      </c>
      <c r="P787" t="s">
        <v>116</v>
      </c>
      <c r="Q787" t="str">
        <f t="shared" si="84"/>
        <v>Completed</v>
      </c>
      <c r="R787" t="str">
        <f t="shared" si="85"/>
        <v>Marketplace</v>
      </c>
      <c r="S787" t="str">
        <v>Credit Card</v>
      </c>
      <c r="T787" t="str">
        <v>Electronics</v>
      </c>
      <c r="U787" t="str">
        <f t="shared" si="86"/>
        <v>VALID</v>
      </c>
      <c r="V787" t="str">
        <f t="shared" si="87"/>
        <v>NORMAL</v>
      </c>
      <c r="W787" t="str">
        <f t="shared" si="88"/>
        <v>Valid</v>
      </c>
      <c r="X787">
        <f t="shared" si="90"/>
        <v>11111.36</v>
      </c>
      <c r="Y787">
        <f t="shared" si="89"/>
        <v>9444.6560000000009</v>
      </c>
    </row>
    <row r="788" spans="1:25" x14ac:dyDescent="0.3">
      <c r="A788" t="s">
        <v>1125</v>
      </c>
      <c r="B788" s="1">
        <v>45918</v>
      </c>
      <c r="C788" t="s">
        <v>1013</v>
      </c>
      <c r="D788" t="s">
        <v>38</v>
      </c>
      <c r="E788" t="s">
        <v>39</v>
      </c>
      <c r="F788" t="s">
        <v>40</v>
      </c>
      <c r="G788" t="s">
        <v>56</v>
      </c>
      <c r="H788" t="s">
        <v>123</v>
      </c>
      <c r="I788">
        <v>1</v>
      </c>
      <c r="J788">
        <v>1664.86</v>
      </c>
      <c r="K788">
        <v>0.05</v>
      </c>
      <c r="L788">
        <v>1581.62</v>
      </c>
      <c r="M788" t="s">
        <v>48</v>
      </c>
      <c r="N788" t="s">
        <v>71</v>
      </c>
      <c r="O788" t="s">
        <v>65</v>
      </c>
      <c r="Q788" t="str">
        <f t="shared" si="84"/>
        <v>Completed</v>
      </c>
      <c r="R788" t="str">
        <f t="shared" si="85"/>
        <v>Marketplace</v>
      </c>
      <c r="S788" t="str">
        <v>Upi</v>
      </c>
      <c r="T788" t="str">
        <v>Furniture</v>
      </c>
      <c r="U788" t="str">
        <f t="shared" si="86"/>
        <v>VALID</v>
      </c>
      <c r="V788" t="str">
        <f t="shared" si="87"/>
        <v>NORMAL</v>
      </c>
      <c r="W788" t="str">
        <f t="shared" si="88"/>
        <v>Valid</v>
      </c>
      <c r="X788">
        <f t="shared" si="90"/>
        <v>1664.86</v>
      </c>
      <c r="Y788">
        <f t="shared" si="89"/>
        <v>1581.617</v>
      </c>
    </row>
    <row r="789" spans="1:25" x14ac:dyDescent="0.3">
      <c r="A789" t="s">
        <v>1126</v>
      </c>
      <c r="B789" s="1">
        <v>46136</v>
      </c>
      <c r="C789" t="s">
        <v>223</v>
      </c>
      <c r="D789" t="s">
        <v>45</v>
      </c>
      <c r="E789" t="s">
        <v>46</v>
      </c>
      <c r="F789" t="s">
        <v>31</v>
      </c>
      <c r="G789" t="s">
        <v>21</v>
      </c>
      <c r="H789" t="s">
        <v>126</v>
      </c>
      <c r="I789">
        <v>5</v>
      </c>
      <c r="J789">
        <v>1671.49</v>
      </c>
      <c r="K789">
        <v>0.15</v>
      </c>
      <c r="L789">
        <v>7103.83</v>
      </c>
      <c r="M789" t="s">
        <v>48</v>
      </c>
      <c r="N789" t="s">
        <v>49</v>
      </c>
      <c r="O789" t="s">
        <v>65</v>
      </c>
      <c r="P789" t="s">
        <v>42</v>
      </c>
      <c r="Q789" t="str">
        <f t="shared" si="84"/>
        <v>Completed</v>
      </c>
      <c r="R789" t="str">
        <f t="shared" si="85"/>
        <v>Marketplace</v>
      </c>
      <c r="S789" t="str">
        <v>Net Banking</v>
      </c>
      <c r="T789" t="str">
        <v>Electronics</v>
      </c>
      <c r="U789" t="str">
        <f t="shared" si="86"/>
        <v>VALID</v>
      </c>
      <c r="V789" t="str">
        <f t="shared" si="87"/>
        <v>NORMAL</v>
      </c>
      <c r="W789" t="str">
        <f t="shared" si="88"/>
        <v>Valid</v>
      </c>
      <c r="X789">
        <f t="shared" si="90"/>
        <v>8357.4500000000007</v>
      </c>
      <c r="Y789">
        <f t="shared" si="89"/>
        <v>7103.8325000000004</v>
      </c>
    </row>
    <row r="790" spans="1:25" x14ac:dyDescent="0.3">
      <c r="A790" t="s">
        <v>1127</v>
      </c>
      <c r="B790" s="1">
        <v>45389</v>
      </c>
      <c r="C790" t="s">
        <v>365</v>
      </c>
      <c r="D790" t="s">
        <v>121</v>
      </c>
      <c r="E790" t="s">
        <v>122</v>
      </c>
      <c r="F790" t="s">
        <v>55</v>
      </c>
      <c r="G790" t="s">
        <v>56</v>
      </c>
      <c r="H790" t="s">
        <v>101</v>
      </c>
      <c r="I790">
        <v>3</v>
      </c>
      <c r="J790">
        <v>417.01</v>
      </c>
      <c r="K790">
        <v>0.15</v>
      </c>
      <c r="L790">
        <v>1063.3800000000001</v>
      </c>
      <c r="M790" t="s">
        <v>76</v>
      </c>
      <c r="N790" t="s">
        <v>71</v>
      </c>
      <c r="O790" t="s">
        <v>65</v>
      </c>
      <c r="P790" t="s">
        <v>111</v>
      </c>
      <c r="Q790" t="str">
        <f t="shared" si="84"/>
        <v>Completed</v>
      </c>
      <c r="R790" t="str">
        <f t="shared" si="85"/>
        <v>Store</v>
      </c>
      <c r="S790" t="str">
        <v>Upi</v>
      </c>
      <c r="T790" t="str">
        <v>Stationery</v>
      </c>
      <c r="U790" t="str">
        <f t="shared" si="86"/>
        <v>VALID</v>
      </c>
      <c r="V790" t="str">
        <f t="shared" si="87"/>
        <v>NORMAL</v>
      </c>
      <c r="W790" t="str">
        <f t="shared" si="88"/>
        <v>Valid</v>
      </c>
      <c r="X790">
        <f t="shared" si="90"/>
        <v>1251.03</v>
      </c>
      <c r="Y790">
        <f t="shared" si="89"/>
        <v>1063.3755000000001</v>
      </c>
    </row>
    <row r="791" spans="1:25" x14ac:dyDescent="0.3">
      <c r="A791" t="s">
        <v>1128</v>
      </c>
      <c r="B791" s="1">
        <v>46128</v>
      </c>
      <c r="C791" t="s">
        <v>115</v>
      </c>
      <c r="D791" t="s">
        <v>53</v>
      </c>
      <c r="E791" t="s">
        <v>54</v>
      </c>
      <c r="F791" t="s">
        <v>55</v>
      </c>
      <c r="G791" t="s">
        <v>32</v>
      </c>
      <c r="H791" t="s">
        <v>68</v>
      </c>
      <c r="I791">
        <v>1</v>
      </c>
      <c r="J791">
        <v>208.57</v>
      </c>
      <c r="K791">
        <v>0.05</v>
      </c>
      <c r="L791">
        <v>198.14</v>
      </c>
      <c r="M791" t="s">
        <v>23</v>
      </c>
      <c r="N791" t="s">
        <v>24</v>
      </c>
      <c r="O791" t="s">
        <v>65</v>
      </c>
      <c r="P791" t="s">
        <v>111</v>
      </c>
      <c r="Q791" t="str">
        <f t="shared" si="84"/>
        <v>Completed</v>
      </c>
      <c r="R791" t="str">
        <f t="shared" si="85"/>
        <v>Online</v>
      </c>
      <c r="S791" t="str">
        <v>Debit Card</v>
      </c>
      <c r="T791" t="str">
        <v>Stationery</v>
      </c>
      <c r="U791" t="str">
        <f t="shared" si="86"/>
        <v>VALID</v>
      </c>
      <c r="V791" t="str">
        <f t="shared" si="87"/>
        <v>NORMAL</v>
      </c>
      <c r="W791" t="str">
        <f t="shared" si="88"/>
        <v>Valid</v>
      </c>
      <c r="X791">
        <f t="shared" si="90"/>
        <v>208.57</v>
      </c>
      <c r="Y791">
        <f t="shared" si="89"/>
        <v>198.14150000000001</v>
      </c>
    </row>
    <row r="792" spans="1:25" x14ac:dyDescent="0.3">
      <c r="A792" t="s">
        <v>1129</v>
      </c>
      <c r="B792" s="1">
        <v>46179</v>
      </c>
      <c r="C792" t="s">
        <v>462</v>
      </c>
      <c r="D792" t="s">
        <v>53</v>
      </c>
      <c r="E792" t="s">
        <v>54</v>
      </c>
      <c r="F792" t="s">
        <v>55</v>
      </c>
      <c r="G792" t="s">
        <v>21</v>
      </c>
      <c r="H792" t="s">
        <v>93</v>
      </c>
      <c r="I792">
        <v>1</v>
      </c>
      <c r="J792">
        <v>210.4</v>
      </c>
      <c r="K792">
        <v>0.03</v>
      </c>
      <c r="L792">
        <v>204.09</v>
      </c>
      <c r="M792" t="s">
        <v>48</v>
      </c>
      <c r="N792" t="s">
        <v>49</v>
      </c>
      <c r="O792" t="s">
        <v>65</v>
      </c>
      <c r="P792" t="s">
        <v>72</v>
      </c>
      <c r="Q792" t="str">
        <f t="shared" si="84"/>
        <v>Completed</v>
      </c>
      <c r="R792" t="str">
        <f t="shared" si="85"/>
        <v>Marketplace</v>
      </c>
      <c r="S792" t="str">
        <v>Net Banking</v>
      </c>
      <c r="T792" t="str">
        <v>Stationery</v>
      </c>
      <c r="U792" t="str">
        <f t="shared" si="86"/>
        <v>VALID</v>
      </c>
      <c r="V792" t="str">
        <f t="shared" si="87"/>
        <v>NORMAL</v>
      </c>
      <c r="W792" t="str">
        <f t="shared" si="88"/>
        <v>Valid</v>
      </c>
      <c r="X792">
        <f t="shared" si="90"/>
        <v>210.4</v>
      </c>
      <c r="Y792">
        <f t="shared" si="89"/>
        <v>204.08799999999999</v>
      </c>
    </row>
    <row r="793" spans="1:25" x14ac:dyDescent="0.3">
      <c r="A793" t="s">
        <v>1130</v>
      </c>
      <c r="B793" s="1">
        <v>45805</v>
      </c>
      <c r="D793" t="s">
        <v>85</v>
      </c>
      <c r="E793" t="s">
        <v>86</v>
      </c>
      <c r="F793" t="s">
        <v>20</v>
      </c>
      <c r="G793" t="s">
        <v>56</v>
      </c>
      <c r="H793" t="s">
        <v>57</v>
      </c>
      <c r="I793">
        <v>4</v>
      </c>
      <c r="J793">
        <v>1751.38</v>
      </c>
      <c r="K793">
        <v>0.2</v>
      </c>
      <c r="L793">
        <v>5604.42</v>
      </c>
      <c r="M793" t="s">
        <v>23</v>
      </c>
      <c r="N793" t="s">
        <v>34</v>
      </c>
      <c r="O793" t="s">
        <v>35</v>
      </c>
      <c r="P793" t="s">
        <v>59</v>
      </c>
      <c r="Q793" t="str">
        <f t="shared" si="84"/>
        <v>Cancelled</v>
      </c>
      <c r="R793" t="str">
        <f t="shared" si="85"/>
        <v>Online</v>
      </c>
      <c r="S793" t="str">
        <v>Cash On Delivery</v>
      </c>
      <c r="T793" t="str">
        <v>Accessories</v>
      </c>
      <c r="U793" t="str">
        <f t="shared" si="86"/>
        <v>VALID</v>
      </c>
      <c r="V793" t="str">
        <f t="shared" si="87"/>
        <v>NORMAL</v>
      </c>
      <c r="W793" t="str">
        <f t="shared" si="88"/>
        <v>Valid</v>
      </c>
      <c r="X793">
        <f t="shared" si="90"/>
        <v>7005.52</v>
      </c>
      <c r="Y793">
        <f t="shared" si="89"/>
        <v>5604.4160000000002</v>
      </c>
    </row>
    <row r="794" spans="1:25" x14ac:dyDescent="0.3">
      <c r="A794" t="s">
        <v>1131</v>
      </c>
      <c r="B794" s="1">
        <v>45824</v>
      </c>
      <c r="C794" t="s">
        <v>115</v>
      </c>
      <c r="D794" t="s">
        <v>62</v>
      </c>
      <c r="E794" t="s">
        <v>63</v>
      </c>
      <c r="F794" t="s">
        <v>31</v>
      </c>
      <c r="G794" t="s">
        <v>32</v>
      </c>
      <c r="H794" t="s">
        <v>47</v>
      </c>
      <c r="I794">
        <v>2</v>
      </c>
      <c r="J794">
        <v>2615.41</v>
      </c>
      <c r="K794">
        <v>0</v>
      </c>
      <c r="L794">
        <v>5230.82</v>
      </c>
      <c r="M794" t="s">
        <v>76</v>
      </c>
      <c r="N794" t="s">
        <v>49</v>
      </c>
      <c r="O794" t="s">
        <v>65</v>
      </c>
      <c r="P794" t="s">
        <v>72</v>
      </c>
      <c r="Q794" t="str">
        <f t="shared" si="84"/>
        <v>Completed</v>
      </c>
      <c r="R794" t="str">
        <f t="shared" si="85"/>
        <v>Store</v>
      </c>
      <c r="S794" t="str">
        <v>Net Banking</v>
      </c>
      <c r="T794" t="str">
        <v>Electronics</v>
      </c>
      <c r="U794" t="str">
        <f t="shared" si="86"/>
        <v>VALID</v>
      </c>
      <c r="V794" t="str">
        <f t="shared" si="87"/>
        <v>NORMAL</v>
      </c>
      <c r="W794" t="str">
        <f t="shared" si="88"/>
        <v>Valid</v>
      </c>
      <c r="X794">
        <f t="shared" si="90"/>
        <v>5230.82</v>
      </c>
      <c r="Y794">
        <f t="shared" si="89"/>
        <v>5230.82</v>
      </c>
    </row>
    <row r="795" spans="1:25" x14ac:dyDescent="0.3">
      <c r="A795" t="s">
        <v>1132</v>
      </c>
      <c r="B795" s="1">
        <v>45349</v>
      </c>
      <c r="C795" t="s">
        <v>134</v>
      </c>
      <c r="D795" t="s">
        <v>105</v>
      </c>
      <c r="E795" t="s">
        <v>106</v>
      </c>
      <c r="F795" t="s">
        <v>40</v>
      </c>
      <c r="G795" t="s">
        <v>81</v>
      </c>
      <c r="H795" t="s">
        <v>87</v>
      </c>
      <c r="I795">
        <v>3</v>
      </c>
      <c r="J795">
        <v>7303.14</v>
      </c>
      <c r="K795">
        <v>0.05</v>
      </c>
      <c r="L795">
        <v>20813.95</v>
      </c>
      <c r="M795" t="s">
        <v>23</v>
      </c>
      <c r="N795" t="s">
        <v>58</v>
      </c>
      <c r="O795" t="s">
        <v>25</v>
      </c>
      <c r="P795" t="s">
        <v>102</v>
      </c>
      <c r="Q795" t="str">
        <f t="shared" si="84"/>
        <v>Returned</v>
      </c>
      <c r="R795" t="str">
        <f t="shared" si="85"/>
        <v>Online</v>
      </c>
      <c r="S795" t="str">
        <v>Credit Card</v>
      </c>
      <c r="T795" t="str">
        <v>Furniture</v>
      </c>
      <c r="U795" t="str">
        <f t="shared" si="86"/>
        <v>VALID</v>
      </c>
      <c r="V795" t="str">
        <f t="shared" si="87"/>
        <v>NORMAL</v>
      </c>
      <c r="W795" t="str">
        <f t="shared" si="88"/>
        <v>Valid</v>
      </c>
      <c r="X795">
        <f t="shared" si="90"/>
        <v>21909.420000000002</v>
      </c>
      <c r="Y795">
        <f t="shared" si="89"/>
        <v>20813.949000000001</v>
      </c>
    </row>
    <row r="796" spans="1:25" x14ac:dyDescent="0.3">
      <c r="A796" t="s">
        <v>1133</v>
      </c>
      <c r="B796" s="1">
        <v>45735</v>
      </c>
      <c r="C796" t="s">
        <v>554</v>
      </c>
      <c r="D796" t="s">
        <v>89</v>
      </c>
      <c r="E796" t="s">
        <v>90</v>
      </c>
      <c r="F796" t="s">
        <v>20</v>
      </c>
      <c r="G796" t="s">
        <v>21</v>
      </c>
      <c r="H796" t="s">
        <v>93</v>
      </c>
      <c r="I796">
        <v>1</v>
      </c>
      <c r="J796">
        <v>716.67</v>
      </c>
      <c r="K796">
        <v>0.2</v>
      </c>
      <c r="L796">
        <v>573.34</v>
      </c>
      <c r="M796" t="s">
        <v>48</v>
      </c>
      <c r="N796" t="s">
        <v>24</v>
      </c>
      <c r="O796" t="s">
        <v>65</v>
      </c>
      <c r="P796" t="s">
        <v>42</v>
      </c>
      <c r="Q796" t="str">
        <f t="shared" si="84"/>
        <v>Completed</v>
      </c>
      <c r="R796" t="str">
        <f t="shared" si="85"/>
        <v>Marketplace</v>
      </c>
      <c r="S796" t="str">
        <v>Debit Card</v>
      </c>
      <c r="T796" t="str">
        <v>Accessories</v>
      </c>
      <c r="U796" t="str">
        <f t="shared" si="86"/>
        <v>VALID</v>
      </c>
      <c r="V796" t="str">
        <f t="shared" si="87"/>
        <v>NORMAL</v>
      </c>
      <c r="W796" t="str">
        <f t="shared" si="88"/>
        <v>Valid</v>
      </c>
      <c r="X796">
        <f t="shared" si="90"/>
        <v>716.67</v>
      </c>
      <c r="Y796">
        <f t="shared" si="89"/>
        <v>573.33600000000001</v>
      </c>
    </row>
    <row r="797" spans="1:25" x14ac:dyDescent="0.3">
      <c r="A797" t="s">
        <v>1134</v>
      </c>
      <c r="B797" s="1">
        <v>45972</v>
      </c>
      <c r="C797" t="s">
        <v>501</v>
      </c>
      <c r="D797" t="s">
        <v>79</v>
      </c>
      <c r="E797" t="s">
        <v>80</v>
      </c>
      <c r="F797" t="s">
        <v>31</v>
      </c>
      <c r="G797" t="s">
        <v>81</v>
      </c>
      <c r="H797" t="s">
        <v>82</v>
      </c>
      <c r="I797">
        <v>5</v>
      </c>
      <c r="J797">
        <v>12932.87</v>
      </c>
      <c r="K797">
        <v>0.05</v>
      </c>
      <c r="L797">
        <v>61431.13</v>
      </c>
      <c r="M797" t="s">
        <v>48</v>
      </c>
      <c r="N797" t="s">
        <v>34</v>
      </c>
      <c r="O797" t="s">
        <v>25</v>
      </c>
      <c r="P797" t="s">
        <v>72</v>
      </c>
      <c r="Q797" t="str">
        <f t="shared" si="84"/>
        <v>Returned</v>
      </c>
      <c r="R797" t="str">
        <f t="shared" si="85"/>
        <v>Marketplace</v>
      </c>
      <c r="S797" t="str">
        <v>Cash On Delivery</v>
      </c>
      <c r="T797" t="str">
        <v>Electronics</v>
      </c>
      <c r="U797" t="str">
        <f t="shared" si="86"/>
        <v>VALID</v>
      </c>
      <c r="V797" t="str">
        <f t="shared" si="87"/>
        <v>NORMAL</v>
      </c>
      <c r="W797" t="str">
        <f t="shared" si="88"/>
        <v>Valid</v>
      </c>
      <c r="X797">
        <f t="shared" si="90"/>
        <v>64664.350000000006</v>
      </c>
      <c r="Y797">
        <f t="shared" si="89"/>
        <v>61431.132500000007</v>
      </c>
    </row>
    <row r="798" spans="1:25" x14ac:dyDescent="0.3">
      <c r="A798" t="s">
        <v>1135</v>
      </c>
      <c r="B798" s="1">
        <v>45969</v>
      </c>
      <c r="C798" t="s">
        <v>504</v>
      </c>
      <c r="D798" t="s">
        <v>45</v>
      </c>
      <c r="E798" t="s">
        <v>46</v>
      </c>
      <c r="F798" t="s">
        <v>31</v>
      </c>
      <c r="G798" t="s">
        <v>32</v>
      </c>
      <c r="H798" t="s">
        <v>68</v>
      </c>
      <c r="I798">
        <v>1</v>
      </c>
      <c r="J798">
        <v>1657.23</v>
      </c>
      <c r="K798">
        <v>0.03</v>
      </c>
      <c r="L798">
        <v>1607.51</v>
      </c>
      <c r="M798" t="s">
        <v>76</v>
      </c>
      <c r="N798" t="s">
        <v>34</v>
      </c>
      <c r="O798" t="s">
        <v>65</v>
      </c>
      <c r="P798" t="s">
        <v>59</v>
      </c>
      <c r="Q798" t="str">
        <f t="shared" si="84"/>
        <v>Completed</v>
      </c>
      <c r="R798" t="str">
        <f t="shared" si="85"/>
        <v>Store</v>
      </c>
      <c r="S798" t="str">
        <v>Cash On Delivery</v>
      </c>
      <c r="T798" t="str">
        <v>Electronics</v>
      </c>
      <c r="U798" t="str">
        <f t="shared" si="86"/>
        <v>VALID</v>
      </c>
      <c r="V798" t="str">
        <f t="shared" si="87"/>
        <v>NORMAL</v>
      </c>
      <c r="W798" t="str">
        <f t="shared" si="88"/>
        <v>Valid</v>
      </c>
      <c r="X798">
        <f t="shared" si="90"/>
        <v>1657.23</v>
      </c>
      <c r="Y798">
        <f t="shared" si="89"/>
        <v>1607.5131000000001</v>
      </c>
    </row>
    <row r="799" spans="1:25" x14ac:dyDescent="0.3">
      <c r="A799" t="s">
        <v>1136</v>
      </c>
      <c r="B799" s="1">
        <v>45891</v>
      </c>
      <c r="C799" t="s">
        <v>257</v>
      </c>
      <c r="D799" t="s">
        <v>85</v>
      </c>
      <c r="E799" t="s">
        <v>86</v>
      </c>
      <c r="F799" t="s">
        <v>20</v>
      </c>
      <c r="G799" t="s">
        <v>56</v>
      </c>
      <c r="H799" t="s">
        <v>64</v>
      </c>
      <c r="I799">
        <v>3</v>
      </c>
      <c r="J799">
        <v>1850.08</v>
      </c>
      <c r="K799">
        <v>0</v>
      </c>
      <c r="L799">
        <v>5550.24</v>
      </c>
      <c r="M799" t="s">
        <v>23</v>
      </c>
      <c r="N799" t="s">
        <v>34</v>
      </c>
      <c r="O799" t="s">
        <v>65</v>
      </c>
      <c r="P799" t="s">
        <v>72</v>
      </c>
      <c r="Q799" t="str">
        <f t="shared" si="84"/>
        <v>Completed</v>
      </c>
      <c r="R799" t="str">
        <f t="shared" si="85"/>
        <v>Online</v>
      </c>
      <c r="S799" t="str">
        <v>Cash On Delivery</v>
      </c>
      <c r="T799" t="str">
        <v>Accessories</v>
      </c>
      <c r="U799" t="str">
        <f t="shared" si="86"/>
        <v>VALID</v>
      </c>
      <c r="V799" t="str">
        <f t="shared" si="87"/>
        <v>NORMAL</v>
      </c>
      <c r="W799" t="str">
        <f t="shared" si="88"/>
        <v>Valid</v>
      </c>
      <c r="X799">
        <f t="shared" si="90"/>
        <v>5550.24</v>
      </c>
      <c r="Y799">
        <f t="shared" si="89"/>
        <v>5550.24</v>
      </c>
    </row>
    <row r="800" spans="1:25" x14ac:dyDescent="0.3">
      <c r="A800" t="s">
        <v>1137</v>
      </c>
      <c r="B800" s="1">
        <v>45956</v>
      </c>
      <c r="C800" t="s">
        <v>192</v>
      </c>
      <c r="D800" t="s">
        <v>53</v>
      </c>
      <c r="E800" t="s">
        <v>54</v>
      </c>
      <c r="F800" t="s">
        <v>55</v>
      </c>
      <c r="G800" t="s">
        <v>56</v>
      </c>
      <c r="H800" t="s">
        <v>64</v>
      </c>
      <c r="I800">
        <v>5</v>
      </c>
      <c r="J800">
        <v>223.82</v>
      </c>
      <c r="K800">
        <v>0.05</v>
      </c>
      <c r="L800">
        <v>1063.1400000000001</v>
      </c>
      <c r="M800" t="s">
        <v>48</v>
      </c>
      <c r="N800" t="s">
        <v>49</v>
      </c>
      <c r="O800" t="s">
        <v>65</v>
      </c>
      <c r="P800" t="s">
        <v>50</v>
      </c>
      <c r="Q800" t="str">
        <f t="shared" si="84"/>
        <v>Completed</v>
      </c>
      <c r="R800" t="str">
        <f t="shared" si="85"/>
        <v>Marketplace</v>
      </c>
      <c r="S800" t="str">
        <v>Net Banking</v>
      </c>
      <c r="T800" t="str">
        <v>Stationery</v>
      </c>
      <c r="U800" t="str">
        <f t="shared" si="86"/>
        <v>VALID</v>
      </c>
      <c r="V800" t="str">
        <f t="shared" si="87"/>
        <v>NORMAL</v>
      </c>
      <c r="W800" t="str">
        <f t="shared" si="88"/>
        <v>Valid</v>
      </c>
      <c r="X800">
        <f t="shared" si="90"/>
        <v>1119.0999999999999</v>
      </c>
      <c r="Y800">
        <f t="shared" si="89"/>
        <v>1063.145</v>
      </c>
    </row>
    <row r="801" spans="1:25" x14ac:dyDescent="0.3">
      <c r="A801" t="s">
        <v>1138</v>
      </c>
      <c r="B801" s="1">
        <v>45907</v>
      </c>
      <c r="C801" t="s">
        <v>125</v>
      </c>
      <c r="D801" t="s">
        <v>96</v>
      </c>
      <c r="E801" t="s">
        <v>97</v>
      </c>
      <c r="F801" t="s">
        <v>31</v>
      </c>
      <c r="G801" t="s">
        <v>32</v>
      </c>
      <c r="H801" t="s">
        <v>33</v>
      </c>
      <c r="I801">
        <v>1</v>
      </c>
      <c r="J801">
        <v>1189.07</v>
      </c>
      <c r="K801">
        <v>0.2</v>
      </c>
      <c r="L801">
        <v>951.26</v>
      </c>
      <c r="M801" t="s">
        <v>48</v>
      </c>
      <c r="N801" t="s">
        <v>49</v>
      </c>
      <c r="O801" t="s">
        <v>65</v>
      </c>
      <c r="P801" t="s">
        <v>116</v>
      </c>
      <c r="Q801" t="str">
        <f t="shared" si="84"/>
        <v>Completed</v>
      </c>
      <c r="R801" t="str">
        <f t="shared" si="85"/>
        <v>Marketplace</v>
      </c>
      <c r="S801" t="str">
        <v>Net Banking</v>
      </c>
      <c r="T801" t="str">
        <v>Electronics</v>
      </c>
      <c r="U801" t="str">
        <f t="shared" si="86"/>
        <v>VALID</v>
      </c>
      <c r="V801" t="str">
        <f t="shared" si="87"/>
        <v>NORMAL</v>
      </c>
      <c r="W801" t="str">
        <f t="shared" si="88"/>
        <v>Valid</v>
      </c>
      <c r="X801">
        <f t="shared" si="90"/>
        <v>1189.07</v>
      </c>
      <c r="Y801">
        <f t="shared" si="89"/>
        <v>951.25599999999997</v>
      </c>
    </row>
    <row r="802" spans="1:25" x14ac:dyDescent="0.3">
      <c r="A802" t="s">
        <v>1139</v>
      </c>
      <c r="B802" s="1">
        <v>46197</v>
      </c>
      <c r="C802" t="s">
        <v>416</v>
      </c>
      <c r="D802" t="s">
        <v>79</v>
      </c>
      <c r="E802" t="s">
        <v>80</v>
      </c>
      <c r="F802" t="s">
        <v>31</v>
      </c>
      <c r="G802" t="s">
        <v>21</v>
      </c>
      <c r="H802" t="s">
        <v>93</v>
      </c>
      <c r="I802">
        <v>1</v>
      </c>
      <c r="J802">
        <v>12418.35</v>
      </c>
      <c r="K802">
        <v>0.15</v>
      </c>
      <c r="L802">
        <v>10555.6</v>
      </c>
      <c r="M802" t="s">
        <v>23</v>
      </c>
      <c r="N802" t="s">
        <v>49</v>
      </c>
      <c r="O802" t="s">
        <v>65</v>
      </c>
      <c r="P802" t="s">
        <v>102</v>
      </c>
      <c r="Q802" t="str">
        <f t="shared" si="84"/>
        <v>Completed</v>
      </c>
      <c r="R802" t="str">
        <f t="shared" si="85"/>
        <v>Online</v>
      </c>
      <c r="S802" t="str">
        <v>Net Banking</v>
      </c>
      <c r="T802" t="str">
        <v>Electronics</v>
      </c>
      <c r="U802" t="str">
        <f t="shared" si="86"/>
        <v>VALID</v>
      </c>
      <c r="V802" t="str">
        <f t="shared" si="87"/>
        <v>NORMAL</v>
      </c>
      <c r="W802" t="str">
        <f t="shared" si="88"/>
        <v>Valid</v>
      </c>
      <c r="X802">
        <f t="shared" si="90"/>
        <v>12418.35</v>
      </c>
      <c r="Y802">
        <f t="shared" si="89"/>
        <v>10555.5975</v>
      </c>
    </row>
    <row r="803" spans="1:25" x14ac:dyDescent="0.3">
      <c r="A803" t="s">
        <v>1140</v>
      </c>
      <c r="B803" s="1">
        <v>45339</v>
      </c>
      <c r="C803" t="s">
        <v>283</v>
      </c>
      <c r="D803" t="s">
        <v>105</v>
      </c>
      <c r="E803" t="s">
        <v>106</v>
      </c>
      <c r="F803" t="s">
        <v>40</v>
      </c>
      <c r="G803" t="s">
        <v>32</v>
      </c>
      <c r="H803" t="s">
        <v>33</v>
      </c>
      <c r="I803">
        <v>1</v>
      </c>
      <c r="J803">
        <v>6708.3</v>
      </c>
      <c r="K803">
        <v>0</v>
      </c>
      <c r="L803">
        <v>6708.3</v>
      </c>
      <c r="M803" t="s">
        <v>48</v>
      </c>
      <c r="N803" t="s">
        <v>58</v>
      </c>
      <c r="O803" t="s">
        <v>65</v>
      </c>
      <c r="P803" t="s">
        <v>102</v>
      </c>
      <c r="Q803" t="str">
        <f t="shared" si="84"/>
        <v>Completed</v>
      </c>
      <c r="R803" t="str">
        <f t="shared" si="85"/>
        <v>Marketplace</v>
      </c>
      <c r="S803" t="str">
        <v>Credit Card</v>
      </c>
      <c r="T803" t="str">
        <v>Furniture</v>
      </c>
      <c r="U803" t="str">
        <f t="shared" si="86"/>
        <v>VALID</v>
      </c>
      <c r="V803" t="str">
        <f t="shared" si="87"/>
        <v>NORMAL</v>
      </c>
      <c r="W803" t="str">
        <f t="shared" si="88"/>
        <v>Valid</v>
      </c>
      <c r="X803">
        <f t="shared" si="90"/>
        <v>6708.3</v>
      </c>
      <c r="Y803">
        <f t="shared" si="89"/>
        <v>6708.3</v>
      </c>
    </row>
    <row r="804" spans="1:25" x14ac:dyDescent="0.3">
      <c r="A804" t="s">
        <v>1141</v>
      </c>
      <c r="B804" s="1">
        <v>45987</v>
      </c>
      <c r="C804" t="s">
        <v>108</v>
      </c>
      <c r="D804" t="s">
        <v>62</v>
      </c>
      <c r="E804" t="s">
        <v>63</v>
      </c>
      <c r="F804" t="s">
        <v>31</v>
      </c>
      <c r="G804" t="s">
        <v>56</v>
      </c>
      <c r="H804" t="s">
        <v>101</v>
      </c>
      <c r="I804">
        <v>3</v>
      </c>
      <c r="J804">
        <v>2744.05</v>
      </c>
      <c r="K804">
        <v>0.1</v>
      </c>
      <c r="L804">
        <v>7408.94</v>
      </c>
      <c r="M804" t="s">
        <v>23</v>
      </c>
      <c r="N804" t="s">
        <v>58</v>
      </c>
      <c r="O804" t="s">
        <v>65</v>
      </c>
      <c r="P804" t="s">
        <v>72</v>
      </c>
      <c r="Q804" t="str">
        <f t="shared" si="84"/>
        <v>Completed</v>
      </c>
      <c r="R804" t="str">
        <f t="shared" si="85"/>
        <v>Online</v>
      </c>
      <c r="S804" t="str">
        <v>Credit Card</v>
      </c>
      <c r="T804" t="str">
        <v>Electronics</v>
      </c>
      <c r="U804" t="str">
        <f t="shared" si="86"/>
        <v>VALID</v>
      </c>
      <c r="V804" t="str">
        <f t="shared" si="87"/>
        <v>NORMAL</v>
      </c>
      <c r="W804" t="str">
        <f t="shared" si="88"/>
        <v>Valid</v>
      </c>
      <c r="X804">
        <f t="shared" si="90"/>
        <v>8232.1500000000015</v>
      </c>
      <c r="Y804">
        <f t="shared" si="89"/>
        <v>7408.9350000000013</v>
      </c>
    </row>
    <row r="805" spans="1:25" x14ac:dyDescent="0.3">
      <c r="A805" t="s">
        <v>1142</v>
      </c>
      <c r="B805" s="1">
        <v>45403</v>
      </c>
      <c r="C805" t="s">
        <v>845</v>
      </c>
      <c r="D805" t="s">
        <v>53</v>
      </c>
      <c r="E805" t="s">
        <v>54</v>
      </c>
      <c r="F805" t="s">
        <v>55</v>
      </c>
      <c r="G805" t="s">
        <v>81</v>
      </c>
      <c r="H805" t="s">
        <v>98</v>
      </c>
      <c r="I805">
        <v>2</v>
      </c>
      <c r="J805">
        <v>205.88</v>
      </c>
      <c r="K805">
        <v>0.08</v>
      </c>
      <c r="L805">
        <v>378.82</v>
      </c>
      <c r="M805" t="s">
        <v>76</v>
      </c>
      <c r="N805" t="s">
        <v>24</v>
      </c>
      <c r="O805" t="s">
        <v>35</v>
      </c>
      <c r="P805" t="s">
        <v>59</v>
      </c>
      <c r="Q805" t="str">
        <f t="shared" si="84"/>
        <v>Cancelled</v>
      </c>
      <c r="R805" t="str">
        <f t="shared" si="85"/>
        <v>Store</v>
      </c>
      <c r="S805" t="str">
        <v>Debit Card</v>
      </c>
      <c r="T805" t="str">
        <v>Stationery</v>
      </c>
      <c r="U805" t="str">
        <f t="shared" si="86"/>
        <v>VALID</v>
      </c>
      <c r="V805" t="str">
        <f t="shared" si="87"/>
        <v>NORMAL</v>
      </c>
      <c r="W805" t="str">
        <f t="shared" si="88"/>
        <v>Valid</v>
      </c>
      <c r="X805">
        <f t="shared" si="90"/>
        <v>411.76</v>
      </c>
      <c r="Y805">
        <f t="shared" si="89"/>
        <v>378.81919999999997</v>
      </c>
    </row>
    <row r="806" spans="1:25" x14ac:dyDescent="0.3">
      <c r="A806" t="s">
        <v>1143</v>
      </c>
      <c r="B806" s="1">
        <v>46145</v>
      </c>
      <c r="C806" t="s">
        <v>247</v>
      </c>
      <c r="D806" t="s">
        <v>45</v>
      </c>
      <c r="E806" t="s">
        <v>46</v>
      </c>
      <c r="F806" t="s">
        <v>31</v>
      </c>
      <c r="G806" t="s">
        <v>81</v>
      </c>
      <c r="H806" t="s">
        <v>135</v>
      </c>
      <c r="I806">
        <v>1</v>
      </c>
      <c r="J806">
        <v>1723.94</v>
      </c>
      <c r="K806">
        <v>0.05</v>
      </c>
      <c r="L806">
        <v>1637.74</v>
      </c>
      <c r="M806" t="s">
        <v>48</v>
      </c>
      <c r="N806" t="s">
        <v>71</v>
      </c>
      <c r="O806" t="s">
        <v>25</v>
      </c>
      <c r="P806" t="s">
        <v>50</v>
      </c>
      <c r="Q806" t="str">
        <f t="shared" si="84"/>
        <v>Returned</v>
      </c>
      <c r="R806" t="str">
        <f t="shared" si="85"/>
        <v>Marketplace</v>
      </c>
      <c r="S806" t="str">
        <v>Upi</v>
      </c>
      <c r="T806" t="str">
        <v>Electronics</v>
      </c>
      <c r="U806" t="str">
        <f t="shared" si="86"/>
        <v>VALID</v>
      </c>
      <c r="V806" t="str">
        <f t="shared" si="87"/>
        <v>NORMAL</v>
      </c>
      <c r="W806" t="str">
        <f t="shared" si="88"/>
        <v>Valid</v>
      </c>
      <c r="X806">
        <f t="shared" si="90"/>
        <v>1723.94</v>
      </c>
      <c r="Y806">
        <f t="shared" si="89"/>
        <v>1637.7429999999999</v>
      </c>
    </row>
    <row r="807" spans="1:25" x14ac:dyDescent="0.3">
      <c r="A807" t="s">
        <v>1144</v>
      </c>
      <c r="B807" s="1">
        <v>45662</v>
      </c>
      <c r="C807" t="s">
        <v>130</v>
      </c>
      <c r="D807" t="s">
        <v>131</v>
      </c>
      <c r="E807" t="s">
        <v>132</v>
      </c>
      <c r="F807" t="s">
        <v>40</v>
      </c>
      <c r="G807" t="s">
        <v>56</v>
      </c>
      <c r="H807" t="s">
        <v>64</v>
      </c>
      <c r="I807">
        <v>4</v>
      </c>
      <c r="J807">
        <v>9692.92</v>
      </c>
      <c r="K807">
        <v>0.1</v>
      </c>
      <c r="L807">
        <v>34894.51</v>
      </c>
      <c r="M807" t="s">
        <v>76</v>
      </c>
      <c r="N807" t="s">
        <v>71</v>
      </c>
      <c r="O807" t="s">
        <v>35</v>
      </c>
      <c r="P807" t="s">
        <v>59</v>
      </c>
      <c r="Q807" t="str">
        <f t="shared" si="84"/>
        <v>Cancelled</v>
      </c>
      <c r="R807" t="str">
        <f t="shared" si="85"/>
        <v>Store</v>
      </c>
      <c r="S807" t="str">
        <v>Upi</v>
      </c>
      <c r="T807" t="str">
        <v>Furniture</v>
      </c>
      <c r="U807" t="str">
        <f t="shared" si="86"/>
        <v>VALID</v>
      </c>
      <c r="V807" t="str">
        <f t="shared" si="87"/>
        <v>NORMAL</v>
      </c>
      <c r="W807" t="str">
        <f t="shared" si="88"/>
        <v>Valid</v>
      </c>
      <c r="X807">
        <f t="shared" si="90"/>
        <v>38771.68</v>
      </c>
      <c r="Y807">
        <f t="shared" si="89"/>
        <v>34894.512000000002</v>
      </c>
    </row>
    <row r="808" spans="1:25" x14ac:dyDescent="0.3">
      <c r="A808" t="s">
        <v>1145</v>
      </c>
      <c r="B808" s="1">
        <v>45873</v>
      </c>
      <c r="C808" t="s">
        <v>293</v>
      </c>
      <c r="D808" t="s">
        <v>85</v>
      </c>
      <c r="E808" t="s">
        <v>86</v>
      </c>
      <c r="F808" t="s">
        <v>20</v>
      </c>
      <c r="G808" t="s">
        <v>56</v>
      </c>
      <c r="H808" t="s">
        <v>57</v>
      </c>
      <c r="I808">
        <v>1</v>
      </c>
      <c r="J808">
        <v>1744.11</v>
      </c>
      <c r="K808">
        <v>0.2</v>
      </c>
      <c r="L808">
        <v>1395.29</v>
      </c>
      <c r="M808" t="s">
        <v>23</v>
      </c>
      <c r="N808" t="s">
        <v>34</v>
      </c>
      <c r="O808" t="s">
        <v>65</v>
      </c>
      <c r="P808" t="s">
        <v>111</v>
      </c>
      <c r="Q808" t="str">
        <f t="shared" si="84"/>
        <v>Completed</v>
      </c>
      <c r="R808" t="str">
        <f t="shared" si="85"/>
        <v>Online</v>
      </c>
      <c r="S808" t="str">
        <v>Cash On Delivery</v>
      </c>
      <c r="T808" t="str">
        <v>Accessories</v>
      </c>
      <c r="U808" t="str">
        <f t="shared" si="86"/>
        <v>VALID</v>
      </c>
      <c r="V808" t="str">
        <f t="shared" si="87"/>
        <v>NORMAL</v>
      </c>
      <c r="W808" t="str">
        <f t="shared" si="88"/>
        <v>Valid</v>
      </c>
      <c r="X808">
        <f t="shared" si="90"/>
        <v>1744.11</v>
      </c>
      <c r="Y808">
        <f t="shared" si="89"/>
        <v>1395.288</v>
      </c>
    </row>
    <row r="809" spans="1:25" x14ac:dyDescent="0.3">
      <c r="A809" t="s">
        <v>1146</v>
      </c>
      <c r="B809" s="1">
        <v>45887</v>
      </c>
      <c r="C809" t="s">
        <v>373</v>
      </c>
      <c r="D809" t="s">
        <v>170</v>
      </c>
      <c r="E809" t="s">
        <v>171</v>
      </c>
      <c r="F809" t="s">
        <v>31</v>
      </c>
      <c r="G809" t="s">
        <v>21</v>
      </c>
      <c r="H809" t="s">
        <v>41</v>
      </c>
      <c r="I809">
        <v>3</v>
      </c>
      <c r="J809">
        <v>60870.57</v>
      </c>
      <c r="K809">
        <v>0.03</v>
      </c>
      <c r="L809">
        <v>177133.36</v>
      </c>
      <c r="M809" t="s">
        <v>23</v>
      </c>
      <c r="N809" t="s">
        <v>24</v>
      </c>
      <c r="O809" t="s">
        <v>65</v>
      </c>
      <c r="P809" t="s">
        <v>72</v>
      </c>
      <c r="Q809" t="str">
        <f t="shared" si="84"/>
        <v>Completed</v>
      </c>
      <c r="R809" t="str">
        <f t="shared" si="85"/>
        <v>Online</v>
      </c>
      <c r="S809" t="str">
        <v>Debit Card</v>
      </c>
      <c r="T809" t="str">
        <v>Electronics</v>
      </c>
      <c r="U809" t="str">
        <f t="shared" si="86"/>
        <v>VALID</v>
      </c>
      <c r="V809" t="str">
        <f t="shared" si="87"/>
        <v>NORMAL</v>
      </c>
      <c r="W809" t="str">
        <f t="shared" si="88"/>
        <v>Valid</v>
      </c>
      <c r="X809">
        <f t="shared" si="90"/>
        <v>182611.71</v>
      </c>
      <c r="Y809">
        <f t="shared" si="89"/>
        <v>177133.35869999998</v>
      </c>
    </row>
    <row r="810" spans="1:25" x14ac:dyDescent="0.3">
      <c r="A810" t="s">
        <v>1147</v>
      </c>
      <c r="B810" s="1">
        <v>45647</v>
      </c>
      <c r="C810" t="s">
        <v>370</v>
      </c>
      <c r="D810" t="s">
        <v>79</v>
      </c>
      <c r="E810" t="s">
        <v>80</v>
      </c>
      <c r="F810" t="s">
        <v>31</v>
      </c>
      <c r="G810" t="s">
        <v>81</v>
      </c>
      <c r="H810" t="s">
        <v>135</v>
      </c>
      <c r="I810">
        <v>5</v>
      </c>
      <c r="J810">
        <v>13251.63</v>
      </c>
      <c r="K810">
        <v>0.08</v>
      </c>
      <c r="L810">
        <v>60957.5</v>
      </c>
      <c r="M810" t="s">
        <v>76</v>
      </c>
      <c r="N810" t="s">
        <v>58</v>
      </c>
      <c r="O810" t="s">
        <v>65</v>
      </c>
      <c r="P810" t="s">
        <v>111</v>
      </c>
      <c r="Q810" t="str">
        <f t="shared" si="84"/>
        <v>Completed</v>
      </c>
      <c r="R810" t="str">
        <f t="shared" si="85"/>
        <v>Store</v>
      </c>
      <c r="S810" t="str">
        <v>Credit Card</v>
      </c>
      <c r="T810" t="str">
        <v>Electronics</v>
      </c>
      <c r="U810" t="str">
        <f t="shared" si="86"/>
        <v>VALID</v>
      </c>
      <c r="V810" t="str">
        <f t="shared" si="87"/>
        <v>NORMAL</v>
      </c>
      <c r="W810" t="str">
        <f t="shared" si="88"/>
        <v>Valid</v>
      </c>
      <c r="X810">
        <f t="shared" si="90"/>
        <v>66258.149999999994</v>
      </c>
      <c r="Y810">
        <f t="shared" si="89"/>
        <v>60957.497999999992</v>
      </c>
    </row>
    <row r="811" spans="1:25" x14ac:dyDescent="0.3">
      <c r="A811" t="s">
        <v>1148</v>
      </c>
      <c r="B811" s="1">
        <v>45681</v>
      </c>
      <c r="D811" t="s">
        <v>53</v>
      </c>
      <c r="E811" t="s">
        <v>54</v>
      </c>
      <c r="F811" t="s">
        <v>55</v>
      </c>
      <c r="G811" t="s">
        <v>81</v>
      </c>
      <c r="H811" t="s">
        <v>98</v>
      </c>
      <c r="I811">
        <v>5</v>
      </c>
      <c r="J811">
        <v>222.99</v>
      </c>
      <c r="K811">
        <v>0.1</v>
      </c>
      <c r="L811">
        <v>1003.46</v>
      </c>
      <c r="M811" t="s">
        <v>48</v>
      </c>
      <c r="N811" t="s">
        <v>34</v>
      </c>
      <c r="O811" t="s">
        <v>25</v>
      </c>
      <c r="P811" t="s">
        <v>42</v>
      </c>
      <c r="Q811" t="str">
        <f t="shared" si="84"/>
        <v>Returned</v>
      </c>
      <c r="R811" t="str">
        <f t="shared" si="85"/>
        <v>Marketplace</v>
      </c>
      <c r="S811" t="str">
        <v>Cash On Delivery</v>
      </c>
      <c r="T811" t="str">
        <v>Stationery</v>
      </c>
      <c r="U811" t="str">
        <f t="shared" si="86"/>
        <v>VALID</v>
      </c>
      <c r="V811" t="str">
        <f t="shared" si="87"/>
        <v>NORMAL</v>
      </c>
      <c r="W811" t="str">
        <f t="shared" si="88"/>
        <v>Valid</v>
      </c>
      <c r="X811">
        <f t="shared" si="90"/>
        <v>1114.95</v>
      </c>
      <c r="Y811">
        <f t="shared" si="89"/>
        <v>1003.455</v>
      </c>
    </row>
    <row r="812" spans="1:25" x14ac:dyDescent="0.3">
      <c r="A812" t="s">
        <v>1149</v>
      </c>
      <c r="B812" s="1">
        <v>45525</v>
      </c>
      <c r="C812" t="s">
        <v>631</v>
      </c>
      <c r="D812" t="s">
        <v>170</v>
      </c>
      <c r="E812" t="s">
        <v>171</v>
      </c>
      <c r="F812" t="s">
        <v>31</v>
      </c>
      <c r="G812" t="s">
        <v>21</v>
      </c>
      <c r="H812" t="s">
        <v>22</v>
      </c>
      <c r="I812">
        <v>2</v>
      </c>
      <c r="J812">
        <v>69336.350000000006</v>
      </c>
      <c r="K812">
        <v>0.2</v>
      </c>
      <c r="L812">
        <v>110938.16</v>
      </c>
      <c r="M812" t="s">
        <v>76</v>
      </c>
      <c r="N812" t="s">
        <v>24</v>
      </c>
      <c r="O812" t="s">
        <v>25</v>
      </c>
      <c r="P812" t="s">
        <v>26</v>
      </c>
      <c r="Q812" t="str">
        <f t="shared" si="84"/>
        <v>Returned</v>
      </c>
      <c r="R812" t="str">
        <f t="shared" si="85"/>
        <v>Store</v>
      </c>
      <c r="S812" t="str">
        <v>Debit Card</v>
      </c>
      <c r="T812" t="str">
        <v>Electronics</v>
      </c>
      <c r="U812" t="str">
        <f t="shared" si="86"/>
        <v>VALID</v>
      </c>
      <c r="V812" t="str">
        <f t="shared" si="87"/>
        <v>NORMAL</v>
      </c>
      <c r="W812" t="str">
        <f t="shared" si="88"/>
        <v>Valid</v>
      </c>
      <c r="X812">
        <f t="shared" si="90"/>
        <v>138672.70000000001</v>
      </c>
      <c r="Y812">
        <f t="shared" si="89"/>
        <v>110938.16</v>
      </c>
    </row>
    <row r="813" spans="1:25" x14ac:dyDescent="0.3">
      <c r="A813" t="s">
        <v>1150</v>
      </c>
      <c r="B813" s="1">
        <v>46090</v>
      </c>
      <c r="C813" t="s">
        <v>499</v>
      </c>
      <c r="D813" t="s">
        <v>85</v>
      </c>
      <c r="E813" t="s">
        <v>86</v>
      </c>
      <c r="F813" t="s">
        <v>20</v>
      </c>
      <c r="G813" t="s">
        <v>32</v>
      </c>
      <c r="H813" t="s">
        <v>47</v>
      </c>
      <c r="I813">
        <v>5</v>
      </c>
      <c r="J813">
        <v>1765.98</v>
      </c>
      <c r="K813">
        <v>0.2</v>
      </c>
      <c r="L813">
        <v>7063.92</v>
      </c>
      <c r="M813" t="s">
        <v>48</v>
      </c>
      <c r="N813" t="s">
        <v>24</v>
      </c>
      <c r="O813" t="s">
        <v>25</v>
      </c>
      <c r="P813" t="s">
        <v>26</v>
      </c>
      <c r="Q813" t="str">
        <f t="shared" si="84"/>
        <v>Returned</v>
      </c>
      <c r="R813" t="str">
        <f t="shared" si="85"/>
        <v>Marketplace</v>
      </c>
      <c r="S813" t="str">
        <v>Debit Card</v>
      </c>
      <c r="T813" t="str">
        <v>Accessories</v>
      </c>
      <c r="U813" t="str">
        <f t="shared" si="86"/>
        <v>VALID</v>
      </c>
      <c r="V813" t="str">
        <f t="shared" si="87"/>
        <v>NORMAL</v>
      </c>
      <c r="W813" t="str">
        <f t="shared" si="88"/>
        <v>Valid</v>
      </c>
      <c r="X813">
        <f t="shared" si="90"/>
        <v>8829.9</v>
      </c>
      <c r="Y813">
        <f t="shared" si="89"/>
        <v>7063.92</v>
      </c>
    </row>
    <row r="814" spans="1:25" x14ac:dyDescent="0.3">
      <c r="A814" t="s">
        <v>1151</v>
      </c>
      <c r="B814" s="1">
        <v>45969</v>
      </c>
      <c r="C814" t="s">
        <v>151</v>
      </c>
      <c r="D814" t="s">
        <v>45</v>
      </c>
      <c r="E814" t="s">
        <v>46</v>
      </c>
      <c r="F814" t="s">
        <v>31</v>
      </c>
      <c r="G814" t="s">
        <v>21</v>
      </c>
      <c r="H814" t="s">
        <v>41</v>
      </c>
      <c r="I814">
        <v>4</v>
      </c>
      <c r="J814">
        <v>1743.17</v>
      </c>
      <c r="K814">
        <v>0.15</v>
      </c>
      <c r="L814">
        <v>5926.78</v>
      </c>
      <c r="M814" t="s">
        <v>48</v>
      </c>
      <c r="N814" t="s">
        <v>71</v>
      </c>
      <c r="O814" t="s">
        <v>65</v>
      </c>
      <c r="P814" t="s">
        <v>102</v>
      </c>
      <c r="Q814" t="str">
        <f t="shared" si="84"/>
        <v>Completed</v>
      </c>
      <c r="R814" t="str">
        <f t="shared" si="85"/>
        <v>Marketplace</v>
      </c>
      <c r="S814" t="str">
        <v>Upi</v>
      </c>
      <c r="T814" t="str">
        <v>Electronics</v>
      </c>
      <c r="U814" t="str">
        <f t="shared" si="86"/>
        <v>VALID</v>
      </c>
      <c r="V814" t="str">
        <f t="shared" si="87"/>
        <v>NORMAL</v>
      </c>
      <c r="W814" t="str">
        <f t="shared" si="88"/>
        <v>Valid</v>
      </c>
      <c r="X814">
        <f t="shared" si="90"/>
        <v>6972.68</v>
      </c>
      <c r="Y814">
        <f t="shared" si="89"/>
        <v>5926.7780000000002</v>
      </c>
    </row>
    <row r="815" spans="1:25" x14ac:dyDescent="0.3">
      <c r="A815" t="s">
        <v>1152</v>
      </c>
      <c r="B815" s="1">
        <v>45474</v>
      </c>
      <c r="C815" t="s">
        <v>78</v>
      </c>
      <c r="D815" t="s">
        <v>18</v>
      </c>
      <c r="E815" t="s">
        <v>19</v>
      </c>
      <c r="F815" t="s">
        <v>20</v>
      </c>
      <c r="G815" t="s">
        <v>81</v>
      </c>
      <c r="H815" t="s">
        <v>87</v>
      </c>
      <c r="I815">
        <v>1</v>
      </c>
      <c r="J815">
        <v>857.46</v>
      </c>
      <c r="K815">
        <v>0.15</v>
      </c>
      <c r="L815">
        <v>728.84</v>
      </c>
      <c r="M815" t="s">
        <v>76</v>
      </c>
      <c r="N815" t="s">
        <v>49</v>
      </c>
      <c r="O815" t="s">
        <v>35</v>
      </c>
      <c r="P815" t="s">
        <v>42</v>
      </c>
      <c r="Q815" t="str">
        <f t="shared" si="84"/>
        <v>Cancelled</v>
      </c>
      <c r="R815" t="str">
        <f t="shared" si="85"/>
        <v>Store</v>
      </c>
      <c r="S815" t="str">
        <v>Net Banking</v>
      </c>
      <c r="T815" t="str">
        <v>Accessories</v>
      </c>
      <c r="U815" t="str">
        <f t="shared" si="86"/>
        <v>VALID</v>
      </c>
      <c r="V815" t="str">
        <f t="shared" si="87"/>
        <v>NORMAL</v>
      </c>
      <c r="W815" t="str">
        <f t="shared" si="88"/>
        <v>Valid</v>
      </c>
      <c r="X815">
        <f t="shared" si="90"/>
        <v>857.46</v>
      </c>
      <c r="Y815">
        <f t="shared" si="89"/>
        <v>728.84100000000001</v>
      </c>
    </row>
    <row r="816" spans="1:25" x14ac:dyDescent="0.3">
      <c r="A816" t="s">
        <v>1153</v>
      </c>
      <c r="B816" s="1">
        <v>45869</v>
      </c>
      <c r="C816" t="s">
        <v>560</v>
      </c>
      <c r="D816" t="s">
        <v>121</v>
      </c>
      <c r="E816" t="s">
        <v>122</v>
      </c>
      <c r="F816" t="s">
        <v>55</v>
      </c>
      <c r="G816" t="s">
        <v>21</v>
      </c>
      <c r="H816" t="s">
        <v>41</v>
      </c>
      <c r="I816">
        <v>5</v>
      </c>
      <c r="J816">
        <v>468.89</v>
      </c>
      <c r="K816">
        <v>0.05</v>
      </c>
      <c r="L816">
        <v>2227.23</v>
      </c>
      <c r="M816" t="s">
        <v>76</v>
      </c>
      <c r="N816" t="s">
        <v>58</v>
      </c>
      <c r="O816" t="s">
        <v>25</v>
      </c>
      <c r="P816" t="s">
        <v>26</v>
      </c>
      <c r="Q816" t="str">
        <f t="shared" si="84"/>
        <v>Returned</v>
      </c>
      <c r="R816" t="str">
        <f t="shared" si="85"/>
        <v>Store</v>
      </c>
      <c r="S816" t="str">
        <v>Credit Card</v>
      </c>
      <c r="T816" t="str">
        <v>Stationery</v>
      </c>
      <c r="U816" t="str">
        <f t="shared" si="86"/>
        <v>VALID</v>
      </c>
      <c r="V816" t="str">
        <f t="shared" si="87"/>
        <v>NORMAL</v>
      </c>
      <c r="W816" t="str">
        <f t="shared" si="88"/>
        <v>Valid</v>
      </c>
      <c r="X816">
        <f t="shared" si="90"/>
        <v>2344.4499999999998</v>
      </c>
      <c r="Y816">
        <f t="shared" si="89"/>
        <v>2227.2275</v>
      </c>
    </row>
    <row r="817" spans="1:25" x14ac:dyDescent="0.3">
      <c r="A817" t="s">
        <v>1154</v>
      </c>
      <c r="B817" s="1">
        <v>45512</v>
      </c>
      <c r="C817" t="s">
        <v>583</v>
      </c>
      <c r="D817" t="s">
        <v>131</v>
      </c>
      <c r="E817" t="s">
        <v>132</v>
      </c>
      <c r="F817" t="s">
        <v>40</v>
      </c>
      <c r="G817" t="s">
        <v>56</v>
      </c>
      <c r="H817" t="s">
        <v>101</v>
      </c>
      <c r="I817">
        <v>5</v>
      </c>
      <c r="J817">
        <v>9582.11</v>
      </c>
      <c r="K817">
        <v>0</v>
      </c>
      <c r="L817">
        <v>47910.55</v>
      </c>
      <c r="M817" t="s">
        <v>48</v>
      </c>
      <c r="N817" t="s">
        <v>49</v>
      </c>
      <c r="O817" t="s">
        <v>65</v>
      </c>
      <c r="P817" t="s">
        <v>42</v>
      </c>
      <c r="Q817" t="str">
        <f t="shared" si="84"/>
        <v>Completed</v>
      </c>
      <c r="R817" t="str">
        <f t="shared" si="85"/>
        <v>Marketplace</v>
      </c>
      <c r="S817" t="str">
        <v>Net Banking</v>
      </c>
      <c r="T817" t="str">
        <v>Furniture</v>
      </c>
      <c r="U817" t="str">
        <f t="shared" si="86"/>
        <v>VALID</v>
      </c>
      <c r="V817" t="str">
        <f t="shared" si="87"/>
        <v>NORMAL</v>
      </c>
      <c r="W817" t="str">
        <f t="shared" si="88"/>
        <v>Valid</v>
      </c>
      <c r="X817">
        <f t="shared" si="90"/>
        <v>47910.55</v>
      </c>
      <c r="Y817">
        <f t="shared" si="89"/>
        <v>47910.55</v>
      </c>
    </row>
    <row r="818" spans="1:25" x14ac:dyDescent="0.3">
      <c r="A818" t="s">
        <v>1155</v>
      </c>
      <c r="B818" s="1">
        <v>45441</v>
      </c>
      <c r="C818" t="s">
        <v>1156</v>
      </c>
      <c r="D818" t="s">
        <v>170</v>
      </c>
      <c r="E818" t="s">
        <v>171</v>
      </c>
      <c r="F818" t="s">
        <v>31</v>
      </c>
      <c r="G818" t="s">
        <v>56</v>
      </c>
      <c r="H818" t="s">
        <v>57</v>
      </c>
      <c r="I818">
        <v>4</v>
      </c>
      <c r="J818">
        <v>62863.31</v>
      </c>
      <c r="K818">
        <v>0</v>
      </c>
      <c r="L818">
        <v>251453.24</v>
      </c>
      <c r="M818" t="s">
        <v>23</v>
      </c>
      <c r="N818" t="s">
        <v>34</v>
      </c>
      <c r="O818" t="s">
        <v>65</v>
      </c>
      <c r="P818" t="s">
        <v>59</v>
      </c>
      <c r="Q818" t="str">
        <f t="shared" si="84"/>
        <v>Completed</v>
      </c>
      <c r="R818" t="str">
        <f t="shared" si="85"/>
        <v>Online</v>
      </c>
      <c r="S818" t="str">
        <v>Cash On Delivery</v>
      </c>
      <c r="T818" t="str">
        <v>Electronics</v>
      </c>
      <c r="U818" t="str">
        <f t="shared" si="86"/>
        <v>VALID</v>
      </c>
      <c r="V818" t="str">
        <f t="shared" si="87"/>
        <v>NORMAL</v>
      </c>
      <c r="W818" t="str">
        <f t="shared" si="88"/>
        <v>Valid</v>
      </c>
      <c r="X818">
        <f t="shared" si="90"/>
        <v>251453.24</v>
      </c>
      <c r="Y818">
        <f t="shared" si="89"/>
        <v>251453.24</v>
      </c>
    </row>
    <row r="819" spans="1:25" x14ac:dyDescent="0.3">
      <c r="A819" t="s">
        <v>1157</v>
      </c>
      <c r="B819" s="1">
        <v>45679</v>
      </c>
      <c r="C819" t="s">
        <v>147</v>
      </c>
      <c r="D819" t="s">
        <v>89</v>
      </c>
      <c r="E819" t="s">
        <v>90</v>
      </c>
      <c r="F819" t="s">
        <v>20</v>
      </c>
      <c r="G819" t="s">
        <v>56</v>
      </c>
      <c r="H819" t="s">
        <v>123</v>
      </c>
      <c r="I819">
        <v>5</v>
      </c>
      <c r="J819">
        <v>715.48</v>
      </c>
      <c r="K819">
        <v>0.05</v>
      </c>
      <c r="L819">
        <v>3398.53</v>
      </c>
      <c r="M819" t="s">
        <v>23</v>
      </c>
      <c r="N819" t="s">
        <v>58</v>
      </c>
      <c r="O819" t="s">
        <v>65</v>
      </c>
      <c r="P819" t="s">
        <v>72</v>
      </c>
      <c r="Q819" t="str">
        <f t="shared" si="84"/>
        <v>Completed</v>
      </c>
      <c r="R819" t="str">
        <f t="shared" si="85"/>
        <v>Online</v>
      </c>
      <c r="S819" t="str">
        <v>Credit Card</v>
      </c>
      <c r="T819" t="str">
        <v>Accessories</v>
      </c>
      <c r="U819" t="str">
        <f t="shared" si="86"/>
        <v>VALID</v>
      </c>
      <c r="V819" t="str">
        <f t="shared" si="87"/>
        <v>NORMAL</v>
      </c>
      <c r="W819" t="str">
        <f t="shared" si="88"/>
        <v>Valid</v>
      </c>
      <c r="X819">
        <f t="shared" si="90"/>
        <v>3577.4</v>
      </c>
      <c r="Y819">
        <f t="shared" si="89"/>
        <v>3398.53</v>
      </c>
    </row>
    <row r="820" spans="1:25" x14ac:dyDescent="0.3">
      <c r="A820" t="s">
        <v>1158</v>
      </c>
      <c r="B820" s="1">
        <v>45363</v>
      </c>
      <c r="C820" t="s">
        <v>302</v>
      </c>
      <c r="D820" t="s">
        <v>62</v>
      </c>
      <c r="E820" t="s">
        <v>63</v>
      </c>
      <c r="F820" t="s">
        <v>31</v>
      </c>
      <c r="G820" t="s">
        <v>81</v>
      </c>
      <c r="H820" t="s">
        <v>135</v>
      </c>
      <c r="I820">
        <v>3</v>
      </c>
      <c r="J820">
        <v>2614.7399999999998</v>
      </c>
      <c r="K820">
        <v>0.15</v>
      </c>
      <c r="L820">
        <v>6667.59</v>
      </c>
      <c r="M820" t="s">
        <v>76</v>
      </c>
      <c r="N820" t="s">
        <v>34</v>
      </c>
      <c r="O820" t="s">
        <v>25</v>
      </c>
      <c r="P820" t="s">
        <v>42</v>
      </c>
      <c r="Q820" t="str">
        <f t="shared" si="84"/>
        <v>Returned</v>
      </c>
      <c r="R820" t="str">
        <f t="shared" si="85"/>
        <v>Store</v>
      </c>
      <c r="S820" t="str">
        <v>Cash On Delivery</v>
      </c>
      <c r="T820" t="str">
        <v>Electronics</v>
      </c>
      <c r="U820" t="str">
        <f t="shared" si="86"/>
        <v>VALID</v>
      </c>
      <c r="V820" t="str">
        <f t="shared" si="87"/>
        <v>NORMAL</v>
      </c>
      <c r="W820" t="str">
        <f t="shared" si="88"/>
        <v>Valid</v>
      </c>
      <c r="X820">
        <f t="shared" si="90"/>
        <v>7844.2199999999993</v>
      </c>
      <c r="Y820">
        <f t="shared" si="89"/>
        <v>6667.5869999999995</v>
      </c>
    </row>
    <row r="821" spans="1:25" x14ac:dyDescent="0.3">
      <c r="A821" t="s">
        <v>1159</v>
      </c>
      <c r="B821" s="1">
        <v>45329</v>
      </c>
      <c r="C821" t="s">
        <v>348</v>
      </c>
      <c r="D821" t="s">
        <v>105</v>
      </c>
      <c r="E821" t="s">
        <v>106</v>
      </c>
      <c r="F821" t="s">
        <v>40</v>
      </c>
      <c r="G821" t="s">
        <v>81</v>
      </c>
      <c r="H821" t="s">
        <v>135</v>
      </c>
      <c r="I821">
        <v>3</v>
      </c>
      <c r="J821">
        <v>7317.82</v>
      </c>
      <c r="K821">
        <v>0.03</v>
      </c>
      <c r="L821">
        <v>21294.86</v>
      </c>
      <c r="M821" t="s">
        <v>48</v>
      </c>
      <c r="N821" t="s">
        <v>24</v>
      </c>
      <c r="O821" t="s">
        <v>65</v>
      </c>
      <c r="P821" t="s">
        <v>42</v>
      </c>
      <c r="Q821" t="str">
        <f t="shared" si="84"/>
        <v>Completed</v>
      </c>
      <c r="R821" t="str">
        <f t="shared" si="85"/>
        <v>Marketplace</v>
      </c>
      <c r="S821" t="str">
        <v>Debit Card</v>
      </c>
      <c r="T821" t="str">
        <v>Furniture</v>
      </c>
      <c r="U821" t="str">
        <f t="shared" si="86"/>
        <v>VALID</v>
      </c>
      <c r="V821" t="str">
        <f t="shared" si="87"/>
        <v>NORMAL</v>
      </c>
      <c r="W821" t="str">
        <f t="shared" si="88"/>
        <v>Valid</v>
      </c>
      <c r="X821">
        <f t="shared" si="90"/>
        <v>21953.46</v>
      </c>
      <c r="Y821">
        <f t="shared" si="89"/>
        <v>21294.856199999998</v>
      </c>
    </row>
    <row r="822" spans="1:25" x14ac:dyDescent="0.3">
      <c r="A822" t="s">
        <v>1160</v>
      </c>
      <c r="B822" s="1">
        <v>45824</v>
      </c>
      <c r="C822" t="s">
        <v>355</v>
      </c>
      <c r="D822" t="s">
        <v>18</v>
      </c>
      <c r="E822" t="s">
        <v>19</v>
      </c>
      <c r="F822" t="s">
        <v>20</v>
      </c>
      <c r="G822" t="s">
        <v>56</v>
      </c>
      <c r="H822" t="s">
        <v>123</v>
      </c>
      <c r="I822">
        <v>4</v>
      </c>
      <c r="J822">
        <v>803.87</v>
      </c>
      <c r="K822">
        <v>0.03</v>
      </c>
      <c r="L822">
        <v>3119.02</v>
      </c>
      <c r="M822" t="s">
        <v>76</v>
      </c>
      <c r="N822" t="s">
        <v>58</v>
      </c>
      <c r="O822" t="s">
        <v>35</v>
      </c>
      <c r="P822" t="s">
        <v>42</v>
      </c>
      <c r="Q822" t="str">
        <f t="shared" si="84"/>
        <v>Cancelled</v>
      </c>
      <c r="R822" t="str">
        <f t="shared" si="85"/>
        <v>Store</v>
      </c>
      <c r="S822" t="str">
        <v>Credit Card</v>
      </c>
      <c r="T822" t="str">
        <v>Accessories</v>
      </c>
      <c r="U822" t="str">
        <f t="shared" si="86"/>
        <v>VALID</v>
      </c>
      <c r="V822" t="str">
        <f t="shared" si="87"/>
        <v>NORMAL</v>
      </c>
      <c r="W822" t="str">
        <f t="shared" si="88"/>
        <v>Valid</v>
      </c>
      <c r="X822">
        <f t="shared" si="90"/>
        <v>3215.48</v>
      </c>
      <c r="Y822">
        <f t="shared" si="89"/>
        <v>3119.0156000000002</v>
      </c>
    </row>
    <row r="823" spans="1:25" x14ac:dyDescent="0.3">
      <c r="A823" t="s">
        <v>1161</v>
      </c>
      <c r="B823" s="1">
        <v>45925</v>
      </c>
      <c r="C823" t="s">
        <v>443</v>
      </c>
      <c r="D823" t="s">
        <v>29</v>
      </c>
      <c r="E823" t="s">
        <v>30</v>
      </c>
      <c r="F823" t="s">
        <v>31</v>
      </c>
      <c r="G823" t="s">
        <v>21</v>
      </c>
      <c r="H823" t="s">
        <v>93</v>
      </c>
      <c r="I823">
        <v>2</v>
      </c>
      <c r="J823">
        <v>3085.89</v>
      </c>
      <c r="K823">
        <v>0.15</v>
      </c>
      <c r="L823">
        <v>5246.01</v>
      </c>
      <c r="M823" t="s">
        <v>48</v>
      </c>
      <c r="N823" t="s">
        <v>71</v>
      </c>
      <c r="O823" t="s">
        <v>65</v>
      </c>
      <c r="P823" t="s">
        <v>111</v>
      </c>
      <c r="Q823" t="str">
        <f t="shared" si="84"/>
        <v>Completed</v>
      </c>
      <c r="R823" t="str">
        <f t="shared" si="85"/>
        <v>Marketplace</v>
      </c>
      <c r="S823" t="str">
        <v>Upi</v>
      </c>
      <c r="T823" t="str">
        <v>Electronics</v>
      </c>
      <c r="U823" t="str">
        <f t="shared" si="86"/>
        <v>VALID</v>
      </c>
      <c r="V823" t="str">
        <f t="shared" si="87"/>
        <v>NORMAL</v>
      </c>
      <c r="W823" t="str">
        <f t="shared" si="88"/>
        <v>Valid</v>
      </c>
      <c r="X823">
        <f t="shared" si="90"/>
        <v>6171.78</v>
      </c>
      <c r="Y823">
        <f t="shared" si="89"/>
        <v>5246.0129999999999</v>
      </c>
    </row>
    <row r="824" spans="1:25" x14ac:dyDescent="0.3">
      <c r="A824" t="s">
        <v>1162</v>
      </c>
      <c r="B824" s="1">
        <v>45938</v>
      </c>
      <c r="C824" t="s">
        <v>715</v>
      </c>
      <c r="D824" t="s">
        <v>85</v>
      </c>
      <c r="E824" t="s">
        <v>86</v>
      </c>
      <c r="F824" t="s">
        <v>20</v>
      </c>
      <c r="G824" t="s">
        <v>32</v>
      </c>
      <c r="H824" t="s">
        <v>47</v>
      </c>
      <c r="I824">
        <v>2</v>
      </c>
      <c r="J824">
        <v>1864.34</v>
      </c>
      <c r="K824">
        <v>0.05</v>
      </c>
      <c r="L824">
        <v>3542.25</v>
      </c>
      <c r="M824" t="s">
        <v>48</v>
      </c>
      <c r="N824" t="s">
        <v>71</v>
      </c>
      <c r="O824" t="s">
        <v>65</v>
      </c>
      <c r="P824" t="s">
        <v>111</v>
      </c>
      <c r="Q824" t="str">
        <f t="shared" si="84"/>
        <v>Completed</v>
      </c>
      <c r="R824" t="str">
        <f t="shared" si="85"/>
        <v>Marketplace</v>
      </c>
      <c r="S824" t="str">
        <v>Upi</v>
      </c>
      <c r="T824" t="str">
        <v>Accessories</v>
      </c>
      <c r="U824" t="str">
        <f t="shared" si="86"/>
        <v>VALID</v>
      </c>
      <c r="V824" t="str">
        <f t="shared" si="87"/>
        <v>NORMAL</v>
      </c>
      <c r="W824" t="str">
        <f t="shared" si="88"/>
        <v>Valid</v>
      </c>
      <c r="X824">
        <f t="shared" si="90"/>
        <v>3728.68</v>
      </c>
      <c r="Y824">
        <f t="shared" si="89"/>
        <v>3542.2459999999996</v>
      </c>
    </row>
    <row r="825" spans="1:25" x14ac:dyDescent="0.3">
      <c r="A825" t="s">
        <v>1163</v>
      </c>
      <c r="B825" s="1">
        <v>45477</v>
      </c>
      <c r="C825" t="s">
        <v>385</v>
      </c>
      <c r="D825" t="s">
        <v>53</v>
      </c>
      <c r="E825" t="s">
        <v>54</v>
      </c>
      <c r="F825" t="s">
        <v>55</v>
      </c>
      <c r="G825" t="s">
        <v>32</v>
      </c>
      <c r="H825" t="s">
        <v>75</v>
      </c>
      <c r="I825">
        <v>3</v>
      </c>
      <c r="J825">
        <v>225.55</v>
      </c>
      <c r="K825">
        <v>0.15</v>
      </c>
      <c r="L825">
        <v>575.15</v>
      </c>
      <c r="M825" t="s">
        <v>48</v>
      </c>
      <c r="N825" t="s">
        <v>34</v>
      </c>
      <c r="O825" t="s">
        <v>65</v>
      </c>
      <c r="P825" t="s">
        <v>102</v>
      </c>
      <c r="Q825" t="str">
        <f t="shared" si="84"/>
        <v>Completed</v>
      </c>
      <c r="R825" t="str">
        <f t="shared" si="85"/>
        <v>Marketplace</v>
      </c>
      <c r="S825" t="str">
        <v>Cash On Delivery</v>
      </c>
      <c r="T825" t="str">
        <v>Stationery</v>
      </c>
      <c r="U825" t="str">
        <f t="shared" si="86"/>
        <v>VALID</v>
      </c>
      <c r="V825" t="str">
        <f t="shared" si="87"/>
        <v>NORMAL</v>
      </c>
      <c r="W825" t="str">
        <f t="shared" si="88"/>
        <v>Valid</v>
      </c>
      <c r="X825">
        <f t="shared" si="90"/>
        <v>676.65000000000009</v>
      </c>
      <c r="Y825">
        <f t="shared" si="89"/>
        <v>575.15250000000003</v>
      </c>
    </row>
    <row r="826" spans="1:25" x14ac:dyDescent="0.3">
      <c r="A826" t="s">
        <v>1164</v>
      </c>
      <c r="B826" s="1">
        <v>45864</v>
      </c>
      <c r="C826" t="s">
        <v>488</v>
      </c>
      <c r="D826" t="s">
        <v>85</v>
      </c>
      <c r="E826" t="s">
        <v>86</v>
      </c>
      <c r="F826" t="s">
        <v>20</v>
      </c>
      <c r="G826" t="s">
        <v>56</v>
      </c>
      <c r="H826" t="s">
        <v>123</v>
      </c>
      <c r="I826">
        <v>3</v>
      </c>
      <c r="J826">
        <v>1891.89</v>
      </c>
      <c r="K826">
        <v>0.1</v>
      </c>
      <c r="L826">
        <v>5108.1000000000004</v>
      </c>
      <c r="M826" t="s">
        <v>76</v>
      </c>
      <c r="N826" t="s">
        <v>71</v>
      </c>
      <c r="O826" t="s">
        <v>65</v>
      </c>
      <c r="P826" t="s">
        <v>111</v>
      </c>
      <c r="Q826" t="str">
        <f t="shared" si="84"/>
        <v>Completed</v>
      </c>
      <c r="R826" t="str">
        <f t="shared" si="85"/>
        <v>Store</v>
      </c>
      <c r="S826" t="str">
        <v>Upi</v>
      </c>
      <c r="T826" t="str">
        <v>Accessories</v>
      </c>
      <c r="U826" t="str">
        <f t="shared" si="86"/>
        <v>VALID</v>
      </c>
      <c r="V826" t="str">
        <f t="shared" si="87"/>
        <v>NORMAL</v>
      </c>
      <c r="W826" t="str">
        <f t="shared" si="88"/>
        <v>Valid</v>
      </c>
      <c r="X826">
        <f t="shared" si="90"/>
        <v>5675.67</v>
      </c>
      <c r="Y826">
        <f t="shared" si="89"/>
        <v>5108.1030000000001</v>
      </c>
    </row>
    <row r="827" spans="1:25" x14ac:dyDescent="0.3">
      <c r="A827" t="s">
        <v>1165</v>
      </c>
      <c r="B827" s="1">
        <v>45421</v>
      </c>
      <c r="C827" t="s">
        <v>663</v>
      </c>
      <c r="D827" t="s">
        <v>18</v>
      </c>
      <c r="E827" t="s">
        <v>19</v>
      </c>
      <c r="F827" t="s">
        <v>20</v>
      </c>
      <c r="G827" t="s">
        <v>32</v>
      </c>
      <c r="H827" t="s">
        <v>33</v>
      </c>
      <c r="I827">
        <v>3</v>
      </c>
      <c r="J827">
        <v>911.45</v>
      </c>
      <c r="K827">
        <v>0.2</v>
      </c>
      <c r="L827">
        <v>2187.48</v>
      </c>
      <c r="M827" t="s">
        <v>76</v>
      </c>
      <c r="N827" t="s">
        <v>49</v>
      </c>
      <c r="O827" t="s">
        <v>65</v>
      </c>
      <c r="P827" t="s">
        <v>111</v>
      </c>
      <c r="Q827" t="str">
        <f t="shared" si="84"/>
        <v>Completed</v>
      </c>
      <c r="R827" t="str">
        <f t="shared" si="85"/>
        <v>Store</v>
      </c>
      <c r="S827" t="str">
        <v>Net Banking</v>
      </c>
      <c r="T827" t="str">
        <v>Accessories</v>
      </c>
      <c r="U827" t="str">
        <f t="shared" si="86"/>
        <v>VALID</v>
      </c>
      <c r="V827" t="str">
        <f t="shared" si="87"/>
        <v>NORMAL</v>
      </c>
      <c r="W827" t="str">
        <f t="shared" si="88"/>
        <v>Valid</v>
      </c>
      <c r="X827">
        <f t="shared" si="90"/>
        <v>2734.3500000000004</v>
      </c>
      <c r="Y827">
        <f t="shared" si="89"/>
        <v>2187.4800000000005</v>
      </c>
    </row>
    <row r="828" spans="1:25" x14ac:dyDescent="0.3">
      <c r="A828" t="s">
        <v>1166</v>
      </c>
      <c r="B828" s="1">
        <v>45313</v>
      </c>
      <c r="C828" t="s">
        <v>1156</v>
      </c>
      <c r="D828" t="s">
        <v>131</v>
      </c>
      <c r="E828" t="s">
        <v>132</v>
      </c>
      <c r="F828" t="s">
        <v>40</v>
      </c>
      <c r="G828" t="s">
        <v>21</v>
      </c>
      <c r="H828" t="s">
        <v>126</v>
      </c>
      <c r="I828">
        <v>1</v>
      </c>
      <c r="J828">
        <v>8785.93</v>
      </c>
      <c r="K828">
        <v>0.08</v>
      </c>
      <c r="L828">
        <v>8083.06</v>
      </c>
      <c r="M828" t="s">
        <v>76</v>
      </c>
      <c r="N828" t="s">
        <v>71</v>
      </c>
      <c r="O828" t="s">
        <v>65</v>
      </c>
      <c r="P828" t="s">
        <v>116</v>
      </c>
      <c r="Q828" t="str">
        <f t="shared" si="84"/>
        <v>Completed</v>
      </c>
      <c r="R828" t="str">
        <f t="shared" si="85"/>
        <v>Store</v>
      </c>
      <c r="S828" t="str">
        <v>Upi</v>
      </c>
      <c r="T828" t="str">
        <v>Furniture</v>
      </c>
      <c r="U828" t="str">
        <f t="shared" si="86"/>
        <v>VALID</v>
      </c>
      <c r="V828" t="str">
        <f t="shared" si="87"/>
        <v>NORMAL</v>
      </c>
      <c r="W828" t="str">
        <f t="shared" si="88"/>
        <v>Valid</v>
      </c>
      <c r="X828">
        <f t="shared" si="90"/>
        <v>8785.93</v>
      </c>
      <c r="Y828">
        <f t="shared" si="89"/>
        <v>8083.0556000000006</v>
      </c>
    </row>
    <row r="829" spans="1:25" x14ac:dyDescent="0.3">
      <c r="A829" t="s">
        <v>1167</v>
      </c>
      <c r="B829" s="1">
        <v>45913</v>
      </c>
      <c r="C829" t="s">
        <v>202</v>
      </c>
      <c r="D829" t="s">
        <v>131</v>
      </c>
      <c r="E829" t="s">
        <v>132</v>
      </c>
      <c r="F829" t="s">
        <v>40</v>
      </c>
      <c r="G829" t="s">
        <v>56</v>
      </c>
      <c r="H829" t="s">
        <v>57</v>
      </c>
      <c r="I829">
        <v>4</v>
      </c>
      <c r="J829">
        <v>9068.93</v>
      </c>
      <c r="K829">
        <v>0.15</v>
      </c>
      <c r="L829">
        <v>30834.36</v>
      </c>
      <c r="M829" t="s">
        <v>23</v>
      </c>
      <c r="N829" t="s">
        <v>58</v>
      </c>
      <c r="O829" t="s">
        <v>35</v>
      </c>
      <c r="P829" t="s">
        <v>26</v>
      </c>
      <c r="Q829" t="str">
        <f t="shared" si="84"/>
        <v>Cancelled</v>
      </c>
      <c r="R829" t="str">
        <f t="shared" si="85"/>
        <v>Online</v>
      </c>
      <c r="S829" t="str">
        <v>Credit Card</v>
      </c>
      <c r="T829" t="str">
        <v>Furniture</v>
      </c>
      <c r="U829" t="str">
        <f t="shared" si="86"/>
        <v>VALID</v>
      </c>
      <c r="V829" t="str">
        <f t="shared" si="87"/>
        <v>NORMAL</v>
      </c>
      <c r="W829" t="str">
        <f t="shared" si="88"/>
        <v>Valid</v>
      </c>
      <c r="X829">
        <f t="shared" si="90"/>
        <v>36275.72</v>
      </c>
      <c r="Y829">
        <f t="shared" si="89"/>
        <v>30834.362000000001</v>
      </c>
    </row>
    <row r="830" spans="1:25" x14ac:dyDescent="0.3">
      <c r="A830" t="s">
        <v>1168</v>
      </c>
      <c r="B830" s="1">
        <v>46114</v>
      </c>
      <c r="C830" t="s">
        <v>663</v>
      </c>
      <c r="D830" t="s">
        <v>18</v>
      </c>
      <c r="E830" t="s">
        <v>19</v>
      </c>
      <c r="F830" t="s">
        <v>20</v>
      </c>
      <c r="G830" t="s">
        <v>32</v>
      </c>
      <c r="H830" t="s">
        <v>75</v>
      </c>
      <c r="I830">
        <v>1</v>
      </c>
      <c r="J830">
        <v>887.96</v>
      </c>
      <c r="K830">
        <v>0.03</v>
      </c>
      <c r="L830">
        <v>861.32</v>
      </c>
      <c r="M830" t="s">
        <v>23</v>
      </c>
      <c r="N830" t="s">
        <v>71</v>
      </c>
      <c r="O830" t="s">
        <v>65</v>
      </c>
      <c r="P830" t="s">
        <v>59</v>
      </c>
      <c r="Q830" t="str">
        <f t="shared" si="84"/>
        <v>Completed</v>
      </c>
      <c r="R830" t="str">
        <f t="shared" si="85"/>
        <v>Online</v>
      </c>
      <c r="S830" t="str">
        <v>Upi</v>
      </c>
      <c r="T830" t="str">
        <v>Accessories</v>
      </c>
      <c r="U830" t="str">
        <f t="shared" si="86"/>
        <v>VALID</v>
      </c>
      <c r="V830" t="str">
        <f t="shared" si="87"/>
        <v>NORMAL</v>
      </c>
      <c r="W830" t="str">
        <f t="shared" si="88"/>
        <v>Valid</v>
      </c>
      <c r="X830">
        <f t="shared" si="90"/>
        <v>887.96</v>
      </c>
      <c r="Y830">
        <f t="shared" si="89"/>
        <v>861.32120000000009</v>
      </c>
    </row>
    <row r="831" spans="1:25" x14ac:dyDescent="0.3">
      <c r="A831" t="s">
        <v>1169</v>
      </c>
      <c r="B831" s="1">
        <v>45707</v>
      </c>
      <c r="C831" t="s">
        <v>406</v>
      </c>
      <c r="D831" t="s">
        <v>131</v>
      </c>
      <c r="E831" t="s">
        <v>132</v>
      </c>
      <c r="F831" t="s">
        <v>40</v>
      </c>
      <c r="G831" t="s">
        <v>32</v>
      </c>
      <c r="H831" t="s">
        <v>47</v>
      </c>
      <c r="I831">
        <v>2</v>
      </c>
      <c r="J831">
        <v>9329.27</v>
      </c>
      <c r="K831">
        <v>0.08</v>
      </c>
      <c r="L831">
        <v>17165.86</v>
      </c>
      <c r="M831" t="s">
        <v>23</v>
      </c>
      <c r="N831" t="s">
        <v>24</v>
      </c>
      <c r="O831" t="s">
        <v>65</v>
      </c>
      <c r="P831" t="s">
        <v>59</v>
      </c>
      <c r="Q831" t="str">
        <f t="shared" si="84"/>
        <v>Completed</v>
      </c>
      <c r="R831" t="str">
        <f t="shared" si="85"/>
        <v>Online</v>
      </c>
      <c r="S831" t="str">
        <v>Debit Card</v>
      </c>
      <c r="T831" t="str">
        <v>Furniture</v>
      </c>
      <c r="U831" t="str">
        <f t="shared" si="86"/>
        <v>VALID</v>
      </c>
      <c r="V831" t="str">
        <f t="shared" si="87"/>
        <v>NORMAL</v>
      </c>
      <c r="W831" t="str">
        <f t="shared" si="88"/>
        <v>Valid</v>
      </c>
      <c r="X831">
        <f t="shared" si="90"/>
        <v>18658.54</v>
      </c>
      <c r="Y831">
        <f t="shared" si="89"/>
        <v>17165.856800000001</v>
      </c>
    </row>
    <row r="832" spans="1:25" x14ac:dyDescent="0.3">
      <c r="A832" t="s">
        <v>1170</v>
      </c>
      <c r="B832" s="1">
        <v>45854</v>
      </c>
      <c r="C832" t="s">
        <v>397</v>
      </c>
      <c r="D832" t="s">
        <v>121</v>
      </c>
      <c r="E832" t="s">
        <v>122</v>
      </c>
      <c r="F832" t="s">
        <v>55</v>
      </c>
      <c r="G832" t="s">
        <v>56</v>
      </c>
      <c r="H832" t="s">
        <v>64</v>
      </c>
      <c r="I832">
        <v>2</v>
      </c>
      <c r="J832">
        <v>463.52</v>
      </c>
      <c r="K832">
        <v>0.05</v>
      </c>
      <c r="L832">
        <v>880.69</v>
      </c>
      <c r="M832" t="s">
        <v>23</v>
      </c>
      <c r="N832" t="s">
        <v>24</v>
      </c>
      <c r="O832" t="s">
        <v>35</v>
      </c>
      <c r="P832" t="s">
        <v>42</v>
      </c>
      <c r="Q832" t="str">
        <f t="shared" si="84"/>
        <v>Cancelled</v>
      </c>
      <c r="R832" t="str">
        <f t="shared" si="85"/>
        <v>Online</v>
      </c>
      <c r="S832" t="str">
        <v>Debit Card</v>
      </c>
      <c r="T832" t="str">
        <v>Stationery</v>
      </c>
      <c r="U832" t="str">
        <f t="shared" si="86"/>
        <v>VALID</v>
      </c>
      <c r="V832" t="str">
        <f t="shared" si="87"/>
        <v>NORMAL</v>
      </c>
      <c r="W832" t="str">
        <f t="shared" si="88"/>
        <v>Valid</v>
      </c>
      <c r="X832">
        <f t="shared" si="90"/>
        <v>927.04</v>
      </c>
      <c r="Y832">
        <f t="shared" si="89"/>
        <v>880.68799999999999</v>
      </c>
    </row>
    <row r="833" spans="1:25" x14ac:dyDescent="0.3">
      <c r="A833" t="s">
        <v>1171</v>
      </c>
      <c r="B833" s="1">
        <v>45475</v>
      </c>
      <c r="C833" t="s">
        <v>166</v>
      </c>
      <c r="D833" t="s">
        <v>176</v>
      </c>
      <c r="E833" t="s">
        <v>177</v>
      </c>
      <c r="F833" t="s">
        <v>31</v>
      </c>
      <c r="G833" t="s">
        <v>56</v>
      </c>
      <c r="H833" t="s">
        <v>101</v>
      </c>
      <c r="I833">
        <v>4</v>
      </c>
      <c r="J833">
        <v>2218.5700000000002</v>
      </c>
      <c r="K833">
        <v>0.9</v>
      </c>
      <c r="L833">
        <v>8608.0499999999993</v>
      </c>
      <c r="M833" t="s">
        <v>76</v>
      </c>
      <c r="N833" t="s">
        <v>58</v>
      </c>
      <c r="O833" t="s">
        <v>65</v>
      </c>
      <c r="P833" t="s">
        <v>50</v>
      </c>
      <c r="Q833" t="str">
        <f t="shared" si="84"/>
        <v>Completed</v>
      </c>
      <c r="R833" t="str">
        <f t="shared" si="85"/>
        <v>Store</v>
      </c>
      <c r="S833" t="str">
        <v>Credit Card</v>
      </c>
      <c r="T833" t="str">
        <v>Electronics</v>
      </c>
      <c r="U833" t="str">
        <f t="shared" si="86"/>
        <v>VALID</v>
      </c>
      <c r="V833" t="str">
        <f t="shared" si="87"/>
        <v>NORMAL</v>
      </c>
      <c r="W833" t="str">
        <f t="shared" si="88"/>
        <v>Valid</v>
      </c>
      <c r="X833">
        <f t="shared" si="90"/>
        <v>8874.2800000000007</v>
      </c>
      <c r="Y833">
        <f t="shared" si="89"/>
        <v>887.42799999999988</v>
      </c>
    </row>
    <row r="834" spans="1:25" x14ac:dyDescent="0.3">
      <c r="A834" t="s">
        <v>1172</v>
      </c>
      <c r="B834" s="1">
        <v>45981</v>
      </c>
      <c r="C834" t="s">
        <v>125</v>
      </c>
      <c r="D834" t="s">
        <v>79</v>
      </c>
      <c r="E834" t="s">
        <v>80</v>
      </c>
      <c r="F834" t="s">
        <v>31</v>
      </c>
      <c r="G834" t="s">
        <v>21</v>
      </c>
      <c r="H834" t="s">
        <v>126</v>
      </c>
      <c r="I834">
        <v>5</v>
      </c>
      <c r="J834">
        <v>13049.41</v>
      </c>
      <c r="K834">
        <v>0.2</v>
      </c>
      <c r="L834">
        <v>52197.64</v>
      </c>
      <c r="M834" t="s">
        <v>23</v>
      </c>
      <c r="N834" t="s">
        <v>24</v>
      </c>
      <c r="O834" t="s">
        <v>65</v>
      </c>
      <c r="P834" t="s">
        <v>26</v>
      </c>
      <c r="Q834" t="str">
        <f t="shared" si="84"/>
        <v>Completed</v>
      </c>
      <c r="R834" t="str">
        <f t="shared" si="85"/>
        <v>Online</v>
      </c>
      <c r="S834" t="str">
        <v>Debit Card</v>
      </c>
      <c r="T834" t="str">
        <v>Electronics</v>
      </c>
      <c r="U834" t="str">
        <f t="shared" si="86"/>
        <v>VALID</v>
      </c>
      <c r="V834" t="str">
        <f t="shared" si="87"/>
        <v>NORMAL</v>
      </c>
      <c r="W834" t="str">
        <f t="shared" si="88"/>
        <v>Valid</v>
      </c>
      <c r="X834">
        <f t="shared" si="90"/>
        <v>65247.05</v>
      </c>
      <c r="Y834">
        <f t="shared" si="89"/>
        <v>52197.64</v>
      </c>
    </row>
    <row r="835" spans="1:25" x14ac:dyDescent="0.3">
      <c r="A835" t="s">
        <v>1173</v>
      </c>
      <c r="B835" s="1">
        <v>45955</v>
      </c>
      <c r="C835" t="s">
        <v>309</v>
      </c>
      <c r="D835" t="s">
        <v>131</v>
      </c>
      <c r="E835" t="s">
        <v>132</v>
      </c>
      <c r="F835" t="s">
        <v>40</v>
      </c>
      <c r="G835" t="s">
        <v>56</v>
      </c>
      <c r="I835">
        <v>2</v>
      </c>
      <c r="J835">
        <v>10199.11</v>
      </c>
      <c r="K835">
        <v>0</v>
      </c>
      <c r="L835">
        <v>20398.22</v>
      </c>
      <c r="M835" t="s">
        <v>23</v>
      </c>
      <c r="N835" t="s">
        <v>58</v>
      </c>
      <c r="O835" t="s">
        <v>25</v>
      </c>
      <c r="P835" t="s">
        <v>59</v>
      </c>
      <c r="Q835" t="str">
        <f t="shared" ref="Q835:Q898" si="91">PROPER(O835)</f>
        <v>Returned</v>
      </c>
      <c r="R835" t="str">
        <f t="shared" ref="R835:R898" si="92">PROPER(M835)</f>
        <v>Online</v>
      </c>
      <c r="S835" t="str">
        <v>Credit Card</v>
      </c>
      <c r="T835" t="str">
        <v>Furniture</v>
      </c>
      <c r="U835" t="str">
        <f t="shared" ref="U835:U898" si="93">IF(I835&lt;=0,"INVALID","VALID")</f>
        <v>VALID</v>
      </c>
      <c r="V835" t="str">
        <f t="shared" ref="V835:V898" si="94">IF(I835&gt;100,"REVIEW","NORMAL")</f>
        <v>NORMAL</v>
      </c>
      <c r="W835" t="str">
        <f t="shared" ref="W835:W898" si="95">IF(OR(K835&lt;0,K835&gt;1),"Invalid","Valid")</f>
        <v>Valid</v>
      </c>
      <c r="X835">
        <f t="shared" si="90"/>
        <v>20398.22</v>
      </c>
      <c r="Y835">
        <f t="shared" ref="Y835:Y898" si="96">I835*J835-(I835*J835*K835)</f>
        <v>20398.22</v>
      </c>
    </row>
    <row r="836" spans="1:25" x14ac:dyDescent="0.3">
      <c r="A836" t="s">
        <v>1174</v>
      </c>
      <c r="B836" s="1">
        <v>46203</v>
      </c>
      <c r="C836" t="s">
        <v>817</v>
      </c>
      <c r="D836" t="s">
        <v>53</v>
      </c>
      <c r="E836" t="s">
        <v>54</v>
      </c>
      <c r="F836" t="s">
        <v>55</v>
      </c>
      <c r="G836" t="s">
        <v>32</v>
      </c>
      <c r="H836" t="s">
        <v>68</v>
      </c>
      <c r="I836">
        <v>4</v>
      </c>
      <c r="J836">
        <v>235.22</v>
      </c>
      <c r="K836">
        <v>0</v>
      </c>
      <c r="L836">
        <v>940.88</v>
      </c>
      <c r="M836" t="s">
        <v>76</v>
      </c>
      <c r="N836" t="s">
        <v>34</v>
      </c>
      <c r="O836" t="s">
        <v>25</v>
      </c>
      <c r="P836" t="s">
        <v>42</v>
      </c>
      <c r="Q836" t="str">
        <f t="shared" si="91"/>
        <v>Returned</v>
      </c>
      <c r="R836" t="str">
        <f t="shared" si="92"/>
        <v>Store</v>
      </c>
      <c r="S836" t="str">
        <v>Cash On Delivery</v>
      </c>
      <c r="T836" t="str">
        <v>Stationery</v>
      </c>
      <c r="U836" t="str">
        <f t="shared" si="93"/>
        <v>VALID</v>
      </c>
      <c r="V836" t="str">
        <f t="shared" si="94"/>
        <v>NORMAL</v>
      </c>
      <c r="W836" t="str">
        <f t="shared" si="95"/>
        <v>Valid</v>
      </c>
      <c r="X836">
        <f t="shared" ref="X836:X899" si="97">I836*J836</f>
        <v>940.88</v>
      </c>
      <c r="Y836">
        <f t="shared" si="96"/>
        <v>940.88</v>
      </c>
    </row>
    <row r="837" spans="1:25" x14ac:dyDescent="0.3">
      <c r="A837" t="s">
        <v>1175</v>
      </c>
      <c r="B837" s="1">
        <v>46037</v>
      </c>
      <c r="C837" t="s">
        <v>336</v>
      </c>
      <c r="D837" t="s">
        <v>176</v>
      </c>
      <c r="E837" t="s">
        <v>177</v>
      </c>
      <c r="F837" t="s">
        <v>31</v>
      </c>
      <c r="G837" t="s">
        <v>32</v>
      </c>
      <c r="H837" t="s">
        <v>33</v>
      </c>
      <c r="I837">
        <v>1</v>
      </c>
      <c r="J837">
        <v>2149.77</v>
      </c>
      <c r="K837">
        <v>0.1</v>
      </c>
      <c r="L837">
        <v>1934.79</v>
      </c>
      <c r="M837" t="s">
        <v>48</v>
      </c>
      <c r="N837" t="s">
        <v>49</v>
      </c>
      <c r="O837" t="s">
        <v>65</v>
      </c>
      <c r="P837" t="s">
        <v>59</v>
      </c>
      <c r="Q837" t="str">
        <f t="shared" si="91"/>
        <v>Completed</v>
      </c>
      <c r="R837" t="str">
        <f t="shared" si="92"/>
        <v>Marketplace</v>
      </c>
      <c r="S837" t="str">
        <v>Net Banking</v>
      </c>
      <c r="T837" t="str">
        <v>Electronics</v>
      </c>
      <c r="U837" t="str">
        <f t="shared" si="93"/>
        <v>VALID</v>
      </c>
      <c r="V837" t="str">
        <f t="shared" si="94"/>
        <v>NORMAL</v>
      </c>
      <c r="W837" t="str">
        <f t="shared" si="95"/>
        <v>Valid</v>
      </c>
      <c r="X837">
        <f t="shared" si="97"/>
        <v>2149.77</v>
      </c>
      <c r="Y837">
        <f t="shared" si="96"/>
        <v>1934.7929999999999</v>
      </c>
    </row>
    <row r="838" spans="1:25" x14ac:dyDescent="0.3">
      <c r="A838" t="s">
        <v>1176</v>
      </c>
      <c r="B838" s="1">
        <v>45627</v>
      </c>
      <c r="C838" t="s">
        <v>362</v>
      </c>
      <c r="D838" t="s">
        <v>29</v>
      </c>
      <c r="E838" t="s">
        <v>30</v>
      </c>
      <c r="F838" t="s">
        <v>31</v>
      </c>
      <c r="G838" t="s">
        <v>56</v>
      </c>
      <c r="H838" t="s">
        <v>64</v>
      </c>
      <c r="I838">
        <v>1</v>
      </c>
      <c r="J838">
        <v>3048.54</v>
      </c>
      <c r="K838">
        <v>0.08</v>
      </c>
      <c r="L838">
        <v>2804.66</v>
      </c>
      <c r="M838" t="s">
        <v>48</v>
      </c>
      <c r="N838" t="s">
        <v>49</v>
      </c>
      <c r="O838" t="s">
        <v>65</v>
      </c>
      <c r="P838" t="s">
        <v>72</v>
      </c>
      <c r="Q838" t="str">
        <f t="shared" si="91"/>
        <v>Completed</v>
      </c>
      <c r="R838" t="str">
        <f t="shared" si="92"/>
        <v>Marketplace</v>
      </c>
      <c r="S838" t="str">
        <v>Net Banking</v>
      </c>
      <c r="T838" t="str">
        <v>Electronics</v>
      </c>
      <c r="U838" t="str">
        <f t="shared" si="93"/>
        <v>VALID</v>
      </c>
      <c r="V838" t="str">
        <f t="shared" si="94"/>
        <v>NORMAL</v>
      </c>
      <c r="W838" t="str">
        <f t="shared" si="95"/>
        <v>Valid</v>
      </c>
      <c r="X838">
        <f t="shared" si="97"/>
        <v>3048.54</v>
      </c>
      <c r="Y838">
        <f t="shared" si="96"/>
        <v>2804.6567999999997</v>
      </c>
    </row>
    <row r="839" spans="1:25" x14ac:dyDescent="0.3">
      <c r="A839" t="s">
        <v>1177</v>
      </c>
      <c r="B839" s="1">
        <v>45409</v>
      </c>
      <c r="C839" t="s">
        <v>287</v>
      </c>
      <c r="D839" t="s">
        <v>105</v>
      </c>
      <c r="E839" t="s">
        <v>106</v>
      </c>
      <c r="F839" t="s">
        <v>40</v>
      </c>
      <c r="G839" t="s">
        <v>32</v>
      </c>
      <c r="H839" t="s">
        <v>47</v>
      </c>
      <c r="I839">
        <v>1</v>
      </c>
      <c r="J839">
        <v>7475.05</v>
      </c>
      <c r="K839">
        <v>0.15</v>
      </c>
      <c r="L839">
        <v>6353.79</v>
      </c>
      <c r="M839" t="s">
        <v>76</v>
      </c>
      <c r="N839" t="s">
        <v>58</v>
      </c>
      <c r="O839" t="s">
        <v>65</v>
      </c>
      <c r="P839" t="s">
        <v>111</v>
      </c>
      <c r="Q839" t="str">
        <f t="shared" si="91"/>
        <v>Completed</v>
      </c>
      <c r="R839" t="str">
        <f t="shared" si="92"/>
        <v>Store</v>
      </c>
      <c r="S839" t="str">
        <v>Credit Card</v>
      </c>
      <c r="T839" t="str">
        <v>Furniture</v>
      </c>
      <c r="U839" t="str">
        <f t="shared" si="93"/>
        <v>VALID</v>
      </c>
      <c r="V839" t="str">
        <f t="shared" si="94"/>
        <v>NORMAL</v>
      </c>
      <c r="W839" t="str">
        <f t="shared" si="95"/>
        <v>Valid</v>
      </c>
      <c r="X839">
        <f t="shared" si="97"/>
        <v>7475.05</v>
      </c>
      <c r="Y839">
        <f t="shared" si="96"/>
        <v>6353.7925000000005</v>
      </c>
    </row>
    <row r="840" spans="1:25" x14ac:dyDescent="0.3">
      <c r="A840" t="s">
        <v>1178</v>
      </c>
      <c r="B840" s="1">
        <v>45659</v>
      </c>
      <c r="C840" t="s">
        <v>44</v>
      </c>
      <c r="D840" t="s">
        <v>105</v>
      </c>
      <c r="E840" t="s">
        <v>106</v>
      </c>
      <c r="F840" t="s">
        <v>40</v>
      </c>
      <c r="G840" t="s">
        <v>21</v>
      </c>
      <c r="H840" t="s">
        <v>22</v>
      </c>
      <c r="I840">
        <v>3</v>
      </c>
      <c r="J840">
        <v>6630.74</v>
      </c>
      <c r="K840">
        <v>0.1</v>
      </c>
      <c r="L840">
        <v>17903</v>
      </c>
      <c r="M840" t="s">
        <v>76</v>
      </c>
      <c r="N840" t="s">
        <v>24</v>
      </c>
      <c r="O840" t="s">
        <v>35</v>
      </c>
      <c r="P840" t="s">
        <v>102</v>
      </c>
      <c r="Q840" t="str">
        <f t="shared" si="91"/>
        <v>Cancelled</v>
      </c>
      <c r="R840" t="str">
        <f t="shared" si="92"/>
        <v>Store</v>
      </c>
      <c r="S840" t="str">
        <v>Debit Card</v>
      </c>
      <c r="T840" t="str">
        <v>Furniture</v>
      </c>
      <c r="U840" t="str">
        <f t="shared" si="93"/>
        <v>VALID</v>
      </c>
      <c r="V840" t="str">
        <f t="shared" si="94"/>
        <v>NORMAL</v>
      </c>
      <c r="W840" t="str">
        <f t="shared" si="95"/>
        <v>Valid</v>
      </c>
      <c r="X840">
        <f t="shared" si="97"/>
        <v>19892.22</v>
      </c>
      <c r="Y840">
        <f t="shared" si="96"/>
        <v>17902.998</v>
      </c>
    </row>
    <row r="841" spans="1:25" x14ac:dyDescent="0.3">
      <c r="A841" t="s">
        <v>1179</v>
      </c>
      <c r="B841" s="1">
        <v>45451</v>
      </c>
      <c r="C841" t="s">
        <v>531</v>
      </c>
      <c r="D841" t="s">
        <v>89</v>
      </c>
      <c r="E841" t="s">
        <v>90</v>
      </c>
      <c r="F841" t="s">
        <v>20</v>
      </c>
      <c r="G841" t="s">
        <v>32</v>
      </c>
      <c r="H841" t="s">
        <v>75</v>
      </c>
      <c r="I841">
        <v>4</v>
      </c>
      <c r="J841">
        <v>663.96</v>
      </c>
      <c r="K841">
        <v>0.08</v>
      </c>
      <c r="L841">
        <v>2443.37</v>
      </c>
      <c r="M841" t="s">
        <v>76</v>
      </c>
      <c r="N841" t="s">
        <v>71</v>
      </c>
      <c r="O841" t="s">
        <v>65</v>
      </c>
      <c r="P841" t="s">
        <v>72</v>
      </c>
      <c r="Q841" t="str">
        <f t="shared" si="91"/>
        <v>Completed</v>
      </c>
      <c r="R841" t="str">
        <f t="shared" si="92"/>
        <v>Store</v>
      </c>
      <c r="S841" t="str">
        <v>Upi</v>
      </c>
      <c r="T841" t="str">
        <v>Accessories</v>
      </c>
      <c r="U841" t="str">
        <f t="shared" si="93"/>
        <v>VALID</v>
      </c>
      <c r="V841" t="str">
        <f t="shared" si="94"/>
        <v>NORMAL</v>
      </c>
      <c r="W841" t="str">
        <f t="shared" si="95"/>
        <v>Valid</v>
      </c>
      <c r="X841">
        <f t="shared" si="97"/>
        <v>2655.84</v>
      </c>
      <c r="Y841">
        <f t="shared" si="96"/>
        <v>2443.3728000000001</v>
      </c>
    </row>
    <row r="842" spans="1:25" x14ac:dyDescent="0.3">
      <c r="A842" t="s">
        <v>1180</v>
      </c>
      <c r="B842" s="1">
        <v>45876</v>
      </c>
      <c r="C842" t="s">
        <v>552</v>
      </c>
      <c r="D842" t="s">
        <v>29</v>
      </c>
      <c r="E842" t="s">
        <v>30</v>
      </c>
      <c r="F842" t="s">
        <v>31</v>
      </c>
      <c r="G842" t="s">
        <v>21</v>
      </c>
      <c r="H842" t="s">
        <v>93</v>
      </c>
      <c r="I842">
        <v>1</v>
      </c>
      <c r="J842">
        <v>3322.85</v>
      </c>
      <c r="K842">
        <v>0</v>
      </c>
      <c r="L842">
        <v>3322.85</v>
      </c>
      <c r="M842" t="s">
        <v>23</v>
      </c>
      <c r="N842" t="s">
        <v>58</v>
      </c>
      <c r="O842" t="s">
        <v>35</v>
      </c>
      <c r="P842" t="s">
        <v>50</v>
      </c>
      <c r="Q842" t="str">
        <f t="shared" si="91"/>
        <v>Cancelled</v>
      </c>
      <c r="R842" t="str">
        <f t="shared" si="92"/>
        <v>Online</v>
      </c>
      <c r="S842" t="str">
        <v>Credit Card</v>
      </c>
      <c r="T842" t="str">
        <v>Electronics</v>
      </c>
      <c r="U842" t="str">
        <f t="shared" si="93"/>
        <v>VALID</v>
      </c>
      <c r="V842" t="str">
        <f t="shared" si="94"/>
        <v>NORMAL</v>
      </c>
      <c r="W842" t="str">
        <f t="shared" si="95"/>
        <v>Valid</v>
      </c>
      <c r="X842">
        <f t="shared" si="97"/>
        <v>3322.85</v>
      </c>
      <c r="Y842">
        <f t="shared" si="96"/>
        <v>3322.85</v>
      </c>
    </row>
    <row r="843" spans="1:25" x14ac:dyDescent="0.3">
      <c r="A843" t="s">
        <v>1181</v>
      </c>
      <c r="B843" s="1">
        <v>46018</v>
      </c>
      <c r="C843" t="s">
        <v>476</v>
      </c>
      <c r="D843" t="s">
        <v>121</v>
      </c>
      <c r="E843" t="s">
        <v>122</v>
      </c>
      <c r="F843" t="s">
        <v>55</v>
      </c>
      <c r="G843" t="s">
        <v>81</v>
      </c>
      <c r="H843" t="s">
        <v>82</v>
      </c>
      <c r="I843">
        <v>5</v>
      </c>
      <c r="J843">
        <v>420.96</v>
      </c>
      <c r="K843">
        <v>0.08</v>
      </c>
      <c r="L843">
        <v>1936.42</v>
      </c>
      <c r="M843" t="s">
        <v>76</v>
      </c>
      <c r="N843" t="s">
        <v>71</v>
      </c>
      <c r="O843" t="s">
        <v>65</v>
      </c>
      <c r="P843" t="s">
        <v>102</v>
      </c>
      <c r="Q843" t="str">
        <f t="shared" si="91"/>
        <v>Completed</v>
      </c>
      <c r="R843" t="str">
        <f t="shared" si="92"/>
        <v>Store</v>
      </c>
      <c r="S843" t="str">
        <v>Upi</v>
      </c>
      <c r="T843" t="str">
        <v>Stationery</v>
      </c>
      <c r="U843" t="str">
        <f t="shared" si="93"/>
        <v>VALID</v>
      </c>
      <c r="V843" t="str">
        <f t="shared" si="94"/>
        <v>NORMAL</v>
      </c>
      <c r="W843" t="str">
        <f t="shared" si="95"/>
        <v>Valid</v>
      </c>
      <c r="X843">
        <f t="shared" si="97"/>
        <v>2104.7999999999997</v>
      </c>
      <c r="Y843">
        <f t="shared" si="96"/>
        <v>1936.4159999999997</v>
      </c>
    </row>
    <row r="844" spans="1:25" x14ac:dyDescent="0.3">
      <c r="A844" t="s">
        <v>1182</v>
      </c>
      <c r="B844" s="1">
        <v>46009</v>
      </c>
      <c r="C844" t="s">
        <v>441</v>
      </c>
      <c r="D844" t="s">
        <v>79</v>
      </c>
      <c r="E844" t="s">
        <v>80</v>
      </c>
      <c r="F844" t="s">
        <v>31</v>
      </c>
      <c r="G844" t="s">
        <v>32</v>
      </c>
      <c r="H844" t="s">
        <v>68</v>
      </c>
      <c r="I844">
        <v>4</v>
      </c>
      <c r="J844">
        <v>11919.19</v>
      </c>
      <c r="K844">
        <v>0</v>
      </c>
      <c r="L844">
        <v>47676.76</v>
      </c>
      <c r="M844" t="s">
        <v>76</v>
      </c>
      <c r="N844" t="s">
        <v>24</v>
      </c>
      <c r="O844" t="s">
        <v>65</v>
      </c>
      <c r="P844" t="s">
        <v>26</v>
      </c>
      <c r="Q844" t="str">
        <f t="shared" si="91"/>
        <v>Completed</v>
      </c>
      <c r="R844" t="str">
        <f t="shared" si="92"/>
        <v>Store</v>
      </c>
      <c r="S844" t="str">
        <v>Debit Card</v>
      </c>
      <c r="T844" t="str">
        <v>Electronics</v>
      </c>
      <c r="U844" t="str">
        <f t="shared" si="93"/>
        <v>VALID</v>
      </c>
      <c r="V844" t="str">
        <f t="shared" si="94"/>
        <v>NORMAL</v>
      </c>
      <c r="W844" t="str">
        <f t="shared" si="95"/>
        <v>Valid</v>
      </c>
      <c r="X844">
        <f t="shared" si="97"/>
        <v>47676.76</v>
      </c>
      <c r="Y844">
        <f t="shared" si="96"/>
        <v>47676.76</v>
      </c>
    </row>
    <row r="845" spans="1:25" x14ac:dyDescent="0.3">
      <c r="A845" t="s">
        <v>1183</v>
      </c>
      <c r="B845" s="1">
        <v>46202</v>
      </c>
      <c r="C845" t="s">
        <v>411</v>
      </c>
      <c r="D845" t="s">
        <v>18</v>
      </c>
      <c r="E845" t="s">
        <v>19</v>
      </c>
      <c r="F845" t="s">
        <v>20</v>
      </c>
      <c r="G845" t="s">
        <v>81</v>
      </c>
      <c r="H845" t="s">
        <v>87</v>
      </c>
      <c r="I845">
        <v>1</v>
      </c>
      <c r="J845">
        <v>829.65</v>
      </c>
      <c r="K845">
        <v>0</v>
      </c>
      <c r="L845">
        <v>829.65</v>
      </c>
      <c r="M845" t="s">
        <v>23</v>
      </c>
      <c r="N845" t="s">
        <v>34</v>
      </c>
      <c r="O845" t="s">
        <v>65</v>
      </c>
      <c r="P845" t="s">
        <v>102</v>
      </c>
      <c r="Q845" t="str">
        <f t="shared" si="91"/>
        <v>Completed</v>
      </c>
      <c r="R845" t="str">
        <f t="shared" si="92"/>
        <v>Online</v>
      </c>
      <c r="S845" t="str">
        <v>Cash On Delivery</v>
      </c>
      <c r="T845" t="str">
        <v>Accessories</v>
      </c>
      <c r="U845" t="str">
        <f t="shared" si="93"/>
        <v>VALID</v>
      </c>
      <c r="V845" t="str">
        <f t="shared" si="94"/>
        <v>NORMAL</v>
      </c>
      <c r="W845" t="str">
        <f t="shared" si="95"/>
        <v>Valid</v>
      </c>
      <c r="X845">
        <f t="shared" si="97"/>
        <v>829.65</v>
      </c>
      <c r="Y845">
        <f t="shared" si="96"/>
        <v>829.65</v>
      </c>
    </row>
    <row r="846" spans="1:25" x14ac:dyDescent="0.3">
      <c r="A846" t="s">
        <v>1184</v>
      </c>
      <c r="B846" s="1">
        <v>45998</v>
      </c>
      <c r="C846" t="s">
        <v>554</v>
      </c>
      <c r="D846" t="s">
        <v>62</v>
      </c>
      <c r="E846" t="s">
        <v>63</v>
      </c>
      <c r="F846" t="s">
        <v>31</v>
      </c>
      <c r="G846" t="s">
        <v>32</v>
      </c>
      <c r="H846" t="s">
        <v>75</v>
      </c>
      <c r="I846">
        <v>1</v>
      </c>
      <c r="J846">
        <v>2910.16</v>
      </c>
      <c r="K846">
        <v>0.1</v>
      </c>
      <c r="L846">
        <v>2619.14</v>
      </c>
      <c r="M846" t="s">
        <v>23</v>
      </c>
      <c r="N846" t="s">
        <v>34</v>
      </c>
      <c r="O846" t="s">
        <v>65</v>
      </c>
      <c r="P846" t="s">
        <v>102</v>
      </c>
      <c r="Q846" t="str">
        <f t="shared" si="91"/>
        <v>Completed</v>
      </c>
      <c r="R846" t="str">
        <f t="shared" si="92"/>
        <v>Online</v>
      </c>
      <c r="S846" t="str">
        <v>Cash On Delivery</v>
      </c>
      <c r="T846" t="str">
        <v>Electronics</v>
      </c>
      <c r="U846" t="str">
        <f t="shared" si="93"/>
        <v>VALID</v>
      </c>
      <c r="V846" t="str">
        <f t="shared" si="94"/>
        <v>NORMAL</v>
      </c>
      <c r="W846" t="str">
        <f t="shared" si="95"/>
        <v>Valid</v>
      </c>
      <c r="X846">
        <f t="shared" si="97"/>
        <v>2910.16</v>
      </c>
      <c r="Y846">
        <f t="shared" si="96"/>
        <v>2619.1439999999998</v>
      </c>
    </row>
    <row r="847" spans="1:25" x14ac:dyDescent="0.3">
      <c r="A847" t="s">
        <v>1185</v>
      </c>
      <c r="B847" s="1">
        <v>45508</v>
      </c>
      <c r="C847" t="s">
        <v>1186</v>
      </c>
      <c r="D847" t="s">
        <v>38</v>
      </c>
      <c r="E847" t="s">
        <v>39</v>
      </c>
      <c r="F847" t="s">
        <v>40</v>
      </c>
      <c r="G847" t="s">
        <v>56</v>
      </c>
      <c r="H847" t="s">
        <v>57</v>
      </c>
      <c r="I847">
        <v>3</v>
      </c>
      <c r="J847">
        <v>1536.13</v>
      </c>
      <c r="K847">
        <v>0.2</v>
      </c>
      <c r="L847">
        <v>3686.71</v>
      </c>
      <c r="M847" t="s">
        <v>23</v>
      </c>
      <c r="N847" t="s">
        <v>58</v>
      </c>
      <c r="O847" t="s">
        <v>65</v>
      </c>
      <c r="P847" t="s">
        <v>72</v>
      </c>
      <c r="Q847" t="str">
        <f t="shared" si="91"/>
        <v>Completed</v>
      </c>
      <c r="R847" t="str">
        <f t="shared" si="92"/>
        <v>Online</v>
      </c>
      <c r="S847" t="str">
        <v>Credit Card</v>
      </c>
      <c r="T847" t="str">
        <v>Furniture</v>
      </c>
      <c r="U847" t="str">
        <f t="shared" si="93"/>
        <v>VALID</v>
      </c>
      <c r="V847" t="str">
        <f t="shared" si="94"/>
        <v>NORMAL</v>
      </c>
      <c r="W847" t="str">
        <f t="shared" si="95"/>
        <v>Valid</v>
      </c>
      <c r="X847">
        <f t="shared" si="97"/>
        <v>4608.3900000000003</v>
      </c>
      <c r="Y847">
        <f t="shared" si="96"/>
        <v>3686.7120000000004</v>
      </c>
    </row>
    <row r="848" spans="1:25" x14ac:dyDescent="0.3">
      <c r="A848" t="s">
        <v>1187</v>
      </c>
      <c r="B848" s="1">
        <v>45796</v>
      </c>
      <c r="C848" t="s">
        <v>264</v>
      </c>
      <c r="D848" t="s">
        <v>79</v>
      </c>
      <c r="E848" t="s">
        <v>80</v>
      </c>
      <c r="F848" t="s">
        <v>31</v>
      </c>
      <c r="G848" t="s">
        <v>32</v>
      </c>
      <c r="H848" t="s">
        <v>33</v>
      </c>
      <c r="I848">
        <v>1</v>
      </c>
      <c r="J848">
        <v>11725.43</v>
      </c>
      <c r="K848">
        <v>0.1</v>
      </c>
      <c r="L848">
        <v>10552.89</v>
      </c>
      <c r="M848" t="s">
        <v>76</v>
      </c>
      <c r="N848" t="s">
        <v>58</v>
      </c>
      <c r="O848" t="s">
        <v>25</v>
      </c>
      <c r="P848" t="s">
        <v>116</v>
      </c>
      <c r="Q848" t="str">
        <f t="shared" si="91"/>
        <v>Returned</v>
      </c>
      <c r="R848" t="str">
        <f t="shared" si="92"/>
        <v>Store</v>
      </c>
      <c r="S848" t="str">
        <v>Credit Card</v>
      </c>
      <c r="T848" t="str">
        <v>Electronics</v>
      </c>
      <c r="U848" t="str">
        <f t="shared" si="93"/>
        <v>VALID</v>
      </c>
      <c r="V848" t="str">
        <f t="shared" si="94"/>
        <v>NORMAL</v>
      </c>
      <c r="W848" t="str">
        <f t="shared" si="95"/>
        <v>Valid</v>
      </c>
      <c r="X848">
        <f t="shared" si="97"/>
        <v>11725.43</v>
      </c>
      <c r="Y848">
        <f t="shared" si="96"/>
        <v>10552.887000000001</v>
      </c>
    </row>
    <row r="849" spans="1:25" x14ac:dyDescent="0.3">
      <c r="A849" t="s">
        <v>1188</v>
      </c>
      <c r="B849" s="1">
        <v>45622</v>
      </c>
      <c r="C849" t="s">
        <v>935</v>
      </c>
      <c r="D849" t="s">
        <v>170</v>
      </c>
      <c r="E849" t="s">
        <v>171</v>
      </c>
      <c r="F849" t="s">
        <v>31</v>
      </c>
      <c r="G849" t="s">
        <v>81</v>
      </c>
      <c r="H849" t="s">
        <v>82</v>
      </c>
      <c r="I849">
        <v>3</v>
      </c>
      <c r="J849">
        <v>67974.05</v>
      </c>
      <c r="K849">
        <v>0.05</v>
      </c>
      <c r="L849">
        <v>193726.04</v>
      </c>
      <c r="M849" t="s">
        <v>76</v>
      </c>
      <c r="N849" t="s">
        <v>71</v>
      </c>
      <c r="O849" t="s">
        <v>65</v>
      </c>
      <c r="P849" t="s">
        <v>116</v>
      </c>
      <c r="Q849" t="str">
        <f t="shared" si="91"/>
        <v>Completed</v>
      </c>
      <c r="R849" t="str">
        <f t="shared" si="92"/>
        <v>Store</v>
      </c>
      <c r="S849" t="str">
        <v>Upi</v>
      </c>
      <c r="T849" t="str">
        <v>Electronics</v>
      </c>
      <c r="U849" t="str">
        <f t="shared" si="93"/>
        <v>VALID</v>
      </c>
      <c r="V849" t="str">
        <f t="shared" si="94"/>
        <v>NORMAL</v>
      </c>
      <c r="W849" t="str">
        <f t="shared" si="95"/>
        <v>Valid</v>
      </c>
      <c r="X849">
        <f t="shared" si="97"/>
        <v>203922.15000000002</v>
      </c>
      <c r="Y849">
        <f t="shared" si="96"/>
        <v>193726.04250000001</v>
      </c>
    </row>
    <row r="850" spans="1:25" x14ac:dyDescent="0.3">
      <c r="A850" t="s">
        <v>1189</v>
      </c>
      <c r="B850" s="1">
        <v>45371</v>
      </c>
      <c r="C850" t="s">
        <v>350</v>
      </c>
      <c r="D850" t="s">
        <v>53</v>
      </c>
      <c r="E850" t="s">
        <v>54</v>
      </c>
      <c r="F850" t="s">
        <v>55</v>
      </c>
      <c r="G850" t="s">
        <v>21</v>
      </c>
      <c r="H850" t="s">
        <v>126</v>
      </c>
      <c r="I850">
        <v>2</v>
      </c>
      <c r="J850">
        <v>236.94</v>
      </c>
      <c r="K850">
        <v>0.05</v>
      </c>
      <c r="L850">
        <v>450.19</v>
      </c>
      <c r="M850" t="s">
        <v>23</v>
      </c>
      <c r="N850" t="s">
        <v>24</v>
      </c>
      <c r="O850" t="s">
        <v>65</v>
      </c>
      <c r="P850" t="s">
        <v>59</v>
      </c>
      <c r="Q850" t="str">
        <f t="shared" si="91"/>
        <v>Completed</v>
      </c>
      <c r="R850" t="str">
        <f t="shared" si="92"/>
        <v>Online</v>
      </c>
      <c r="S850" t="str">
        <v>Debit Card</v>
      </c>
      <c r="T850" t="str">
        <v>Stationery</v>
      </c>
      <c r="U850" t="str">
        <f t="shared" si="93"/>
        <v>VALID</v>
      </c>
      <c r="V850" t="str">
        <f t="shared" si="94"/>
        <v>NORMAL</v>
      </c>
      <c r="W850" t="str">
        <f t="shared" si="95"/>
        <v>Valid</v>
      </c>
      <c r="X850">
        <f t="shared" si="97"/>
        <v>473.88</v>
      </c>
      <c r="Y850">
        <f t="shared" si="96"/>
        <v>450.18599999999998</v>
      </c>
    </row>
    <row r="851" spans="1:25" x14ac:dyDescent="0.3">
      <c r="A851" t="s">
        <v>1190</v>
      </c>
      <c r="B851" s="1">
        <v>45424</v>
      </c>
      <c r="C851" t="s">
        <v>508</v>
      </c>
      <c r="D851" t="s">
        <v>176</v>
      </c>
      <c r="E851" t="s">
        <v>177</v>
      </c>
      <c r="F851" t="s">
        <v>31</v>
      </c>
      <c r="G851" t="s">
        <v>21</v>
      </c>
      <c r="H851" t="s">
        <v>93</v>
      </c>
      <c r="I851">
        <v>4</v>
      </c>
      <c r="J851">
        <v>2111.84</v>
      </c>
      <c r="K851">
        <v>0.08</v>
      </c>
      <c r="L851">
        <v>7771.57</v>
      </c>
      <c r="M851" t="s">
        <v>76</v>
      </c>
      <c r="N851" t="s">
        <v>49</v>
      </c>
      <c r="O851" t="s">
        <v>65</v>
      </c>
      <c r="P851" t="s">
        <v>42</v>
      </c>
      <c r="Q851" t="str">
        <f t="shared" si="91"/>
        <v>Completed</v>
      </c>
      <c r="R851" t="str">
        <f t="shared" si="92"/>
        <v>Store</v>
      </c>
      <c r="S851" t="str">
        <v>Net Banking</v>
      </c>
      <c r="T851" t="str">
        <v>Electronics</v>
      </c>
      <c r="U851" t="str">
        <f t="shared" si="93"/>
        <v>VALID</v>
      </c>
      <c r="V851" t="str">
        <f t="shared" si="94"/>
        <v>NORMAL</v>
      </c>
      <c r="W851" t="str">
        <f t="shared" si="95"/>
        <v>Valid</v>
      </c>
      <c r="X851">
        <f t="shared" si="97"/>
        <v>8447.36</v>
      </c>
      <c r="Y851">
        <f t="shared" si="96"/>
        <v>7771.5712000000003</v>
      </c>
    </row>
    <row r="852" spans="1:25" x14ac:dyDescent="0.3">
      <c r="A852" t="s">
        <v>1191</v>
      </c>
      <c r="B852" s="1">
        <v>46069</v>
      </c>
      <c r="C852" t="s">
        <v>210</v>
      </c>
      <c r="D852" t="s">
        <v>62</v>
      </c>
      <c r="E852" t="s">
        <v>63</v>
      </c>
      <c r="F852" t="s">
        <v>31</v>
      </c>
      <c r="G852" t="s">
        <v>32</v>
      </c>
      <c r="H852" t="s">
        <v>47</v>
      </c>
      <c r="I852">
        <v>2</v>
      </c>
      <c r="J852">
        <v>3003.65</v>
      </c>
      <c r="K852">
        <v>0</v>
      </c>
      <c r="L852">
        <v>6007.3</v>
      </c>
      <c r="M852" t="s">
        <v>48</v>
      </c>
      <c r="N852" t="s">
        <v>49</v>
      </c>
      <c r="O852" t="s">
        <v>65</v>
      </c>
      <c r="P852" t="s">
        <v>59</v>
      </c>
      <c r="Q852" t="str">
        <f t="shared" si="91"/>
        <v>Completed</v>
      </c>
      <c r="R852" t="str">
        <f t="shared" si="92"/>
        <v>Marketplace</v>
      </c>
      <c r="S852" t="str">
        <v>Net Banking</v>
      </c>
      <c r="T852" t="str">
        <v>Electronics</v>
      </c>
      <c r="U852" t="str">
        <f t="shared" si="93"/>
        <v>VALID</v>
      </c>
      <c r="V852" t="str">
        <f t="shared" si="94"/>
        <v>NORMAL</v>
      </c>
      <c r="W852" t="str">
        <f t="shared" si="95"/>
        <v>Valid</v>
      </c>
      <c r="X852">
        <f t="shared" si="97"/>
        <v>6007.3</v>
      </c>
      <c r="Y852">
        <f t="shared" si="96"/>
        <v>6007.3</v>
      </c>
    </row>
    <row r="853" spans="1:25" x14ac:dyDescent="0.3">
      <c r="A853" t="s">
        <v>1192</v>
      </c>
      <c r="B853" s="1">
        <v>46059</v>
      </c>
      <c r="C853" t="s">
        <v>746</v>
      </c>
      <c r="D853" t="s">
        <v>38</v>
      </c>
      <c r="E853" t="s">
        <v>39</v>
      </c>
      <c r="F853" t="s">
        <v>40</v>
      </c>
      <c r="G853" t="s">
        <v>21</v>
      </c>
      <c r="H853" t="s">
        <v>41</v>
      </c>
      <c r="I853">
        <v>5</v>
      </c>
      <c r="J853">
        <v>1686.94</v>
      </c>
      <c r="K853">
        <v>0.05</v>
      </c>
      <c r="L853">
        <v>8012.97</v>
      </c>
      <c r="M853" t="s">
        <v>76</v>
      </c>
      <c r="N853" t="s">
        <v>58</v>
      </c>
      <c r="O853" t="s">
        <v>65</v>
      </c>
      <c r="P853" t="s">
        <v>116</v>
      </c>
      <c r="Q853" t="str">
        <f t="shared" si="91"/>
        <v>Completed</v>
      </c>
      <c r="R853" t="str">
        <f t="shared" si="92"/>
        <v>Store</v>
      </c>
      <c r="S853" t="str">
        <v>Credit Card</v>
      </c>
      <c r="T853" t="str">
        <v>Furniture</v>
      </c>
      <c r="U853" t="str">
        <f t="shared" si="93"/>
        <v>VALID</v>
      </c>
      <c r="V853" t="str">
        <f t="shared" si="94"/>
        <v>NORMAL</v>
      </c>
      <c r="W853" t="str">
        <f t="shared" si="95"/>
        <v>Valid</v>
      </c>
      <c r="X853">
        <f t="shared" si="97"/>
        <v>8434.7000000000007</v>
      </c>
      <c r="Y853">
        <f t="shared" si="96"/>
        <v>8012.9650000000011</v>
      </c>
    </row>
    <row r="854" spans="1:25" x14ac:dyDescent="0.3">
      <c r="A854" t="s">
        <v>1193</v>
      </c>
      <c r="B854" s="1">
        <v>45729</v>
      </c>
      <c r="C854" t="s">
        <v>212</v>
      </c>
      <c r="D854" t="s">
        <v>105</v>
      </c>
      <c r="E854" t="s">
        <v>106</v>
      </c>
      <c r="F854" t="s">
        <v>40</v>
      </c>
      <c r="G854" t="s">
        <v>21</v>
      </c>
      <c r="H854" t="s">
        <v>22</v>
      </c>
      <c r="I854">
        <v>1</v>
      </c>
      <c r="J854">
        <v>7257.17</v>
      </c>
      <c r="K854">
        <v>0</v>
      </c>
      <c r="L854">
        <v>7257.17</v>
      </c>
      <c r="M854" t="s">
        <v>76</v>
      </c>
      <c r="N854" t="s">
        <v>24</v>
      </c>
      <c r="O854" t="s">
        <v>65</v>
      </c>
      <c r="P854" t="s">
        <v>72</v>
      </c>
      <c r="Q854" t="str">
        <f t="shared" si="91"/>
        <v>Completed</v>
      </c>
      <c r="R854" t="str">
        <f t="shared" si="92"/>
        <v>Store</v>
      </c>
      <c r="S854" t="str">
        <v>Debit Card</v>
      </c>
      <c r="T854" t="str">
        <v>Furniture</v>
      </c>
      <c r="U854" t="str">
        <f t="shared" si="93"/>
        <v>VALID</v>
      </c>
      <c r="V854" t="str">
        <f t="shared" si="94"/>
        <v>NORMAL</v>
      </c>
      <c r="W854" t="str">
        <f t="shared" si="95"/>
        <v>Valid</v>
      </c>
      <c r="X854">
        <f t="shared" si="97"/>
        <v>7257.17</v>
      </c>
      <c r="Y854">
        <f t="shared" si="96"/>
        <v>7257.17</v>
      </c>
    </row>
    <row r="855" spans="1:25" x14ac:dyDescent="0.3">
      <c r="A855" t="s">
        <v>1194</v>
      </c>
      <c r="B855" s="1">
        <v>45794</v>
      </c>
      <c r="C855" t="s">
        <v>1195</v>
      </c>
      <c r="D855" t="s">
        <v>85</v>
      </c>
      <c r="E855" t="s">
        <v>86</v>
      </c>
      <c r="F855" t="s">
        <v>20</v>
      </c>
      <c r="G855" t="s">
        <v>56</v>
      </c>
      <c r="H855" t="s">
        <v>101</v>
      </c>
      <c r="I855">
        <v>1</v>
      </c>
      <c r="J855">
        <v>1835.04</v>
      </c>
      <c r="K855">
        <v>0.2</v>
      </c>
      <c r="L855">
        <v>1468.03</v>
      </c>
      <c r="M855" t="s">
        <v>23</v>
      </c>
      <c r="N855" t="s">
        <v>24</v>
      </c>
      <c r="O855" t="s">
        <v>25</v>
      </c>
      <c r="P855" t="s">
        <v>42</v>
      </c>
      <c r="Q855" t="str">
        <f t="shared" si="91"/>
        <v>Returned</v>
      </c>
      <c r="R855" t="str">
        <f t="shared" si="92"/>
        <v>Online</v>
      </c>
      <c r="S855" t="str">
        <v>Debit Card</v>
      </c>
      <c r="T855" t="str">
        <v>Accessories</v>
      </c>
      <c r="U855" t="str">
        <f t="shared" si="93"/>
        <v>VALID</v>
      </c>
      <c r="V855" t="str">
        <f t="shared" si="94"/>
        <v>NORMAL</v>
      </c>
      <c r="W855" t="str">
        <f t="shared" si="95"/>
        <v>Valid</v>
      </c>
      <c r="X855">
        <f t="shared" si="97"/>
        <v>1835.04</v>
      </c>
      <c r="Y855">
        <f t="shared" si="96"/>
        <v>1468.0319999999999</v>
      </c>
    </row>
    <row r="856" spans="1:25" x14ac:dyDescent="0.3">
      <c r="A856" t="s">
        <v>1196</v>
      </c>
      <c r="B856" s="1">
        <v>46178</v>
      </c>
      <c r="C856" t="s">
        <v>651</v>
      </c>
      <c r="D856" t="s">
        <v>170</v>
      </c>
      <c r="E856" t="s">
        <v>171</v>
      </c>
      <c r="F856" t="s">
        <v>31</v>
      </c>
      <c r="G856" t="s">
        <v>56</v>
      </c>
      <c r="H856" t="s">
        <v>123</v>
      </c>
      <c r="I856">
        <v>2</v>
      </c>
      <c r="J856">
        <v>66685.72</v>
      </c>
      <c r="K856">
        <v>0.1</v>
      </c>
      <c r="L856">
        <v>120034.3</v>
      </c>
      <c r="M856" t="s">
        <v>48</v>
      </c>
      <c r="N856" t="s">
        <v>34</v>
      </c>
      <c r="O856" t="s">
        <v>65</v>
      </c>
      <c r="P856" t="s">
        <v>116</v>
      </c>
      <c r="Q856" t="str">
        <f t="shared" si="91"/>
        <v>Completed</v>
      </c>
      <c r="R856" t="str">
        <f t="shared" si="92"/>
        <v>Marketplace</v>
      </c>
      <c r="S856" t="str">
        <v>Cash On Delivery</v>
      </c>
      <c r="T856" t="str">
        <v>Electronics</v>
      </c>
      <c r="U856" t="str">
        <f t="shared" si="93"/>
        <v>VALID</v>
      </c>
      <c r="V856" t="str">
        <f t="shared" si="94"/>
        <v>NORMAL</v>
      </c>
      <c r="W856" t="str">
        <f t="shared" si="95"/>
        <v>Valid</v>
      </c>
      <c r="X856">
        <f t="shared" si="97"/>
        <v>133371.44</v>
      </c>
      <c r="Y856">
        <f t="shared" si="96"/>
        <v>120034.296</v>
      </c>
    </row>
    <row r="857" spans="1:25" x14ac:dyDescent="0.3">
      <c r="A857" t="s">
        <v>1197</v>
      </c>
      <c r="B857" s="1">
        <v>45595</v>
      </c>
      <c r="C857" t="s">
        <v>949</v>
      </c>
      <c r="D857" t="s">
        <v>105</v>
      </c>
      <c r="E857" t="s">
        <v>106</v>
      </c>
      <c r="F857" t="s">
        <v>40</v>
      </c>
      <c r="G857" t="s">
        <v>21</v>
      </c>
      <c r="H857" t="s">
        <v>93</v>
      </c>
      <c r="I857">
        <v>2</v>
      </c>
      <c r="J857">
        <v>7694.71</v>
      </c>
      <c r="K857">
        <v>0.03</v>
      </c>
      <c r="L857">
        <v>14927.74</v>
      </c>
      <c r="M857" t="s">
        <v>76</v>
      </c>
      <c r="N857" t="s">
        <v>71</v>
      </c>
      <c r="O857" t="s">
        <v>65</v>
      </c>
      <c r="P857" t="s">
        <v>50</v>
      </c>
      <c r="Q857" t="str">
        <f t="shared" si="91"/>
        <v>Completed</v>
      </c>
      <c r="R857" t="str">
        <f t="shared" si="92"/>
        <v>Store</v>
      </c>
      <c r="S857" t="str">
        <v>Upi</v>
      </c>
      <c r="T857" t="str">
        <v>Furniture</v>
      </c>
      <c r="U857" t="str">
        <f t="shared" si="93"/>
        <v>VALID</v>
      </c>
      <c r="V857" t="str">
        <f t="shared" si="94"/>
        <v>NORMAL</v>
      </c>
      <c r="W857" t="str">
        <f t="shared" si="95"/>
        <v>Valid</v>
      </c>
      <c r="X857">
        <f t="shared" si="97"/>
        <v>15389.42</v>
      </c>
      <c r="Y857">
        <f t="shared" si="96"/>
        <v>14927.7374</v>
      </c>
    </row>
    <row r="858" spans="1:25" x14ac:dyDescent="0.3">
      <c r="A858" t="s">
        <v>1198</v>
      </c>
      <c r="B858" s="1">
        <v>46135</v>
      </c>
      <c r="C858" t="s">
        <v>92</v>
      </c>
      <c r="D858" t="s">
        <v>62</v>
      </c>
      <c r="E858" t="s">
        <v>63</v>
      </c>
      <c r="F858" t="s">
        <v>31</v>
      </c>
      <c r="G858" t="s">
        <v>32</v>
      </c>
      <c r="H858" t="s">
        <v>75</v>
      </c>
      <c r="I858">
        <v>2</v>
      </c>
      <c r="J858">
        <v>2645.96</v>
      </c>
      <c r="K858">
        <v>0.1</v>
      </c>
      <c r="L858">
        <v>4762.7299999999996</v>
      </c>
      <c r="M858" t="s">
        <v>23</v>
      </c>
      <c r="N858" t="s">
        <v>24</v>
      </c>
      <c r="O858" t="s">
        <v>25</v>
      </c>
      <c r="P858" t="s">
        <v>72</v>
      </c>
      <c r="Q858" t="str">
        <f t="shared" si="91"/>
        <v>Returned</v>
      </c>
      <c r="R858" t="str">
        <f t="shared" si="92"/>
        <v>Online</v>
      </c>
      <c r="S858" t="str">
        <v>Debit Card</v>
      </c>
      <c r="T858" t="str">
        <v>Electronics</v>
      </c>
      <c r="U858" t="str">
        <f t="shared" si="93"/>
        <v>VALID</v>
      </c>
      <c r="V858" t="str">
        <f t="shared" si="94"/>
        <v>NORMAL</v>
      </c>
      <c r="W858" t="str">
        <f t="shared" si="95"/>
        <v>Valid</v>
      </c>
      <c r="X858">
        <f t="shared" si="97"/>
        <v>5291.92</v>
      </c>
      <c r="Y858">
        <f t="shared" si="96"/>
        <v>4762.7280000000001</v>
      </c>
    </row>
    <row r="859" spans="1:25" x14ac:dyDescent="0.3">
      <c r="A859" t="s">
        <v>1199</v>
      </c>
      <c r="B859" s="1">
        <v>45427</v>
      </c>
      <c r="C859" t="s">
        <v>200</v>
      </c>
      <c r="D859" t="s">
        <v>38</v>
      </c>
      <c r="E859" t="s">
        <v>39</v>
      </c>
      <c r="F859" t="s">
        <v>40</v>
      </c>
      <c r="G859" t="s">
        <v>81</v>
      </c>
      <c r="H859" t="s">
        <v>87</v>
      </c>
      <c r="I859">
        <v>4</v>
      </c>
      <c r="J859">
        <v>1692.86</v>
      </c>
      <c r="K859">
        <v>0.08</v>
      </c>
      <c r="L859">
        <v>6229.72</v>
      </c>
      <c r="M859" t="s">
        <v>23</v>
      </c>
      <c r="N859" t="s">
        <v>71</v>
      </c>
      <c r="O859" t="s">
        <v>65</v>
      </c>
      <c r="P859" t="s">
        <v>102</v>
      </c>
      <c r="Q859" t="str">
        <f t="shared" si="91"/>
        <v>Completed</v>
      </c>
      <c r="R859" t="str">
        <f t="shared" si="92"/>
        <v>Online</v>
      </c>
      <c r="S859" t="str">
        <v>Upi</v>
      </c>
      <c r="T859" t="str">
        <v>Furniture</v>
      </c>
      <c r="U859" t="str">
        <f t="shared" si="93"/>
        <v>VALID</v>
      </c>
      <c r="V859" t="str">
        <f t="shared" si="94"/>
        <v>NORMAL</v>
      </c>
      <c r="W859" t="str">
        <f t="shared" si="95"/>
        <v>Valid</v>
      </c>
      <c r="X859">
        <f t="shared" si="97"/>
        <v>6771.44</v>
      </c>
      <c r="Y859">
        <f t="shared" si="96"/>
        <v>6229.7248</v>
      </c>
    </row>
    <row r="860" spans="1:25" x14ac:dyDescent="0.3">
      <c r="A860" t="s">
        <v>1200</v>
      </c>
      <c r="B860" s="1">
        <v>45836</v>
      </c>
      <c r="C860" t="s">
        <v>370</v>
      </c>
      <c r="D860" t="s">
        <v>29</v>
      </c>
      <c r="E860" t="s">
        <v>30</v>
      </c>
      <c r="F860" t="s">
        <v>31</v>
      </c>
      <c r="G860" t="s">
        <v>81</v>
      </c>
      <c r="H860" t="s">
        <v>82</v>
      </c>
      <c r="I860">
        <v>5</v>
      </c>
      <c r="J860">
        <v>3301.5</v>
      </c>
      <c r="K860">
        <v>0.15</v>
      </c>
      <c r="L860">
        <v>14031.38</v>
      </c>
      <c r="M860" t="s">
        <v>76</v>
      </c>
      <c r="N860" t="s">
        <v>24</v>
      </c>
      <c r="O860" t="s">
        <v>65</v>
      </c>
      <c r="P860" t="s">
        <v>102</v>
      </c>
      <c r="Q860" t="str">
        <f t="shared" si="91"/>
        <v>Completed</v>
      </c>
      <c r="R860" t="str">
        <f t="shared" si="92"/>
        <v>Store</v>
      </c>
      <c r="S860" t="str">
        <v>Debit Card</v>
      </c>
      <c r="T860" t="str">
        <v>Electronics</v>
      </c>
      <c r="U860" t="str">
        <f t="shared" si="93"/>
        <v>VALID</v>
      </c>
      <c r="V860" t="str">
        <f t="shared" si="94"/>
        <v>NORMAL</v>
      </c>
      <c r="W860" t="str">
        <f t="shared" si="95"/>
        <v>Valid</v>
      </c>
      <c r="X860">
        <f t="shared" si="97"/>
        <v>16507.5</v>
      </c>
      <c r="Y860">
        <f t="shared" si="96"/>
        <v>14031.375</v>
      </c>
    </row>
    <row r="861" spans="1:25" x14ac:dyDescent="0.3">
      <c r="A861" t="s">
        <v>1201</v>
      </c>
      <c r="B861" s="1">
        <v>45945</v>
      </c>
      <c r="C861" t="s">
        <v>715</v>
      </c>
      <c r="D861" t="s">
        <v>18</v>
      </c>
      <c r="E861" t="s">
        <v>19</v>
      </c>
      <c r="F861" t="s">
        <v>20</v>
      </c>
      <c r="G861" t="s">
        <v>21</v>
      </c>
      <c r="H861" t="s">
        <v>93</v>
      </c>
      <c r="I861">
        <v>3</v>
      </c>
      <c r="J861">
        <v>859.34</v>
      </c>
      <c r="K861">
        <v>0.2</v>
      </c>
      <c r="L861">
        <v>2062.42</v>
      </c>
      <c r="M861" t="s">
        <v>76</v>
      </c>
      <c r="N861" t="s">
        <v>24</v>
      </c>
      <c r="O861" t="s">
        <v>25</v>
      </c>
      <c r="P861" t="s">
        <v>116</v>
      </c>
      <c r="Q861" t="str">
        <f t="shared" si="91"/>
        <v>Returned</v>
      </c>
      <c r="R861" t="str">
        <f t="shared" si="92"/>
        <v>Store</v>
      </c>
      <c r="S861" t="str">
        <v>Debit Card</v>
      </c>
      <c r="T861" t="str">
        <v>Accessories</v>
      </c>
      <c r="U861" t="str">
        <f t="shared" si="93"/>
        <v>VALID</v>
      </c>
      <c r="V861" t="str">
        <f t="shared" si="94"/>
        <v>NORMAL</v>
      </c>
      <c r="W861" t="str">
        <f t="shared" si="95"/>
        <v>Valid</v>
      </c>
      <c r="X861">
        <f t="shared" si="97"/>
        <v>2578.02</v>
      </c>
      <c r="Y861">
        <f t="shared" si="96"/>
        <v>2062.4160000000002</v>
      </c>
    </row>
    <row r="862" spans="1:25" x14ac:dyDescent="0.3">
      <c r="A862" t="s">
        <v>1202</v>
      </c>
      <c r="B862" s="1">
        <v>45667</v>
      </c>
      <c r="C862" t="s">
        <v>118</v>
      </c>
      <c r="D862" t="s">
        <v>121</v>
      </c>
      <c r="E862" t="s">
        <v>122</v>
      </c>
      <c r="F862" t="s">
        <v>55</v>
      </c>
      <c r="G862" t="s">
        <v>21</v>
      </c>
      <c r="H862" t="s">
        <v>41</v>
      </c>
      <c r="I862">
        <v>4</v>
      </c>
      <c r="J862">
        <v>414.68</v>
      </c>
      <c r="K862">
        <v>0.03</v>
      </c>
      <c r="L862">
        <v>1608.96</v>
      </c>
      <c r="M862" t="s">
        <v>76</v>
      </c>
      <c r="N862" t="s">
        <v>58</v>
      </c>
      <c r="O862" t="s">
        <v>65</v>
      </c>
      <c r="P862" t="s">
        <v>26</v>
      </c>
      <c r="Q862" t="str">
        <f t="shared" si="91"/>
        <v>Completed</v>
      </c>
      <c r="R862" t="str">
        <f t="shared" si="92"/>
        <v>Store</v>
      </c>
      <c r="S862" t="str">
        <v>Credit Card</v>
      </c>
      <c r="T862" t="str">
        <v>Stationery</v>
      </c>
      <c r="U862" t="str">
        <f t="shared" si="93"/>
        <v>VALID</v>
      </c>
      <c r="V862" t="str">
        <f t="shared" si="94"/>
        <v>NORMAL</v>
      </c>
      <c r="W862" t="str">
        <f t="shared" si="95"/>
        <v>Valid</v>
      </c>
      <c r="X862">
        <f t="shared" si="97"/>
        <v>1658.72</v>
      </c>
      <c r="Y862">
        <f t="shared" si="96"/>
        <v>1608.9584</v>
      </c>
    </row>
    <row r="863" spans="1:25" x14ac:dyDescent="0.3">
      <c r="A863" t="s">
        <v>1203</v>
      </c>
      <c r="B863" s="1">
        <v>46126</v>
      </c>
      <c r="C863" t="s">
        <v>266</v>
      </c>
      <c r="D863" t="s">
        <v>170</v>
      </c>
      <c r="E863" t="s">
        <v>171</v>
      </c>
      <c r="F863" t="s">
        <v>31</v>
      </c>
      <c r="G863" t="s">
        <v>56</v>
      </c>
      <c r="H863" t="s">
        <v>101</v>
      </c>
      <c r="I863">
        <v>1</v>
      </c>
      <c r="J863">
        <v>64739.97</v>
      </c>
      <c r="K863">
        <v>0.1</v>
      </c>
      <c r="L863">
        <v>58265.97</v>
      </c>
      <c r="M863" t="s">
        <v>76</v>
      </c>
      <c r="N863" t="s">
        <v>71</v>
      </c>
      <c r="O863" t="s">
        <v>65</v>
      </c>
      <c r="P863" t="s">
        <v>102</v>
      </c>
      <c r="Q863" t="str">
        <f t="shared" si="91"/>
        <v>Completed</v>
      </c>
      <c r="R863" t="str">
        <f t="shared" si="92"/>
        <v>Store</v>
      </c>
      <c r="S863" t="str">
        <v>Upi</v>
      </c>
      <c r="T863" t="str">
        <v>Electronics</v>
      </c>
      <c r="U863" t="str">
        <f t="shared" si="93"/>
        <v>VALID</v>
      </c>
      <c r="V863" t="str">
        <f t="shared" si="94"/>
        <v>NORMAL</v>
      </c>
      <c r="W863" t="str">
        <f t="shared" si="95"/>
        <v>Valid</v>
      </c>
      <c r="X863">
        <f t="shared" si="97"/>
        <v>64739.97</v>
      </c>
      <c r="Y863">
        <f t="shared" si="96"/>
        <v>58265.972999999998</v>
      </c>
    </row>
    <row r="864" spans="1:25" x14ac:dyDescent="0.3">
      <c r="A864" t="s">
        <v>1204</v>
      </c>
      <c r="B864" s="1">
        <v>45703</v>
      </c>
      <c r="C864" t="s">
        <v>548</v>
      </c>
      <c r="D864" t="s">
        <v>62</v>
      </c>
      <c r="E864" t="s">
        <v>63</v>
      </c>
      <c r="F864" t="s">
        <v>31</v>
      </c>
      <c r="G864" t="s">
        <v>21</v>
      </c>
      <c r="H864" t="s">
        <v>93</v>
      </c>
      <c r="I864">
        <v>3</v>
      </c>
      <c r="J864">
        <v>2601.79</v>
      </c>
      <c r="K864">
        <v>0.08</v>
      </c>
      <c r="L864">
        <v>7180.94</v>
      </c>
      <c r="M864" t="s">
        <v>76</v>
      </c>
      <c r="N864" t="s">
        <v>24</v>
      </c>
      <c r="O864" t="s">
        <v>65</v>
      </c>
      <c r="P864" t="s">
        <v>42</v>
      </c>
      <c r="Q864" t="str">
        <f t="shared" si="91"/>
        <v>Completed</v>
      </c>
      <c r="R864" t="str">
        <f t="shared" si="92"/>
        <v>Store</v>
      </c>
      <c r="S864" t="str">
        <v>Debit Card</v>
      </c>
      <c r="T864" t="str">
        <v>Electronics</v>
      </c>
      <c r="U864" t="str">
        <f t="shared" si="93"/>
        <v>VALID</v>
      </c>
      <c r="V864" t="str">
        <f t="shared" si="94"/>
        <v>NORMAL</v>
      </c>
      <c r="W864" t="str">
        <f t="shared" si="95"/>
        <v>Valid</v>
      </c>
      <c r="X864">
        <f t="shared" si="97"/>
        <v>7805.37</v>
      </c>
      <c r="Y864">
        <f t="shared" si="96"/>
        <v>7180.9403999999995</v>
      </c>
    </row>
    <row r="865" spans="1:25" x14ac:dyDescent="0.3">
      <c r="A865" t="s">
        <v>1205</v>
      </c>
      <c r="B865" s="1">
        <v>45938</v>
      </c>
      <c r="C865" t="s">
        <v>1206</v>
      </c>
      <c r="D865" t="s">
        <v>176</v>
      </c>
      <c r="E865" t="s">
        <v>177</v>
      </c>
      <c r="F865" t="s">
        <v>31</v>
      </c>
      <c r="G865" t="s">
        <v>81</v>
      </c>
      <c r="H865" t="s">
        <v>82</v>
      </c>
      <c r="I865">
        <v>3</v>
      </c>
      <c r="J865">
        <v>2124.9899999999998</v>
      </c>
      <c r="K865">
        <v>0.1</v>
      </c>
      <c r="L865">
        <v>5737.47</v>
      </c>
      <c r="M865" t="s">
        <v>76</v>
      </c>
      <c r="N865" t="s">
        <v>49</v>
      </c>
      <c r="O865" t="s">
        <v>25</v>
      </c>
      <c r="P865" t="s">
        <v>50</v>
      </c>
      <c r="Q865" t="str">
        <f t="shared" si="91"/>
        <v>Returned</v>
      </c>
      <c r="R865" t="str">
        <f t="shared" si="92"/>
        <v>Store</v>
      </c>
      <c r="S865" t="str">
        <v>Net Banking</v>
      </c>
      <c r="T865" t="str">
        <v>Electronics</v>
      </c>
      <c r="U865" t="str">
        <f t="shared" si="93"/>
        <v>VALID</v>
      </c>
      <c r="V865" t="str">
        <f t="shared" si="94"/>
        <v>NORMAL</v>
      </c>
      <c r="W865" t="str">
        <f t="shared" si="95"/>
        <v>Valid</v>
      </c>
      <c r="X865">
        <f t="shared" si="97"/>
        <v>6374.9699999999993</v>
      </c>
      <c r="Y865">
        <f t="shared" si="96"/>
        <v>5737.472999999999</v>
      </c>
    </row>
    <row r="866" spans="1:25" x14ac:dyDescent="0.3">
      <c r="A866" t="s">
        <v>1207</v>
      </c>
      <c r="B866" s="1">
        <v>45429</v>
      </c>
      <c r="C866" t="s">
        <v>612</v>
      </c>
      <c r="D866" t="s">
        <v>121</v>
      </c>
      <c r="E866" t="s">
        <v>122</v>
      </c>
      <c r="F866" t="s">
        <v>55</v>
      </c>
      <c r="G866" t="s">
        <v>81</v>
      </c>
      <c r="H866" t="s">
        <v>82</v>
      </c>
      <c r="I866">
        <v>5</v>
      </c>
      <c r="J866">
        <v>418.95</v>
      </c>
      <c r="K866">
        <v>0.2</v>
      </c>
      <c r="L866">
        <v>1675.8</v>
      </c>
      <c r="M866" t="s">
        <v>76</v>
      </c>
      <c r="N866" t="s">
        <v>58</v>
      </c>
      <c r="O866" t="s">
        <v>65</v>
      </c>
      <c r="P866" t="s">
        <v>116</v>
      </c>
      <c r="Q866" t="str">
        <f t="shared" si="91"/>
        <v>Completed</v>
      </c>
      <c r="R866" t="str">
        <f t="shared" si="92"/>
        <v>Store</v>
      </c>
      <c r="S866" t="str">
        <v>Credit Card</v>
      </c>
      <c r="T866" t="str">
        <v>Stationery</v>
      </c>
      <c r="U866" t="str">
        <f t="shared" si="93"/>
        <v>VALID</v>
      </c>
      <c r="V866" t="str">
        <f t="shared" si="94"/>
        <v>NORMAL</v>
      </c>
      <c r="W866" t="str">
        <f t="shared" si="95"/>
        <v>Valid</v>
      </c>
      <c r="X866">
        <f t="shared" si="97"/>
        <v>2094.75</v>
      </c>
      <c r="Y866">
        <f t="shared" si="96"/>
        <v>1675.8</v>
      </c>
    </row>
    <row r="867" spans="1:25" x14ac:dyDescent="0.3">
      <c r="A867" t="s">
        <v>1208</v>
      </c>
      <c r="B867" s="1">
        <v>45877</v>
      </c>
      <c r="C867" t="s">
        <v>257</v>
      </c>
      <c r="D867" t="s">
        <v>45</v>
      </c>
      <c r="E867" t="s">
        <v>46</v>
      </c>
      <c r="F867" t="s">
        <v>31</v>
      </c>
      <c r="G867" t="s">
        <v>21</v>
      </c>
      <c r="H867" t="s">
        <v>126</v>
      </c>
      <c r="I867">
        <v>5</v>
      </c>
      <c r="J867">
        <v>1831.02</v>
      </c>
      <c r="K867">
        <v>0</v>
      </c>
      <c r="L867">
        <v>9155.1</v>
      </c>
      <c r="M867" t="s">
        <v>76</v>
      </c>
      <c r="N867" t="s">
        <v>49</v>
      </c>
      <c r="O867" t="s">
        <v>65</v>
      </c>
      <c r="P867" t="s">
        <v>72</v>
      </c>
      <c r="Q867" t="str">
        <f t="shared" si="91"/>
        <v>Completed</v>
      </c>
      <c r="R867" t="str">
        <f t="shared" si="92"/>
        <v>Store</v>
      </c>
      <c r="S867" t="str">
        <v>Net Banking</v>
      </c>
      <c r="T867" t="str">
        <v>Electronics</v>
      </c>
      <c r="U867" t="str">
        <f t="shared" si="93"/>
        <v>VALID</v>
      </c>
      <c r="V867" t="str">
        <f t="shared" si="94"/>
        <v>NORMAL</v>
      </c>
      <c r="W867" t="str">
        <f t="shared" si="95"/>
        <v>Valid</v>
      </c>
      <c r="X867">
        <f t="shared" si="97"/>
        <v>9155.1</v>
      </c>
      <c r="Y867">
        <f t="shared" si="96"/>
        <v>9155.1</v>
      </c>
    </row>
    <row r="868" spans="1:25" x14ac:dyDescent="0.3">
      <c r="A868" t="s">
        <v>1209</v>
      </c>
      <c r="B868" s="1">
        <v>45877</v>
      </c>
      <c r="C868" t="s">
        <v>1008</v>
      </c>
      <c r="D868" t="s">
        <v>131</v>
      </c>
      <c r="E868" t="s">
        <v>132</v>
      </c>
      <c r="F868" t="s">
        <v>40</v>
      </c>
      <c r="G868" t="s">
        <v>81</v>
      </c>
      <c r="H868" t="s">
        <v>98</v>
      </c>
      <c r="I868">
        <v>3</v>
      </c>
      <c r="J868">
        <v>9379.52</v>
      </c>
      <c r="K868">
        <v>0.15</v>
      </c>
      <c r="L868">
        <v>23917.78</v>
      </c>
      <c r="M868" t="s">
        <v>23</v>
      </c>
      <c r="N868" t="s">
        <v>34</v>
      </c>
      <c r="O868" t="s">
        <v>65</v>
      </c>
      <c r="P868" t="s">
        <v>59</v>
      </c>
      <c r="Q868" t="str">
        <f t="shared" si="91"/>
        <v>Completed</v>
      </c>
      <c r="R868" t="str">
        <f t="shared" si="92"/>
        <v>Online</v>
      </c>
      <c r="S868" t="str">
        <v>Cash On Delivery</v>
      </c>
      <c r="T868" t="str">
        <v>Furniture</v>
      </c>
      <c r="U868" t="str">
        <f t="shared" si="93"/>
        <v>VALID</v>
      </c>
      <c r="V868" t="str">
        <f t="shared" si="94"/>
        <v>NORMAL</v>
      </c>
      <c r="W868" t="str">
        <f t="shared" si="95"/>
        <v>Valid</v>
      </c>
      <c r="X868">
        <f t="shared" si="97"/>
        <v>28138.560000000001</v>
      </c>
      <c r="Y868">
        <f t="shared" si="96"/>
        <v>23917.776000000002</v>
      </c>
    </row>
    <row r="869" spans="1:25" x14ac:dyDescent="0.3">
      <c r="A869" t="s">
        <v>1210</v>
      </c>
      <c r="B869" s="1">
        <v>45901</v>
      </c>
      <c r="C869" t="s">
        <v>1211</v>
      </c>
      <c r="D869" t="s">
        <v>53</v>
      </c>
      <c r="E869" t="s">
        <v>54</v>
      </c>
      <c r="F869" t="s">
        <v>55</v>
      </c>
      <c r="G869" t="s">
        <v>56</v>
      </c>
      <c r="H869" t="s">
        <v>101</v>
      </c>
      <c r="I869">
        <v>1</v>
      </c>
      <c r="J869">
        <v>204.09</v>
      </c>
      <c r="K869">
        <v>0.1</v>
      </c>
      <c r="L869">
        <v>183.68</v>
      </c>
      <c r="M869" t="s">
        <v>23</v>
      </c>
      <c r="N869" t="s">
        <v>58</v>
      </c>
      <c r="O869" t="s">
        <v>65</v>
      </c>
      <c r="P869" t="s">
        <v>111</v>
      </c>
      <c r="Q869" t="str">
        <f t="shared" si="91"/>
        <v>Completed</v>
      </c>
      <c r="R869" t="str">
        <f t="shared" si="92"/>
        <v>Online</v>
      </c>
      <c r="S869" t="str">
        <v>Credit Card</v>
      </c>
      <c r="T869" t="str">
        <v>Stationery</v>
      </c>
      <c r="U869" t="str">
        <f t="shared" si="93"/>
        <v>VALID</v>
      </c>
      <c r="V869" t="str">
        <f t="shared" si="94"/>
        <v>NORMAL</v>
      </c>
      <c r="W869" t="str">
        <f t="shared" si="95"/>
        <v>Valid</v>
      </c>
      <c r="X869">
        <f t="shared" si="97"/>
        <v>204.09</v>
      </c>
      <c r="Y869">
        <f t="shared" si="96"/>
        <v>183.68100000000001</v>
      </c>
    </row>
    <row r="870" spans="1:25" x14ac:dyDescent="0.3">
      <c r="A870" t="s">
        <v>1212</v>
      </c>
      <c r="B870" s="1">
        <v>45866</v>
      </c>
      <c r="C870" t="s">
        <v>306</v>
      </c>
      <c r="D870" t="s">
        <v>18</v>
      </c>
      <c r="E870" t="s">
        <v>19</v>
      </c>
      <c r="F870" t="s">
        <v>20</v>
      </c>
      <c r="G870" t="s">
        <v>81</v>
      </c>
      <c r="H870" t="s">
        <v>135</v>
      </c>
      <c r="I870">
        <v>2</v>
      </c>
      <c r="J870">
        <v>812.95</v>
      </c>
      <c r="K870">
        <v>0.03</v>
      </c>
      <c r="L870">
        <v>1577.12</v>
      </c>
      <c r="M870" t="s">
        <v>76</v>
      </c>
      <c r="N870" t="s">
        <v>34</v>
      </c>
      <c r="O870" t="s">
        <v>65</v>
      </c>
      <c r="P870" t="s">
        <v>102</v>
      </c>
      <c r="Q870" t="str">
        <f t="shared" si="91"/>
        <v>Completed</v>
      </c>
      <c r="R870" t="str">
        <f t="shared" si="92"/>
        <v>Store</v>
      </c>
      <c r="S870" t="str">
        <v>Cash On Delivery</v>
      </c>
      <c r="T870" t="str">
        <v>Accessories</v>
      </c>
      <c r="U870" t="str">
        <f t="shared" si="93"/>
        <v>VALID</v>
      </c>
      <c r="V870" t="str">
        <f t="shared" si="94"/>
        <v>NORMAL</v>
      </c>
      <c r="W870" t="str">
        <f t="shared" si="95"/>
        <v>Valid</v>
      </c>
      <c r="X870">
        <f t="shared" si="97"/>
        <v>1625.9</v>
      </c>
      <c r="Y870">
        <f t="shared" si="96"/>
        <v>1577.123</v>
      </c>
    </row>
    <row r="871" spans="1:25" x14ac:dyDescent="0.3">
      <c r="A871" t="s">
        <v>1213</v>
      </c>
      <c r="B871" s="1">
        <v>45688</v>
      </c>
      <c r="C871" t="s">
        <v>232</v>
      </c>
      <c r="D871" t="s">
        <v>131</v>
      </c>
      <c r="E871" t="s">
        <v>132</v>
      </c>
      <c r="F871" t="s">
        <v>40</v>
      </c>
      <c r="G871" t="s">
        <v>81</v>
      </c>
      <c r="H871" t="s">
        <v>82</v>
      </c>
      <c r="I871">
        <v>5</v>
      </c>
      <c r="J871">
        <v>9416.25</v>
      </c>
      <c r="K871">
        <v>0.2</v>
      </c>
      <c r="L871">
        <v>37665</v>
      </c>
      <c r="M871" t="s">
        <v>23</v>
      </c>
      <c r="N871" t="s">
        <v>58</v>
      </c>
      <c r="O871" t="s">
        <v>65</v>
      </c>
      <c r="P871" t="s">
        <v>42</v>
      </c>
      <c r="Q871" t="str">
        <f t="shared" si="91"/>
        <v>Completed</v>
      </c>
      <c r="R871" t="str">
        <f t="shared" si="92"/>
        <v>Online</v>
      </c>
      <c r="S871" t="str">
        <v>Credit Card</v>
      </c>
      <c r="T871" t="str">
        <v>Furniture</v>
      </c>
      <c r="U871" t="str">
        <f t="shared" si="93"/>
        <v>VALID</v>
      </c>
      <c r="V871" t="str">
        <f t="shared" si="94"/>
        <v>NORMAL</v>
      </c>
      <c r="W871" t="str">
        <f t="shared" si="95"/>
        <v>Valid</v>
      </c>
      <c r="X871">
        <f t="shared" si="97"/>
        <v>47081.25</v>
      </c>
      <c r="Y871">
        <f t="shared" si="96"/>
        <v>37665</v>
      </c>
    </row>
    <row r="872" spans="1:25" x14ac:dyDescent="0.3">
      <c r="A872" t="s">
        <v>1214</v>
      </c>
      <c r="B872" s="1">
        <v>46168</v>
      </c>
      <c r="C872" t="s">
        <v>394</v>
      </c>
      <c r="D872" t="s">
        <v>79</v>
      </c>
      <c r="E872" t="s">
        <v>80</v>
      </c>
      <c r="F872" t="s">
        <v>31</v>
      </c>
      <c r="G872" t="s">
        <v>21</v>
      </c>
      <c r="H872" t="s">
        <v>41</v>
      </c>
      <c r="I872">
        <v>5</v>
      </c>
      <c r="J872">
        <v>11766.52</v>
      </c>
      <c r="K872">
        <v>0.15</v>
      </c>
      <c r="L872">
        <v>50007.71</v>
      </c>
      <c r="M872" t="s">
        <v>48</v>
      </c>
      <c r="N872" t="s">
        <v>49</v>
      </c>
      <c r="O872" t="s">
        <v>65</v>
      </c>
      <c r="P872" t="s">
        <v>116</v>
      </c>
      <c r="Q872" t="str">
        <f t="shared" si="91"/>
        <v>Completed</v>
      </c>
      <c r="R872" t="str">
        <f t="shared" si="92"/>
        <v>Marketplace</v>
      </c>
      <c r="S872" t="str">
        <v>Net Banking</v>
      </c>
      <c r="T872" t="str">
        <v>Electronics</v>
      </c>
      <c r="U872" t="str">
        <f t="shared" si="93"/>
        <v>VALID</v>
      </c>
      <c r="V872" t="str">
        <f t="shared" si="94"/>
        <v>NORMAL</v>
      </c>
      <c r="W872" t="str">
        <f t="shared" si="95"/>
        <v>Valid</v>
      </c>
      <c r="X872">
        <f t="shared" si="97"/>
        <v>58832.600000000006</v>
      </c>
      <c r="Y872">
        <f t="shared" si="96"/>
        <v>50007.710000000006</v>
      </c>
    </row>
    <row r="873" spans="1:25" x14ac:dyDescent="0.3">
      <c r="A873" t="s">
        <v>1215</v>
      </c>
      <c r="B873" s="1">
        <v>45306</v>
      </c>
      <c r="C873" t="s">
        <v>558</v>
      </c>
      <c r="D873" t="s">
        <v>131</v>
      </c>
      <c r="E873" t="s">
        <v>132</v>
      </c>
      <c r="F873" t="s">
        <v>40</v>
      </c>
      <c r="G873" t="s">
        <v>21</v>
      </c>
      <c r="H873" t="s">
        <v>126</v>
      </c>
      <c r="I873">
        <v>1</v>
      </c>
      <c r="J873">
        <v>9059.1</v>
      </c>
      <c r="K873">
        <v>0</v>
      </c>
      <c r="L873">
        <v>9059.1</v>
      </c>
      <c r="M873" t="s">
        <v>48</v>
      </c>
      <c r="N873" t="s">
        <v>58</v>
      </c>
      <c r="O873" t="s">
        <v>65</v>
      </c>
      <c r="P873" t="s">
        <v>102</v>
      </c>
      <c r="Q873" t="str">
        <f t="shared" si="91"/>
        <v>Completed</v>
      </c>
      <c r="R873" t="str">
        <f t="shared" si="92"/>
        <v>Marketplace</v>
      </c>
      <c r="S873" t="str">
        <v>Credit Card</v>
      </c>
      <c r="T873" t="str">
        <v>Furniture</v>
      </c>
      <c r="U873" t="str">
        <f t="shared" si="93"/>
        <v>VALID</v>
      </c>
      <c r="V873" t="str">
        <f t="shared" si="94"/>
        <v>NORMAL</v>
      </c>
      <c r="W873" t="str">
        <f t="shared" si="95"/>
        <v>Valid</v>
      </c>
      <c r="X873">
        <f t="shared" si="97"/>
        <v>9059.1</v>
      </c>
      <c r="Y873">
        <f t="shared" si="96"/>
        <v>9059.1</v>
      </c>
    </row>
    <row r="874" spans="1:25" x14ac:dyDescent="0.3">
      <c r="A874" t="s">
        <v>1216</v>
      </c>
      <c r="B874" s="1">
        <v>45613</v>
      </c>
      <c r="C874" t="s">
        <v>1013</v>
      </c>
      <c r="D874" t="s">
        <v>176</v>
      </c>
      <c r="E874" t="s">
        <v>177</v>
      </c>
      <c r="F874" t="s">
        <v>31</v>
      </c>
      <c r="G874" t="s">
        <v>21</v>
      </c>
      <c r="H874" t="s">
        <v>126</v>
      </c>
      <c r="I874">
        <v>5</v>
      </c>
      <c r="J874">
        <v>2329.84</v>
      </c>
      <c r="K874">
        <v>0.2</v>
      </c>
      <c r="L874">
        <v>9319.36</v>
      </c>
      <c r="M874" t="s">
        <v>76</v>
      </c>
      <c r="N874" t="s">
        <v>49</v>
      </c>
      <c r="O874" t="s">
        <v>65</v>
      </c>
      <c r="P874" t="s">
        <v>50</v>
      </c>
      <c r="Q874" t="str">
        <f t="shared" si="91"/>
        <v>Completed</v>
      </c>
      <c r="R874" t="str">
        <f t="shared" si="92"/>
        <v>Store</v>
      </c>
      <c r="S874" t="str">
        <v>Net Banking</v>
      </c>
      <c r="T874" t="str">
        <v>Electronics</v>
      </c>
      <c r="U874" t="str">
        <f t="shared" si="93"/>
        <v>VALID</v>
      </c>
      <c r="V874" t="str">
        <f t="shared" si="94"/>
        <v>NORMAL</v>
      </c>
      <c r="W874" t="str">
        <f t="shared" si="95"/>
        <v>Valid</v>
      </c>
      <c r="X874">
        <f t="shared" si="97"/>
        <v>11649.2</v>
      </c>
      <c r="Y874">
        <f t="shared" si="96"/>
        <v>9319.36</v>
      </c>
    </row>
    <row r="875" spans="1:25" x14ac:dyDescent="0.3">
      <c r="A875" t="s">
        <v>1217</v>
      </c>
      <c r="B875" s="1">
        <v>45762</v>
      </c>
      <c r="C875" t="s">
        <v>1096</v>
      </c>
      <c r="D875" t="s">
        <v>176</v>
      </c>
      <c r="E875" t="s">
        <v>177</v>
      </c>
      <c r="F875" t="s">
        <v>31</v>
      </c>
      <c r="G875" t="s">
        <v>32</v>
      </c>
      <c r="H875" t="s">
        <v>47</v>
      </c>
      <c r="I875">
        <v>3</v>
      </c>
      <c r="J875">
        <v>2227.48</v>
      </c>
      <c r="K875">
        <v>0.03</v>
      </c>
      <c r="L875">
        <v>6481.97</v>
      </c>
      <c r="M875" t="s">
        <v>76</v>
      </c>
      <c r="N875" t="s">
        <v>58</v>
      </c>
      <c r="O875" t="s">
        <v>25</v>
      </c>
      <c r="P875" t="s">
        <v>111</v>
      </c>
      <c r="Q875" t="str">
        <f t="shared" si="91"/>
        <v>Returned</v>
      </c>
      <c r="R875" t="str">
        <f t="shared" si="92"/>
        <v>Store</v>
      </c>
      <c r="S875" t="str">
        <v>Credit Card</v>
      </c>
      <c r="T875" t="str">
        <v>Electronics</v>
      </c>
      <c r="U875" t="str">
        <f t="shared" si="93"/>
        <v>VALID</v>
      </c>
      <c r="V875" t="str">
        <f t="shared" si="94"/>
        <v>NORMAL</v>
      </c>
      <c r="W875" t="str">
        <f t="shared" si="95"/>
        <v>Valid</v>
      </c>
      <c r="X875">
        <f t="shared" si="97"/>
        <v>6682.4400000000005</v>
      </c>
      <c r="Y875">
        <f t="shared" si="96"/>
        <v>6481.9668000000001</v>
      </c>
    </row>
    <row r="876" spans="1:25" x14ac:dyDescent="0.3">
      <c r="A876" t="s">
        <v>1218</v>
      </c>
      <c r="B876" s="1">
        <v>45769</v>
      </c>
      <c r="C876" t="s">
        <v>118</v>
      </c>
      <c r="D876" t="s">
        <v>105</v>
      </c>
      <c r="E876" t="s">
        <v>106</v>
      </c>
      <c r="F876" t="s">
        <v>40</v>
      </c>
      <c r="G876" t="s">
        <v>32</v>
      </c>
      <c r="H876" t="s">
        <v>47</v>
      </c>
      <c r="I876">
        <v>1</v>
      </c>
      <c r="J876">
        <v>7108.49</v>
      </c>
      <c r="K876">
        <v>0.15</v>
      </c>
      <c r="L876">
        <v>6042.22</v>
      </c>
      <c r="M876" t="s">
        <v>23</v>
      </c>
      <c r="N876" t="s">
        <v>49</v>
      </c>
      <c r="O876" t="s">
        <v>65</v>
      </c>
      <c r="P876" t="s">
        <v>26</v>
      </c>
      <c r="Q876" t="str">
        <f t="shared" si="91"/>
        <v>Completed</v>
      </c>
      <c r="R876" t="str">
        <f t="shared" si="92"/>
        <v>Online</v>
      </c>
      <c r="S876" t="str">
        <v>Net Banking</v>
      </c>
      <c r="T876" t="str">
        <v>Furniture</v>
      </c>
      <c r="U876" t="str">
        <f t="shared" si="93"/>
        <v>VALID</v>
      </c>
      <c r="V876" t="str">
        <f t="shared" si="94"/>
        <v>NORMAL</v>
      </c>
      <c r="W876" t="str">
        <f t="shared" si="95"/>
        <v>Valid</v>
      </c>
      <c r="X876">
        <f t="shared" si="97"/>
        <v>7108.49</v>
      </c>
      <c r="Y876">
        <f t="shared" si="96"/>
        <v>6042.2164999999995</v>
      </c>
    </row>
    <row r="877" spans="1:25" x14ac:dyDescent="0.3">
      <c r="A877" t="s">
        <v>1219</v>
      </c>
      <c r="B877" s="1">
        <v>45470</v>
      </c>
      <c r="C877" t="s">
        <v>544</v>
      </c>
      <c r="D877" t="s">
        <v>89</v>
      </c>
      <c r="E877" t="s">
        <v>90</v>
      </c>
      <c r="F877" t="s">
        <v>20</v>
      </c>
      <c r="G877" t="s">
        <v>32</v>
      </c>
      <c r="H877" t="s">
        <v>68</v>
      </c>
      <c r="I877">
        <v>1</v>
      </c>
      <c r="J877">
        <v>705.11</v>
      </c>
      <c r="K877">
        <v>0.2</v>
      </c>
      <c r="L877">
        <v>564.09</v>
      </c>
      <c r="M877" t="s">
        <v>23</v>
      </c>
      <c r="N877" t="s">
        <v>24</v>
      </c>
      <c r="O877" t="s">
        <v>65</v>
      </c>
      <c r="P877" t="s">
        <v>111</v>
      </c>
      <c r="Q877" t="str">
        <f t="shared" si="91"/>
        <v>Completed</v>
      </c>
      <c r="R877" t="str">
        <f t="shared" si="92"/>
        <v>Online</v>
      </c>
      <c r="S877" t="str">
        <v>Debit Card</v>
      </c>
      <c r="T877" t="str">
        <v>Accessories</v>
      </c>
      <c r="U877" t="str">
        <f t="shared" si="93"/>
        <v>VALID</v>
      </c>
      <c r="V877" t="str">
        <f t="shared" si="94"/>
        <v>NORMAL</v>
      </c>
      <c r="W877" t="str">
        <f t="shared" si="95"/>
        <v>Valid</v>
      </c>
      <c r="X877">
        <f t="shared" si="97"/>
        <v>705.11</v>
      </c>
      <c r="Y877">
        <f t="shared" si="96"/>
        <v>564.08799999999997</v>
      </c>
    </row>
    <row r="878" spans="1:25" x14ac:dyDescent="0.3">
      <c r="A878" t="s">
        <v>1220</v>
      </c>
      <c r="B878" s="1">
        <v>45442</v>
      </c>
      <c r="C878" t="s">
        <v>587</v>
      </c>
      <c r="D878" t="s">
        <v>18</v>
      </c>
      <c r="E878" t="s">
        <v>19</v>
      </c>
      <c r="F878" t="s">
        <v>20</v>
      </c>
      <c r="G878" t="s">
        <v>81</v>
      </c>
      <c r="H878" t="s">
        <v>82</v>
      </c>
      <c r="I878">
        <v>2</v>
      </c>
      <c r="J878">
        <v>904.49</v>
      </c>
      <c r="K878">
        <v>0.03</v>
      </c>
      <c r="L878">
        <v>1754.71</v>
      </c>
      <c r="M878" t="s">
        <v>48</v>
      </c>
      <c r="N878" t="s">
        <v>24</v>
      </c>
      <c r="O878" t="s">
        <v>65</v>
      </c>
      <c r="P878" t="s">
        <v>42</v>
      </c>
      <c r="Q878" t="str">
        <f t="shared" si="91"/>
        <v>Completed</v>
      </c>
      <c r="R878" t="str">
        <f t="shared" si="92"/>
        <v>Marketplace</v>
      </c>
      <c r="S878" t="str">
        <v>Debit Card</v>
      </c>
      <c r="T878" t="str">
        <v>Accessories</v>
      </c>
      <c r="U878" t="str">
        <f t="shared" si="93"/>
        <v>VALID</v>
      </c>
      <c r="V878" t="str">
        <f t="shared" si="94"/>
        <v>NORMAL</v>
      </c>
      <c r="W878" t="str">
        <f t="shared" si="95"/>
        <v>Valid</v>
      </c>
      <c r="X878">
        <f t="shared" si="97"/>
        <v>1808.98</v>
      </c>
      <c r="Y878">
        <f t="shared" si="96"/>
        <v>1754.7106000000001</v>
      </c>
    </row>
    <row r="879" spans="1:25" x14ac:dyDescent="0.3">
      <c r="A879" t="s">
        <v>1221</v>
      </c>
      <c r="B879" s="1">
        <v>46043</v>
      </c>
      <c r="C879" t="s">
        <v>92</v>
      </c>
      <c r="D879" t="s">
        <v>170</v>
      </c>
      <c r="E879" t="s">
        <v>171</v>
      </c>
      <c r="F879" t="s">
        <v>31</v>
      </c>
      <c r="G879" t="s">
        <v>81</v>
      </c>
      <c r="H879" t="s">
        <v>82</v>
      </c>
      <c r="I879">
        <v>5</v>
      </c>
      <c r="J879">
        <v>67689.45</v>
      </c>
      <c r="K879">
        <v>0</v>
      </c>
      <c r="L879">
        <v>338447.25</v>
      </c>
      <c r="M879" t="s">
        <v>23</v>
      </c>
      <c r="N879" t="s">
        <v>24</v>
      </c>
      <c r="O879" t="s">
        <v>35</v>
      </c>
      <c r="P879" t="s">
        <v>102</v>
      </c>
      <c r="Q879" t="str">
        <f t="shared" si="91"/>
        <v>Cancelled</v>
      </c>
      <c r="R879" t="str">
        <f t="shared" si="92"/>
        <v>Online</v>
      </c>
      <c r="S879" t="str">
        <v>Debit Card</v>
      </c>
      <c r="T879" t="str">
        <v>Electronics</v>
      </c>
      <c r="U879" t="str">
        <f t="shared" si="93"/>
        <v>VALID</v>
      </c>
      <c r="V879" t="str">
        <f t="shared" si="94"/>
        <v>NORMAL</v>
      </c>
      <c r="W879" t="str">
        <f t="shared" si="95"/>
        <v>Valid</v>
      </c>
      <c r="X879">
        <f t="shared" si="97"/>
        <v>338447.25</v>
      </c>
      <c r="Y879">
        <f t="shared" si="96"/>
        <v>338447.25</v>
      </c>
    </row>
    <row r="880" spans="1:25" x14ac:dyDescent="0.3">
      <c r="A880" t="s">
        <v>1222</v>
      </c>
      <c r="B880" s="1">
        <v>45699</v>
      </c>
      <c r="C880" t="s">
        <v>542</v>
      </c>
      <c r="D880" t="s">
        <v>38</v>
      </c>
      <c r="E880" t="s">
        <v>39</v>
      </c>
      <c r="F880" t="s">
        <v>40</v>
      </c>
      <c r="G880" t="s">
        <v>32</v>
      </c>
      <c r="H880" t="s">
        <v>47</v>
      </c>
      <c r="I880">
        <v>1</v>
      </c>
      <c r="J880">
        <v>1669.7</v>
      </c>
      <c r="K880">
        <v>0.1</v>
      </c>
      <c r="L880">
        <v>1502.73</v>
      </c>
      <c r="M880" t="s">
        <v>76</v>
      </c>
      <c r="N880" t="s">
        <v>58</v>
      </c>
      <c r="O880" t="s">
        <v>25</v>
      </c>
      <c r="P880" t="s">
        <v>102</v>
      </c>
      <c r="Q880" t="str">
        <f t="shared" si="91"/>
        <v>Returned</v>
      </c>
      <c r="R880" t="str">
        <f t="shared" si="92"/>
        <v>Store</v>
      </c>
      <c r="S880" t="str">
        <v>Credit Card</v>
      </c>
      <c r="T880" t="str">
        <v>Furniture</v>
      </c>
      <c r="U880" t="str">
        <f t="shared" si="93"/>
        <v>VALID</v>
      </c>
      <c r="V880" t="str">
        <f t="shared" si="94"/>
        <v>NORMAL</v>
      </c>
      <c r="W880" t="str">
        <f t="shared" si="95"/>
        <v>Valid</v>
      </c>
      <c r="X880">
        <f t="shared" si="97"/>
        <v>1669.7</v>
      </c>
      <c r="Y880">
        <f t="shared" si="96"/>
        <v>1502.73</v>
      </c>
    </row>
    <row r="881" spans="1:25" x14ac:dyDescent="0.3">
      <c r="A881" t="s">
        <v>1223</v>
      </c>
      <c r="B881" s="1">
        <v>45917</v>
      </c>
      <c r="C881" t="s">
        <v>493</v>
      </c>
      <c r="D881" t="s">
        <v>176</v>
      </c>
      <c r="E881" t="s">
        <v>177</v>
      </c>
      <c r="F881" t="s">
        <v>31</v>
      </c>
      <c r="G881" t="s">
        <v>81</v>
      </c>
      <c r="H881" t="s">
        <v>135</v>
      </c>
      <c r="I881">
        <v>3</v>
      </c>
      <c r="J881">
        <v>2314.84</v>
      </c>
      <c r="K881">
        <v>0.03</v>
      </c>
      <c r="L881">
        <v>6736.18</v>
      </c>
      <c r="M881" t="s">
        <v>23</v>
      </c>
      <c r="N881" t="s">
        <v>71</v>
      </c>
      <c r="O881" t="s">
        <v>25</v>
      </c>
      <c r="P881" t="s">
        <v>72</v>
      </c>
      <c r="Q881" t="str">
        <f t="shared" si="91"/>
        <v>Returned</v>
      </c>
      <c r="R881" t="str">
        <f t="shared" si="92"/>
        <v>Online</v>
      </c>
      <c r="S881" t="str">
        <v>Upi</v>
      </c>
      <c r="T881" t="str">
        <v>Electronics</v>
      </c>
      <c r="U881" t="str">
        <f t="shared" si="93"/>
        <v>VALID</v>
      </c>
      <c r="V881" t="str">
        <f t="shared" si="94"/>
        <v>NORMAL</v>
      </c>
      <c r="W881" t="str">
        <f t="shared" si="95"/>
        <v>Valid</v>
      </c>
      <c r="X881">
        <f t="shared" si="97"/>
        <v>6944.52</v>
      </c>
      <c r="Y881">
        <f t="shared" si="96"/>
        <v>6736.1844000000001</v>
      </c>
    </row>
    <row r="882" spans="1:25" x14ac:dyDescent="0.3">
      <c r="A882" t="s">
        <v>1224</v>
      </c>
      <c r="B882" s="1">
        <v>45962</v>
      </c>
      <c r="C882" t="s">
        <v>236</v>
      </c>
      <c r="D882" t="s">
        <v>18</v>
      </c>
      <c r="E882" t="s">
        <v>19</v>
      </c>
      <c r="F882" t="s">
        <v>20</v>
      </c>
      <c r="G882" t="s">
        <v>56</v>
      </c>
      <c r="H882" t="s">
        <v>57</v>
      </c>
      <c r="I882">
        <v>1</v>
      </c>
      <c r="J882">
        <v>902.88</v>
      </c>
      <c r="K882">
        <v>0.05</v>
      </c>
      <c r="L882">
        <v>857.74</v>
      </c>
      <c r="M882" t="s">
        <v>48</v>
      </c>
      <c r="N882" t="s">
        <v>49</v>
      </c>
      <c r="O882" t="s">
        <v>25</v>
      </c>
      <c r="P882" t="s">
        <v>111</v>
      </c>
      <c r="Q882" t="str">
        <f t="shared" si="91"/>
        <v>Returned</v>
      </c>
      <c r="R882" t="str">
        <f t="shared" si="92"/>
        <v>Marketplace</v>
      </c>
      <c r="S882" t="str">
        <v>Net Banking</v>
      </c>
      <c r="T882" t="str">
        <v>Accessories</v>
      </c>
      <c r="U882" t="str">
        <f t="shared" si="93"/>
        <v>VALID</v>
      </c>
      <c r="V882" t="str">
        <f t="shared" si="94"/>
        <v>NORMAL</v>
      </c>
      <c r="W882" t="str">
        <f t="shared" si="95"/>
        <v>Valid</v>
      </c>
      <c r="X882">
        <f t="shared" si="97"/>
        <v>902.88</v>
      </c>
      <c r="Y882">
        <f t="shared" si="96"/>
        <v>857.73599999999999</v>
      </c>
    </row>
    <row r="883" spans="1:25" x14ac:dyDescent="0.3">
      <c r="A883" t="s">
        <v>1225</v>
      </c>
      <c r="B883" s="1">
        <v>45885</v>
      </c>
      <c r="C883" t="s">
        <v>238</v>
      </c>
      <c r="D883" t="s">
        <v>89</v>
      </c>
      <c r="E883" t="s">
        <v>90</v>
      </c>
      <c r="F883" t="s">
        <v>20</v>
      </c>
      <c r="G883" t="s">
        <v>56</v>
      </c>
      <c r="H883" t="s">
        <v>123</v>
      </c>
      <c r="I883">
        <v>3</v>
      </c>
      <c r="J883">
        <v>677.46</v>
      </c>
      <c r="K883">
        <v>0.2</v>
      </c>
      <c r="L883">
        <v>1625.9</v>
      </c>
      <c r="M883" t="s">
        <v>76</v>
      </c>
      <c r="N883" t="s">
        <v>34</v>
      </c>
      <c r="O883" t="s">
        <v>65</v>
      </c>
      <c r="P883" t="s">
        <v>26</v>
      </c>
      <c r="Q883" t="str">
        <f t="shared" si="91"/>
        <v>Completed</v>
      </c>
      <c r="R883" t="str">
        <f t="shared" si="92"/>
        <v>Store</v>
      </c>
      <c r="S883" t="str">
        <v>Cash On Delivery</v>
      </c>
      <c r="T883" t="str">
        <v>Accessories</v>
      </c>
      <c r="U883" t="str">
        <f t="shared" si="93"/>
        <v>VALID</v>
      </c>
      <c r="V883" t="str">
        <f t="shared" si="94"/>
        <v>NORMAL</v>
      </c>
      <c r="W883" t="str">
        <f t="shared" si="95"/>
        <v>Valid</v>
      </c>
      <c r="X883">
        <f t="shared" si="97"/>
        <v>2032.38</v>
      </c>
      <c r="Y883">
        <f t="shared" si="96"/>
        <v>1625.904</v>
      </c>
    </row>
    <row r="884" spans="1:25" x14ac:dyDescent="0.3">
      <c r="A884" t="s">
        <v>1226</v>
      </c>
      <c r="B884" s="1">
        <v>45990</v>
      </c>
      <c r="C884" t="s">
        <v>186</v>
      </c>
      <c r="D884" t="s">
        <v>62</v>
      </c>
      <c r="E884" t="s">
        <v>63</v>
      </c>
      <c r="F884" t="s">
        <v>31</v>
      </c>
      <c r="G884" t="s">
        <v>32</v>
      </c>
      <c r="H884" t="s">
        <v>47</v>
      </c>
      <c r="I884">
        <v>1</v>
      </c>
      <c r="J884">
        <v>2850.51</v>
      </c>
      <c r="K884">
        <v>0.08</v>
      </c>
      <c r="L884">
        <v>2622.47</v>
      </c>
      <c r="M884" t="s">
        <v>48</v>
      </c>
      <c r="N884" t="s">
        <v>71</v>
      </c>
      <c r="O884" t="s">
        <v>25</v>
      </c>
      <c r="P884" t="s">
        <v>50</v>
      </c>
      <c r="Q884" t="str">
        <f t="shared" si="91"/>
        <v>Returned</v>
      </c>
      <c r="R884" t="str">
        <f t="shared" si="92"/>
        <v>Marketplace</v>
      </c>
      <c r="S884" t="str">
        <v>Upi</v>
      </c>
      <c r="T884" t="str">
        <v>Electronics</v>
      </c>
      <c r="U884" t="str">
        <f t="shared" si="93"/>
        <v>VALID</v>
      </c>
      <c r="V884" t="str">
        <f t="shared" si="94"/>
        <v>NORMAL</v>
      </c>
      <c r="W884" t="str">
        <f t="shared" si="95"/>
        <v>Valid</v>
      </c>
      <c r="X884">
        <f t="shared" si="97"/>
        <v>2850.51</v>
      </c>
      <c r="Y884">
        <f t="shared" si="96"/>
        <v>2622.4692</v>
      </c>
    </row>
    <row r="885" spans="1:25" x14ac:dyDescent="0.3">
      <c r="A885" t="s">
        <v>1227</v>
      </c>
      <c r="B885" s="1">
        <v>45639</v>
      </c>
      <c r="C885" t="s">
        <v>84</v>
      </c>
      <c r="D885" t="s">
        <v>79</v>
      </c>
      <c r="E885" t="s">
        <v>80</v>
      </c>
      <c r="F885" t="s">
        <v>31</v>
      </c>
      <c r="G885" t="s">
        <v>21</v>
      </c>
      <c r="H885" t="s">
        <v>41</v>
      </c>
      <c r="I885">
        <v>1</v>
      </c>
      <c r="J885">
        <v>13075.51</v>
      </c>
      <c r="K885">
        <v>0.1</v>
      </c>
      <c r="L885">
        <v>11767.96</v>
      </c>
      <c r="M885" t="s">
        <v>76</v>
      </c>
      <c r="N885" t="s">
        <v>49</v>
      </c>
      <c r="O885" t="s">
        <v>65</v>
      </c>
      <c r="P885" t="s">
        <v>72</v>
      </c>
      <c r="Q885" t="str">
        <f t="shared" si="91"/>
        <v>Completed</v>
      </c>
      <c r="R885" t="str">
        <f t="shared" si="92"/>
        <v>Store</v>
      </c>
      <c r="S885" t="str">
        <v>Net Banking</v>
      </c>
      <c r="T885" t="str">
        <v>Electronics</v>
      </c>
      <c r="U885" t="str">
        <f t="shared" si="93"/>
        <v>VALID</v>
      </c>
      <c r="V885" t="str">
        <f t="shared" si="94"/>
        <v>NORMAL</v>
      </c>
      <c r="W885" t="str">
        <f t="shared" si="95"/>
        <v>Valid</v>
      </c>
      <c r="X885">
        <f t="shared" si="97"/>
        <v>13075.51</v>
      </c>
      <c r="Y885">
        <f t="shared" si="96"/>
        <v>11767.959000000001</v>
      </c>
    </row>
    <row r="886" spans="1:25" x14ac:dyDescent="0.3">
      <c r="A886" t="s">
        <v>1228</v>
      </c>
      <c r="B886" s="1">
        <v>45294</v>
      </c>
      <c r="C886" t="s">
        <v>683</v>
      </c>
      <c r="D886" t="s">
        <v>45</v>
      </c>
      <c r="E886" t="s">
        <v>46</v>
      </c>
      <c r="F886" t="s">
        <v>31</v>
      </c>
      <c r="G886" t="s">
        <v>32</v>
      </c>
      <c r="H886" t="s">
        <v>68</v>
      </c>
      <c r="I886">
        <v>5</v>
      </c>
      <c r="J886">
        <v>1934.62</v>
      </c>
      <c r="K886">
        <v>0.05</v>
      </c>
      <c r="L886">
        <v>9189.44</v>
      </c>
      <c r="M886" t="s">
        <v>23</v>
      </c>
      <c r="N886" t="s">
        <v>49</v>
      </c>
      <c r="O886" t="s">
        <v>65</v>
      </c>
      <c r="P886" t="s">
        <v>42</v>
      </c>
      <c r="Q886" t="str">
        <f t="shared" si="91"/>
        <v>Completed</v>
      </c>
      <c r="R886" t="str">
        <f t="shared" si="92"/>
        <v>Online</v>
      </c>
      <c r="S886" t="str">
        <v>Net Banking</v>
      </c>
      <c r="T886" t="str">
        <v>Electronics</v>
      </c>
      <c r="U886" t="str">
        <f t="shared" si="93"/>
        <v>VALID</v>
      </c>
      <c r="V886" t="str">
        <f t="shared" si="94"/>
        <v>NORMAL</v>
      </c>
      <c r="W886" t="str">
        <f t="shared" si="95"/>
        <v>Valid</v>
      </c>
      <c r="X886">
        <f t="shared" si="97"/>
        <v>9673.0999999999985</v>
      </c>
      <c r="Y886">
        <f t="shared" si="96"/>
        <v>9189.4449999999979</v>
      </c>
    </row>
    <row r="887" spans="1:25" x14ac:dyDescent="0.3">
      <c r="A887" t="s">
        <v>1229</v>
      </c>
      <c r="B887" s="1">
        <v>45984</v>
      </c>
      <c r="C887" t="s">
        <v>493</v>
      </c>
      <c r="D887" t="s">
        <v>131</v>
      </c>
      <c r="E887" t="s">
        <v>132</v>
      </c>
      <c r="F887" t="s">
        <v>40</v>
      </c>
      <c r="G887" t="s">
        <v>32</v>
      </c>
      <c r="H887" t="s">
        <v>68</v>
      </c>
      <c r="I887">
        <v>1</v>
      </c>
      <c r="J887">
        <v>9666.42</v>
      </c>
      <c r="K887">
        <v>0</v>
      </c>
      <c r="L887">
        <v>9666.42</v>
      </c>
      <c r="M887" t="s">
        <v>48</v>
      </c>
      <c r="N887" t="s">
        <v>24</v>
      </c>
      <c r="O887" t="s">
        <v>65</v>
      </c>
      <c r="P887" t="s">
        <v>50</v>
      </c>
      <c r="Q887" t="str">
        <f t="shared" si="91"/>
        <v>Completed</v>
      </c>
      <c r="R887" t="str">
        <f t="shared" si="92"/>
        <v>Marketplace</v>
      </c>
      <c r="S887" t="str">
        <v>Debit Card</v>
      </c>
      <c r="T887" t="str">
        <v>Furniture</v>
      </c>
      <c r="U887" t="str">
        <f t="shared" si="93"/>
        <v>VALID</v>
      </c>
      <c r="V887" t="str">
        <f t="shared" si="94"/>
        <v>NORMAL</v>
      </c>
      <c r="W887" t="str">
        <f t="shared" si="95"/>
        <v>Valid</v>
      </c>
      <c r="X887">
        <f t="shared" si="97"/>
        <v>9666.42</v>
      </c>
      <c r="Y887">
        <f t="shared" si="96"/>
        <v>9666.42</v>
      </c>
    </row>
    <row r="888" spans="1:25" x14ac:dyDescent="0.3">
      <c r="A888" t="s">
        <v>1230</v>
      </c>
      <c r="B888" s="1">
        <v>45308</v>
      </c>
      <c r="C888" t="s">
        <v>1063</v>
      </c>
      <c r="D888" t="s">
        <v>170</v>
      </c>
      <c r="E888" t="s">
        <v>171</v>
      </c>
      <c r="F888" t="s">
        <v>31</v>
      </c>
      <c r="G888" t="s">
        <v>21</v>
      </c>
      <c r="H888" t="s">
        <v>93</v>
      </c>
      <c r="I888">
        <v>1</v>
      </c>
      <c r="J888">
        <v>67544.320000000007</v>
      </c>
      <c r="K888">
        <v>0.03</v>
      </c>
      <c r="L888">
        <v>65517.99</v>
      </c>
      <c r="M888" t="s">
        <v>48</v>
      </c>
      <c r="N888" t="s">
        <v>34</v>
      </c>
      <c r="O888" t="s">
        <v>65</v>
      </c>
      <c r="P888" t="s">
        <v>26</v>
      </c>
      <c r="Q888" t="str">
        <f t="shared" si="91"/>
        <v>Completed</v>
      </c>
      <c r="R888" t="str">
        <f t="shared" si="92"/>
        <v>Marketplace</v>
      </c>
      <c r="S888" t="str">
        <v>Cash On Delivery</v>
      </c>
      <c r="T888" t="str">
        <v>Electronics</v>
      </c>
      <c r="U888" t="str">
        <f t="shared" si="93"/>
        <v>VALID</v>
      </c>
      <c r="V888" t="str">
        <f t="shared" si="94"/>
        <v>NORMAL</v>
      </c>
      <c r="W888" t="str">
        <f t="shared" si="95"/>
        <v>Valid</v>
      </c>
      <c r="X888">
        <f t="shared" si="97"/>
        <v>67544.320000000007</v>
      </c>
      <c r="Y888">
        <f t="shared" si="96"/>
        <v>65517.99040000001</v>
      </c>
    </row>
    <row r="889" spans="1:25" x14ac:dyDescent="0.3">
      <c r="A889" t="s">
        <v>1231</v>
      </c>
      <c r="B889" s="1">
        <v>45668</v>
      </c>
      <c r="C889" t="s">
        <v>67</v>
      </c>
      <c r="D889" t="s">
        <v>89</v>
      </c>
      <c r="E889" t="s">
        <v>90</v>
      </c>
      <c r="F889" t="s">
        <v>20</v>
      </c>
      <c r="G889" t="s">
        <v>56</v>
      </c>
      <c r="H889" t="s">
        <v>101</v>
      </c>
      <c r="I889">
        <v>5</v>
      </c>
      <c r="J889">
        <v>683.37</v>
      </c>
      <c r="K889">
        <v>0.1</v>
      </c>
      <c r="L889">
        <v>3075.16</v>
      </c>
      <c r="M889" t="s">
        <v>48</v>
      </c>
      <c r="N889" t="s">
        <v>34</v>
      </c>
      <c r="O889" t="s">
        <v>65</v>
      </c>
      <c r="P889" t="s">
        <v>102</v>
      </c>
      <c r="Q889" t="str">
        <f t="shared" si="91"/>
        <v>Completed</v>
      </c>
      <c r="R889" t="str">
        <f t="shared" si="92"/>
        <v>Marketplace</v>
      </c>
      <c r="S889" t="str">
        <v>Cash On Delivery</v>
      </c>
      <c r="T889" t="str">
        <v>Accessories</v>
      </c>
      <c r="U889" t="str">
        <f t="shared" si="93"/>
        <v>VALID</v>
      </c>
      <c r="V889" t="str">
        <f t="shared" si="94"/>
        <v>NORMAL</v>
      </c>
      <c r="W889" t="str">
        <f t="shared" si="95"/>
        <v>Valid</v>
      </c>
      <c r="X889">
        <f t="shared" si="97"/>
        <v>3416.85</v>
      </c>
      <c r="Y889">
        <f t="shared" si="96"/>
        <v>3075.165</v>
      </c>
    </row>
    <row r="890" spans="1:25" x14ac:dyDescent="0.3">
      <c r="A890" t="s">
        <v>1232</v>
      </c>
      <c r="B890" s="1">
        <v>46059</v>
      </c>
      <c r="C890" t="s">
        <v>493</v>
      </c>
      <c r="D890" t="s">
        <v>79</v>
      </c>
      <c r="E890" t="s">
        <v>80</v>
      </c>
      <c r="F890" t="s">
        <v>31</v>
      </c>
      <c r="G890" t="s">
        <v>756</v>
      </c>
      <c r="H890" t="s">
        <v>75</v>
      </c>
      <c r="I890">
        <v>3</v>
      </c>
      <c r="J890">
        <v>11575.11</v>
      </c>
      <c r="K890">
        <v>0.05</v>
      </c>
      <c r="L890">
        <v>32989.06</v>
      </c>
      <c r="M890" t="s">
        <v>48</v>
      </c>
      <c r="N890" t="s">
        <v>49</v>
      </c>
      <c r="O890" t="s">
        <v>65</v>
      </c>
      <c r="P890" t="s">
        <v>42</v>
      </c>
      <c r="Q890" t="str">
        <f t="shared" si="91"/>
        <v>Completed</v>
      </c>
      <c r="R890" t="str">
        <f t="shared" si="92"/>
        <v>Marketplace</v>
      </c>
      <c r="S890" t="str">
        <v>Net Banking</v>
      </c>
      <c r="T890" t="str">
        <v>Electronics</v>
      </c>
      <c r="U890" t="str">
        <f t="shared" si="93"/>
        <v>VALID</v>
      </c>
      <c r="V890" t="str">
        <f t="shared" si="94"/>
        <v>NORMAL</v>
      </c>
      <c r="W890" t="str">
        <f t="shared" si="95"/>
        <v>Valid</v>
      </c>
      <c r="X890">
        <f t="shared" si="97"/>
        <v>34725.33</v>
      </c>
      <c r="Y890">
        <f t="shared" si="96"/>
        <v>32989.063500000004</v>
      </c>
    </row>
    <row r="891" spans="1:25" x14ac:dyDescent="0.3">
      <c r="A891" t="s">
        <v>1233</v>
      </c>
      <c r="B891" s="1">
        <v>45952</v>
      </c>
      <c r="C891" t="s">
        <v>1211</v>
      </c>
      <c r="D891" t="s">
        <v>62</v>
      </c>
      <c r="E891" t="s">
        <v>63</v>
      </c>
      <c r="F891" t="s">
        <v>31</v>
      </c>
      <c r="G891" t="s">
        <v>81</v>
      </c>
      <c r="H891" t="s">
        <v>87</v>
      </c>
      <c r="I891">
        <v>2</v>
      </c>
      <c r="J891">
        <v>3021.47</v>
      </c>
      <c r="K891">
        <v>0.2</v>
      </c>
      <c r="L891">
        <v>4834.3500000000004</v>
      </c>
      <c r="M891" t="s">
        <v>23</v>
      </c>
      <c r="N891" t="s">
        <v>34</v>
      </c>
      <c r="O891" t="s">
        <v>65</v>
      </c>
      <c r="P891" t="s">
        <v>50</v>
      </c>
      <c r="Q891" t="str">
        <f t="shared" si="91"/>
        <v>Completed</v>
      </c>
      <c r="R891" t="str">
        <f t="shared" si="92"/>
        <v>Online</v>
      </c>
      <c r="S891" t="str">
        <v>Cash On Delivery</v>
      </c>
      <c r="T891" t="str">
        <v>Electronics</v>
      </c>
      <c r="U891" t="str">
        <f t="shared" si="93"/>
        <v>VALID</v>
      </c>
      <c r="V891" t="str">
        <f t="shared" si="94"/>
        <v>NORMAL</v>
      </c>
      <c r="W891" t="str">
        <f t="shared" si="95"/>
        <v>Valid</v>
      </c>
      <c r="X891">
        <f t="shared" si="97"/>
        <v>6042.94</v>
      </c>
      <c r="Y891">
        <f t="shared" si="96"/>
        <v>4834.3519999999999</v>
      </c>
    </row>
    <row r="892" spans="1:25" x14ac:dyDescent="0.3">
      <c r="A892" t="s">
        <v>1234</v>
      </c>
      <c r="B892" s="1">
        <v>45374</v>
      </c>
      <c r="C892" t="s">
        <v>520</v>
      </c>
      <c r="D892" t="s">
        <v>18</v>
      </c>
      <c r="E892" t="s">
        <v>19</v>
      </c>
      <c r="F892" t="s">
        <v>20</v>
      </c>
      <c r="G892" t="s">
        <v>32</v>
      </c>
      <c r="H892" t="s">
        <v>47</v>
      </c>
      <c r="I892">
        <v>5</v>
      </c>
      <c r="J892">
        <v>892.4</v>
      </c>
      <c r="K892">
        <v>0.2</v>
      </c>
      <c r="L892">
        <v>3569.6</v>
      </c>
      <c r="M892" t="s">
        <v>76</v>
      </c>
      <c r="N892" t="s">
        <v>49</v>
      </c>
      <c r="O892" t="s">
        <v>35</v>
      </c>
      <c r="P892" t="s">
        <v>72</v>
      </c>
      <c r="Q892" t="str">
        <f t="shared" si="91"/>
        <v>Cancelled</v>
      </c>
      <c r="R892" t="str">
        <f t="shared" si="92"/>
        <v>Store</v>
      </c>
      <c r="S892" t="str">
        <v>Net Banking</v>
      </c>
      <c r="T892" t="str">
        <v>Accessories</v>
      </c>
      <c r="U892" t="str">
        <f t="shared" si="93"/>
        <v>VALID</v>
      </c>
      <c r="V892" t="str">
        <f t="shared" si="94"/>
        <v>NORMAL</v>
      </c>
      <c r="W892" t="str">
        <f t="shared" si="95"/>
        <v>Valid</v>
      </c>
      <c r="X892">
        <f t="shared" si="97"/>
        <v>4462</v>
      </c>
      <c r="Y892">
        <f t="shared" si="96"/>
        <v>3569.6</v>
      </c>
    </row>
    <row r="893" spans="1:25" x14ac:dyDescent="0.3">
      <c r="A893" t="s">
        <v>1235</v>
      </c>
      <c r="B893" s="1">
        <v>45921</v>
      </c>
      <c r="C893" t="s">
        <v>291</v>
      </c>
      <c r="D893" t="s">
        <v>105</v>
      </c>
      <c r="E893" t="s">
        <v>106</v>
      </c>
      <c r="F893" t="s">
        <v>40</v>
      </c>
      <c r="G893" t="s">
        <v>81</v>
      </c>
      <c r="H893" t="s">
        <v>82</v>
      </c>
      <c r="I893">
        <v>1</v>
      </c>
      <c r="J893">
        <v>7513.25</v>
      </c>
      <c r="K893">
        <v>0</v>
      </c>
      <c r="L893">
        <v>7513.25</v>
      </c>
      <c r="M893" t="s">
        <v>76</v>
      </c>
      <c r="N893" t="s">
        <v>24</v>
      </c>
      <c r="O893" t="s">
        <v>65</v>
      </c>
      <c r="P893" t="s">
        <v>102</v>
      </c>
      <c r="Q893" t="str">
        <f t="shared" si="91"/>
        <v>Completed</v>
      </c>
      <c r="R893" t="str">
        <f t="shared" si="92"/>
        <v>Store</v>
      </c>
      <c r="S893" t="str">
        <v>Debit Card</v>
      </c>
      <c r="T893" t="str">
        <v>Furniture</v>
      </c>
      <c r="U893" t="str">
        <f t="shared" si="93"/>
        <v>VALID</v>
      </c>
      <c r="V893" t="str">
        <f t="shared" si="94"/>
        <v>NORMAL</v>
      </c>
      <c r="W893" t="str">
        <f t="shared" si="95"/>
        <v>Valid</v>
      </c>
      <c r="X893">
        <f t="shared" si="97"/>
        <v>7513.25</v>
      </c>
      <c r="Y893">
        <f t="shared" si="96"/>
        <v>7513.25</v>
      </c>
    </row>
    <row r="894" spans="1:25" x14ac:dyDescent="0.3">
      <c r="A894" t="s">
        <v>1236</v>
      </c>
      <c r="B894" s="1">
        <v>45765</v>
      </c>
      <c r="C894" t="s">
        <v>554</v>
      </c>
      <c r="D894" t="s">
        <v>176</v>
      </c>
      <c r="E894" t="s">
        <v>177</v>
      </c>
      <c r="F894" t="s">
        <v>31</v>
      </c>
      <c r="G894" t="s">
        <v>21</v>
      </c>
      <c r="H894" t="s">
        <v>126</v>
      </c>
      <c r="I894">
        <v>2</v>
      </c>
      <c r="J894">
        <v>2237.0500000000002</v>
      </c>
      <c r="K894">
        <v>0.2</v>
      </c>
      <c r="L894">
        <v>3579.28</v>
      </c>
      <c r="M894" t="s">
        <v>48</v>
      </c>
      <c r="N894" t="s">
        <v>49</v>
      </c>
      <c r="O894" t="s">
        <v>65</v>
      </c>
      <c r="P894" t="s">
        <v>116</v>
      </c>
      <c r="Q894" t="str">
        <f t="shared" si="91"/>
        <v>Completed</v>
      </c>
      <c r="R894" t="str">
        <f t="shared" si="92"/>
        <v>Marketplace</v>
      </c>
      <c r="S894" t="str">
        <v>Net Banking</v>
      </c>
      <c r="T894" t="str">
        <v>Electronics</v>
      </c>
      <c r="U894" t="str">
        <f t="shared" si="93"/>
        <v>VALID</v>
      </c>
      <c r="V894" t="str">
        <f t="shared" si="94"/>
        <v>NORMAL</v>
      </c>
      <c r="W894" t="str">
        <f t="shared" si="95"/>
        <v>Valid</v>
      </c>
      <c r="X894">
        <f t="shared" si="97"/>
        <v>4474.1000000000004</v>
      </c>
      <c r="Y894">
        <f t="shared" si="96"/>
        <v>3579.28</v>
      </c>
    </row>
    <row r="895" spans="1:25" x14ac:dyDescent="0.3">
      <c r="A895" t="s">
        <v>1237</v>
      </c>
      <c r="B895" s="1">
        <v>45755</v>
      </c>
      <c r="C895" t="s">
        <v>181</v>
      </c>
      <c r="D895" t="s">
        <v>105</v>
      </c>
      <c r="E895" t="s">
        <v>106</v>
      </c>
      <c r="F895" t="s">
        <v>40</v>
      </c>
      <c r="G895" t="s">
        <v>21</v>
      </c>
      <c r="H895" t="s">
        <v>22</v>
      </c>
      <c r="I895">
        <v>5</v>
      </c>
      <c r="J895">
        <v>7580.56</v>
      </c>
      <c r="K895">
        <v>0.1</v>
      </c>
      <c r="L895">
        <v>34112.519999999997</v>
      </c>
      <c r="M895" t="s">
        <v>76</v>
      </c>
      <c r="N895" t="s">
        <v>49</v>
      </c>
      <c r="O895" t="s">
        <v>35</v>
      </c>
      <c r="P895" t="s">
        <v>116</v>
      </c>
      <c r="Q895" t="str">
        <f t="shared" si="91"/>
        <v>Cancelled</v>
      </c>
      <c r="R895" t="str">
        <f t="shared" si="92"/>
        <v>Store</v>
      </c>
      <c r="S895" t="str">
        <v>Net Banking</v>
      </c>
      <c r="T895" t="str">
        <v>Furniture</v>
      </c>
      <c r="U895" t="str">
        <f t="shared" si="93"/>
        <v>VALID</v>
      </c>
      <c r="V895" t="str">
        <f t="shared" si="94"/>
        <v>NORMAL</v>
      </c>
      <c r="W895" t="str">
        <f t="shared" si="95"/>
        <v>Valid</v>
      </c>
      <c r="X895">
        <f t="shared" si="97"/>
        <v>37902.800000000003</v>
      </c>
      <c r="Y895">
        <f t="shared" si="96"/>
        <v>34112.520000000004</v>
      </c>
    </row>
    <row r="896" spans="1:25" x14ac:dyDescent="0.3">
      <c r="A896" t="s">
        <v>1238</v>
      </c>
      <c r="B896" s="1">
        <v>46002</v>
      </c>
      <c r="C896" t="s">
        <v>95</v>
      </c>
      <c r="D896" t="s">
        <v>96</v>
      </c>
      <c r="E896" t="s">
        <v>97</v>
      </c>
      <c r="F896" t="s">
        <v>31</v>
      </c>
      <c r="G896" t="s">
        <v>21</v>
      </c>
      <c r="H896" t="s">
        <v>126</v>
      </c>
      <c r="I896">
        <v>4</v>
      </c>
      <c r="J896">
        <v>1204.54</v>
      </c>
      <c r="K896">
        <v>0.08</v>
      </c>
      <c r="L896">
        <v>4432.71</v>
      </c>
      <c r="M896" t="s">
        <v>48</v>
      </c>
      <c r="N896" t="s">
        <v>58</v>
      </c>
      <c r="O896" t="s">
        <v>65</v>
      </c>
      <c r="P896" t="s">
        <v>59</v>
      </c>
      <c r="Q896" t="str">
        <f t="shared" si="91"/>
        <v>Completed</v>
      </c>
      <c r="R896" t="str">
        <f t="shared" si="92"/>
        <v>Marketplace</v>
      </c>
      <c r="S896" t="str">
        <v>Credit Card</v>
      </c>
      <c r="T896" t="str">
        <v>Electronics</v>
      </c>
      <c r="U896" t="str">
        <f t="shared" si="93"/>
        <v>VALID</v>
      </c>
      <c r="V896" t="str">
        <f t="shared" si="94"/>
        <v>NORMAL</v>
      </c>
      <c r="W896" t="str">
        <f t="shared" si="95"/>
        <v>Valid</v>
      </c>
      <c r="X896">
        <f t="shared" si="97"/>
        <v>4818.16</v>
      </c>
      <c r="Y896">
        <f t="shared" si="96"/>
        <v>4432.7071999999998</v>
      </c>
    </row>
    <row r="897" spans="1:25" x14ac:dyDescent="0.3">
      <c r="A897" t="s">
        <v>1239</v>
      </c>
      <c r="B897" s="1">
        <v>45476</v>
      </c>
      <c r="C897" t="s">
        <v>128</v>
      </c>
      <c r="D897" t="s">
        <v>105</v>
      </c>
      <c r="E897" t="s">
        <v>106</v>
      </c>
      <c r="F897" t="s">
        <v>40</v>
      </c>
      <c r="G897" t="s">
        <v>56</v>
      </c>
      <c r="H897" t="s">
        <v>57</v>
      </c>
      <c r="I897">
        <v>2</v>
      </c>
      <c r="J897">
        <v>7425.72</v>
      </c>
      <c r="K897">
        <v>0.05</v>
      </c>
      <c r="L897">
        <v>14108.87</v>
      </c>
      <c r="M897" t="s">
        <v>76</v>
      </c>
      <c r="N897" t="s">
        <v>49</v>
      </c>
      <c r="O897" t="s">
        <v>65</v>
      </c>
      <c r="P897" t="s">
        <v>50</v>
      </c>
      <c r="Q897" t="str">
        <f t="shared" si="91"/>
        <v>Completed</v>
      </c>
      <c r="R897" t="str">
        <f t="shared" si="92"/>
        <v>Store</v>
      </c>
      <c r="S897" t="str">
        <v>Net Banking</v>
      </c>
      <c r="T897" t="str">
        <v>Furniture</v>
      </c>
      <c r="U897" t="str">
        <f t="shared" si="93"/>
        <v>VALID</v>
      </c>
      <c r="V897" t="str">
        <f t="shared" si="94"/>
        <v>NORMAL</v>
      </c>
      <c r="W897" t="str">
        <f t="shared" si="95"/>
        <v>Valid</v>
      </c>
      <c r="X897">
        <f t="shared" si="97"/>
        <v>14851.44</v>
      </c>
      <c r="Y897">
        <f t="shared" si="96"/>
        <v>14108.868</v>
      </c>
    </row>
    <row r="898" spans="1:25" x14ac:dyDescent="0.3">
      <c r="A898" t="s">
        <v>1240</v>
      </c>
      <c r="B898" s="1">
        <v>45705</v>
      </c>
      <c r="C898" t="s">
        <v>1241</v>
      </c>
      <c r="D898" t="s">
        <v>105</v>
      </c>
      <c r="E898" t="s">
        <v>106</v>
      </c>
      <c r="F898" t="s">
        <v>40</v>
      </c>
      <c r="G898" t="s">
        <v>56</v>
      </c>
      <c r="H898" t="s">
        <v>123</v>
      </c>
      <c r="I898">
        <v>1</v>
      </c>
      <c r="J898">
        <v>6909.89</v>
      </c>
      <c r="K898">
        <v>0.08</v>
      </c>
      <c r="L898">
        <v>6357.1</v>
      </c>
      <c r="M898" t="s">
        <v>76</v>
      </c>
      <c r="N898" t="s">
        <v>24</v>
      </c>
      <c r="O898" t="s">
        <v>35</v>
      </c>
      <c r="P898" t="s">
        <v>59</v>
      </c>
      <c r="Q898" t="str">
        <f t="shared" si="91"/>
        <v>Cancelled</v>
      </c>
      <c r="R898" t="str">
        <f t="shared" si="92"/>
        <v>Store</v>
      </c>
      <c r="S898" t="str">
        <v>Debit Card</v>
      </c>
      <c r="T898" t="str">
        <v>Furniture</v>
      </c>
      <c r="U898" t="str">
        <f t="shared" si="93"/>
        <v>VALID</v>
      </c>
      <c r="V898" t="str">
        <f t="shared" si="94"/>
        <v>NORMAL</v>
      </c>
      <c r="W898" t="str">
        <f t="shared" si="95"/>
        <v>Valid</v>
      </c>
      <c r="X898">
        <f t="shared" si="97"/>
        <v>6909.89</v>
      </c>
      <c r="Y898">
        <f t="shared" si="96"/>
        <v>6357.0988000000007</v>
      </c>
    </row>
    <row r="899" spans="1:25" x14ac:dyDescent="0.3">
      <c r="A899" t="s">
        <v>1242</v>
      </c>
      <c r="B899" s="1">
        <v>45903</v>
      </c>
      <c r="C899" t="s">
        <v>306</v>
      </c>
      <c r="D899" t="s">
        <v>62</v>
      </c>
      <c r="E899" t="s">
        <v>63</v>
      </c>
      <c r="F899" t="s">
        <v>31</v>
      </c>
      <c r="G899" t="s">
        <v>56</v>
      </c>
      <c r="H899" t="s">
        <v>101</v>
      </c>
      <c r="I899">
        <v>5</v>
      </c>
      <c r="J899">
        <v>2868.71</v>
      </c>
      <c r="K899">
        <v>0.05</v>
      </c>
      <c r="L899">
        <v>13626.37</v>
      </c>
      <c r="M899" t="s">
        <v>23</v>
      </c>
      <c r="N899" t="s">
        <v>71</v>
      </c>
      <c r="O899" t="s">
        <v>25</v>
      </c>
      <c r="P899" t="s">
        <v>111</v>
      </c>
      <c r="Q899" t="str">
        <f t="shared" ref="Q899:Q962" si="98">PROPER(O899)</f>
        <v>Returned</v>
      </c>
      <c r="R899" t="str">
        <f t="shared" ref="R899:R962" si="99">PROPER(M899)</f>
        <v>Online</v>
      </c>
      <c r="S899" t="str">
        <v>Upi</v>
      </c>
      <c r="T899" t="str">
        <v>Electronics</v>
      </c>
      <c r="U899" t="str">
        <f t="shared" ref="U899:U962" si="100">IF(I899&lt;=0,"INVALID","VALID")</f>
        <v>VALID</v>
      </c>
      <c r="V899" t="str">
        <f t="shared" ref="V899:V962" si="101">IF(I899&gt;100,"REVIEW","NORMAL")</f>
        <v>NORMAL</v>
      </c>
      <c r="W899" t="str">
        <f t="shared" ref="W899:W962" si="102">IF(OR(K899&lt;0,K899&gt;1),"Invalid","Valid")</f>
        <v>Valid</v>
      </c>
      <c r="X899">
        <f t="shared" si="97"/>
        <v>14343.55</v>
      </c>
      <c r="Y899">
        <f t="shared" ref="Y899:Y962" si="103">I899*J899-(I899*J899*K899)</f>
        <v>13626.372499999999</v>
      </c>
    </row>
    <row r="900" spans="1:25" x14ac:dyDescent="0.3">
      <c r="A900" t="s">
        <v>1243</v>
      </c>
      <c r="B900" s="1">
        <v>46100</v>
      </c>
      <c r="C900" t="s">
        <v>210</v>
      </c>
      <c r="D900" t="s">
        <v>53</v>
      </c>
      <c r="E900" t="s">
        <v>54</v>
      </c>
      <c r="F900" t="s">
        <v>55</v>
      </c>
      <c r="G900" t="s">
        <v>32</v>
      </c>
      <c r="H900" t="s">
        <v>47</v>
      </c>
      <c r="I900">
        <v>3</v>
      </c>
      <c r="J900">
        <v>215.67</v>
      </c>
      <c r="K900">
        <v>0</v>
      </c>
      <c r="L900">
        <v>647.01</v>
      </c>
      <c r="M900" t="s">
        <v>23</v>
      </c>
      <c r="N900" t="s">
        <v>49</v>
      </c>
      <c r="O900" t="s">
        <v>65</v>
      </c>
      <c r="P900" t="s">
        <v>26</v>
      </c>
      <c r="Q900" t="str">
        <f t="shared" si="98"/>
        <v>Completed</v>
      </c>
      <c r="R900" t="str">
        <f t="shared" si="99"/>
        <v>Online</v>
      </c>
      <c r="S900" t="str">
        <v>Net Banking</v>
      </c>
      <c r="T900" t="str">
        <v>Stationery</v>
      </c>
      <c r="U900" t="str">
        <f t="shared" si="100"/>
        <v>VALID</v>
      </c>
      <c r="V900" t="str">
        <f t="shared" si="101"/>
        <v>NORMAL</v>
      </c>
      <c r="W900" t="str">
        <f t="shared" si="102"/>
        <v>Valid</v>
      </c>
      <c r="X900">
        <f t="shared" ref="X900:X963" si="104">I900*J900</f>
        <v>647.01</v>
      </c>
      <c r="Y900">
        <f t="shared" si="103"/>
        <v>647.01</v>
      </c>
    </row>
    <row r="901" spans="1:25" x14ac:dyDescent="0.3">
      <c r="A901" t="s">
        <v>1244</v>
      </c>
      <c r="B901" s="1">
        <v>45809</v>
      </c>
      <c r="C901" t="s">
        <v>443</v>
      </c>
      <c r="D901" t="s">
        <v>45</v>
      </c>
      <c r="E901" t="s">
        <v>46</v>
      </c>
      <c r="F901" t="s">
        <v>31</v>
      </c>
      <c r="G901" t="s">
        <v>56</v>
      </c>
      <c r="H901" t="s">
        <v>64</v>
      </c>
      <c r="I901">
        <v>1</v>
      </c>
      <c r="J901">
        <v>1927.11</v>
      </c>
      <c r="K901">
        <v>0.2</v>
      </c>
      <c r="L901">
        <v>1541.69</v>
      </c>
      <c r="M901" t="s">
        <v>48</v>
      </c>
      <c r="N901" t="s">
        <v>71</v>
      </c>
      <c r="O901" t="s">
        <v>25</v>
      </c>
      <c r="P901" t="s">
        <v>111</v>
      </c>
      <c r="Q901" t="str">
        <f t="shared" si="98"/>
        <v>Returned</v>
      </c>
      <c r="R901" t="str">
        <f t="shared" si="99"/>
        <v>Marketplace</v>
      </c>
      <c r="S901" t="str">
        <v>Upi</v>
      </c>
      <c r="T901" t="str">
        <v>Electronics</v>
      </c>
      <c r="U901" t="str">
        <f t="shared" si="100"/>
        <v>VALID</v>
      </c>
      <c r="V901" t="str">
        <f t="shared" si="101"/>
        <v>NORMAL</v>
      </c>
      <c r="W901" t="str">
        <f t="shared" si="102"/>
        <v>Valid</v>
      </c>
      <c r="X901">
        <f t="shared" si="104"/>
        <v>1927.11</v>
      </c>
      <c r="Y901">
        <f t="shared" si="103"/>
        <v>1541.6879999999999</v>
      </c>
    </row>
    <row r="902" spans="1:25" x14ac:dyDescent="0.3">
      <c r="A902" t="s">
        <v>1245</v>
      </c>
      <c r="B902" s="1">
        <v>45912</v>
      </c>
      <c r="C902" t="s">
        <v>285</v>
      </c>
      <c r="D902" t="s">
        <v>89</v>
      </c>
      <c r="E902" t="s">
        <v>90</v>
      </c>
      <c r="F902" t="s">
        <v>20</v>
      </c>
      <c r="G902" t="s">
        <v>32</v>
      </c>
      <c r="H902" t="s">
        <v>33</v>
      </c>
      <c r="I902">
        <v>5</v>
      </c>
      <c r="J902">
        <v>672.14</v>
      </c>
      <c r="K902">
        <v>0</v>
      </c>
      <c r="L902">
        <v>3360.7</v>
      </c>
      <c r="M902" t="s">
        <v>23</v>
      </c>
      <c r="N902" t="s">
        <v>49</v>
      </c>
      <c r="O902" t="s">
        <v>35</v>
      </c>
      <c r="P902" t="s">
        <v>111</v>
      </c>
      <c r="Q902" t="str">
        <f t="shared" si="98"/>
        <v>Cancelled</v>
      </c>
      <c r="R902" t="str">
        <f t="shared" si="99"/>
        <v>Online</v>
      </c>
      <c r="S902" t="str">
        <v>Net Banking</v>
      </c>
      <c r="T902" t="str">
        <v>Accessories</v>
      </c>
      <c r="U902" t="str">
        <f t="shared" si="100"/>
        <v>VALID</v>
      </c>
      <c r="V902" t="str">
        <f t="shared" si="101"/>
        <v>NORMAL</v>
      </c>
      <c r="W902" t="str">
        <f t="shared" si="102"/>
        <v>Valid</v>
      </c>
      <c r="X902">
        <f t="shared" si="104"/>
        <v>3360.7</v>
      </c>
      <c r="Y902">
        <f t="shared" si="103"/>
        <v>3360.7</v>
      </c>
    </row>
    <row r="903" spans="1:25" x14ac:dyDescent="0.3">
      <c r="A903" t="s">
        <v>1246</v>
      </c>
      <c r="B903" s="1">
        <v>45822</v>
      </c>
      <c r="C903" t="s">
        <v>339</v>
      </c>
      <c r="D903" t="s">
        <v>176</v>
      </c>
      <c r="E903" t="s">
        <v>177</v>
      </c>
      <c r="F903" t="s">
        <v>31</v>
      </c>
      <c r="G903" t="s">
        <v>21</v>
      </c>
      <c r="H903" t="s">
        <v>126</v>
      </c>
      <c r="I903">
        <v>3</v>
      </c>
      <c r="J903">
        <v>2112.86</v>
      </c>
      <c r="K903">
        <v>0.08</v>
      </c>
      <c r="L903">
        <v>5831.49</v>
      </c>
      <c r="M903" t="s">
        <v>76</v>
      </c>
      <c r="N903" t="s">
        <v>71</v>
      </c>
      <c r="O903" t="s">
        <v>65</v>
      </c>
      <c r="P903" t="s">
        <v>26</v>
      </c>
      <c r="Q903" t="str">
        <f t="shared" si="98"/>
        <v>Completed</v>
      </c>
      <c r="R903" t="str">
        <f t="shared" si="99"/>
        <v>Store</v>
      </c>
      <c r="S903" t="str">
        <v>Upi</v>
      </c>
      <c r="T903" t="str">
        <v>Electronics</v>
      </c>
      <c r="U903" t="str">
        <f t="shared" si="100"/>
        <v>VALID</v>
      </c>
      <c r="V903" t="str">
        <f t="shared" si="101"/>
        <v>NORMAL</v>
      </c>
      <c r="W903" t="str">
        <f t="shared" si="102"/>
        <v>Valid</v>
      </c>
      <c r="X903">
        <f t="shared" si="104"/>
        <v>6338.58</v>
      </c>
      <c r="Y903">
        <f t="shared" si="103"/>
        <v>5831.4935999999998</v>
      </c>
    </row>
    <row r="904" spans="1:25" x14ac:dyDescent="0.3">
      <c r="A904" t="s">
        <v>1247</v>
      </c>
      <c r="B904" s="1">
        <v>45925</v>
      </c>
      <c r="C904" t="s">
        <v>792</v>
      </c>
      <c r="D904" t="s">
        <v>18</v>
      </c>
      <c r="E904" t="s">
        <v>19</v>
      </c>
      <c r="F904" t="s">
        <v>20</v>
      </c>
      <c r="G904" t="s">
        <v>32</v>
      </c>
      <c r="H904" t="s">
        <v>33</v>
      </c>
      <c r="I904">
        <v>4</v>
      </c>
      <c r="J904">
        <v>894.37</v>
      </c>
      <c r="K904">
        <v>0.1</v>
      </c>
      <c r="L904">
        <v>3219.73</v>
      </c>
      <c r="M904" t="s">
        <v>48</v>
      </c>
      <c r="N904" t="s">
        <v>71</v>
      </c>
      <c r="O904" t="s">
        <v>65</v>
      </c>
      <c r="P904" t="s">
        <v>50</v>
      </c>
      <c r="Q904" t="str">
        <f t="shared" si="98"/>
        <v>Completed</v>
      </c>
      <c r="R904" t="str">
        <f t="shared" si="99"/>
        <v>Marketplace</v>
      </c>
      <c r="S904" t="str">
        <v>Upi</v>
      </c>
      <c r="T904" t="str">
        <v>Accessories</v>
      </c>
      <c r="U904" t="str">
        <f t="shared" si="100"/>
        <v>VALID</v>
      </c>
      <c r="V904" t="str">
        <f t="shared" si="101"/>
        <v>NORMAL</v>
      </c>
      <c r="W904" t="str">
        <f t="shared" si="102"/>
        <v>Valid</v>
      </c>
      <c r="X904">
        <f t="shared" si="104"/>
        <v>3577.48</v>
      </c>
      <c r="Y904">
        <f t="shared" si="103"/>
        <v>3219.732</v>
      </c>
    </row>
    <row r="905" spans="1:25" x14ac:dyDescent="0.3">
      <c r="A905" t="s">
        <v>1248</v>
      </c>
      <c r="B905" s="1">
        <v>45469</v>
      </c>
      <c r="C905" t="s">
        <v>339</v>
      </c>
      <c r="D905" t="s">
        <v>176</v>
      </c>
      <c r="E905" t="s">
        <v>177</v>
      </c>
      <c r="F905" t="s">
        <v>31</v>
      </c>
      <c r="G905" t="s">
        <v>21</v>
      </c>
      <c r="H905" t="s">
        <v>22</v>
      </c>
      <c r="I905">
        <v>3</v>
      </c>
      <c r="J905">
        <v>2066.04</v>
      </c>
      <c r="K905">
        <v>0.05</v>
      </c>
      <c r="L905">
        <v>5888.21</v>
      </c>
      <c r="M905" t="s">
        <v>23</v>
      </c>
      <c r="N905" t="s">
        <v>71</v>
      </c>
      <c r="O905" t="s">
        <v>65</v>
      </c>
      <c r="P905" t="s">
        <v>59</v>
      </c>
      <c r="Q905" t="str">
        <f t="shared" si="98"/>
        <v>Completed</v>
      </c>
      <c r="R905" t="str">
        <f t="shared" si="99"/>
        <v>Online</v>
      </c>
      <c r="S905" t="str">
        <v>Upi</v>
      </c>
      <c r="T905" t="str">
        <v>Electronics</v>
      </c>
      <c r="U905" t="str">
        <f t="shared" si="100"/>
        <v>VALID</v>
      </c>
      <c r="V905" t="str">
        <f t="shared" si="101"/>
        <v>NORMAL</v>
      </c>
      <c r="W905" t="str">
        <f t="shared" si="102"/>
        <v>Valid</v>
      </c>
      <c r="X905">
        <f t="shared" si="104"/>
        <v>6198.12</v>
      </c>
      <c r="Y905">
        <f t="shared" si="103"/>
        <v>5888.2139999999999</v>
      </c>
    </row>
    <row r="906" spans="1:25" x14ac:dyDescent="0.3">
      <c r="A906" t="s">
        <v>1249</v>
      </c>
      <c r="B906" s="1">
        <v>45789</v>
      </c>
      <c r="C906" t="s">
        <v>1250</v>
      </c>
      <c r="D906" t="s">
        <v>176</v>
      </c>
      <c r="E906" t="s">
        <v>177</v>
      </c>
      <c r="F906" t="s">
        <v>31</v>
      </c>
      <c r="G906" t="s">
        <v>56</v>
      </c>
      <c r="H906" t="s">
        <v>64</v>
      </c>
      <c r="I906">
        <v>1</v>
      </c>
      <c r="J906">
        <v>2122.92</v>
      </c>
      <c r="K906">
        <v>0</v>
      </c>
      <c r="L906">
        <v>2122.92</v>
      </c>
      <c r="M906" t="s">
        <v>23</v>
      </c>
      <c r="N906" t="s">
        <v>58</v>
      </c>
      <c r="O906" t="s">
        <v>65</v>
      </c>
      <c r="P906" t="s">
        <v>59</v>
      </c>
      <c r="Q906" t="str">
        <f t="shared" si="98"/>
        <v>Completed</v>
      </c>
      <c r="R906" t="str">
        <f t="shared" si="99"/>
        <v>Online</v>
      </c>
      <c r="S906" t="str">
        <v>Credit Card</v>
      </c>
      <c r="T906" t="str">
        <v>Electronics</v>
      </c>
      <c r="U906" t="str">
        <f t="shared" si="100"/>
        <v>VALID</v>
      </c>
      <c r="V906" t="str">
        <f t="shared" si="101"/>
        <v>NORMAL</v>
      </c>
      <c r="W906" t="str">
        <f t="shared" si="102"/>
        <v>Valid</v>
      </c>
      <c r="X906">
        <f t="shared" si="104"/>
        <v>2122.92</v>
      </c>
      <c r="Y906">
        <f t="shared" si="103"/>
        <v>2122.92</v>
      </c>
    </row>
    <row r="907" spans="1:25" x14ac:dyDescent="0.3">
      <c r="A907" t="s">
        <v>1251</v>
      </c>
      <c r="B907" s="1">
        <v>46008</v>
      </c>
      <c r="C907" t="s">
        <v>389</v>
      </c>
      <c r="D907" t="s">
        <v>29</v>
      </c>
      <c r="E907" t="s">
        <v>30</v>
      </c>
      <c r="F907" t="s">
        <v>31</v>
      </c>
      <c r="G907" t="s">
        <v>32</v>
      </c>
      <c r="J907">
        <v>2965.52</v>
      </c>
      <c r="K907">
        <v>0.08</v>
      </c>
      <c r="L907">
        <v>5456.56</v>
      </c>
      <c r="M907" t="s">
        <v>76</v>
      </c>
      <c r="N907" t="s">
        <v>71</v>
      </c>
      <c r="O907" t="s">
        <v>35</v>
      </c>
      <c r="P907" t="s">
        <v>111</v>
      </c>
      <c r="Q907" t="str">
        <f t="shared" si="98"/>
        <v>Cancelled</v>
      </c>
      <c r="R907" t="str">
        <f t="shared" si="99"/>
        <v>Store</v>
      </c>
      <c r="S907" t="str">
        <v>Upi</v>
      </c>
      <c r="T907" t="str">
        <v>Electronics</v>
      </c>
      <c r="U907" t="str">
        <f t="shared" si="100"/>
        <v>INVALID</v>
      </c>
      <c r="V907" t="str">
        <f t="shared" si="101"/>
        <v>NORMAL</v>
      </c>
      <c r="W907" t="str">
        <f t="shared" si="102"/>
        <v>Valid</v>
      </c>
      <c r="X907">
        <f t="shared" si="104"/>
        <v>0</v>
      </c>
      <c r="Y907">
        <f t="shared" si="103"/>
        <v>0</v>
      </c>
    </row>
    <row r="908" spans="1:25" x14ac:dyDescent="0.3">
      <c r="A908" t="s">
        <v>1252</v>
      </c>
      <c r="B908" s="1">
        <v>46168</v>
      </c>
      <c r="C908" t="s">
        <v>808</v>
      </c>
      <c r="D908" t="s">
        <v>96</v>
      </c>
      <c r="E908" t="s">
        <v>97</v>
      </c>
      <c r="F908" t="s">
        <v>31</v>
      </c>
      <c r="G908" t="s">
        <v>81</v>
      </c>
      <c r="H908" t="s">
        <v>82</v>
      </c>
      <c r="I908">
        <v>5</v>
      </c>
      <c r="J908">
        <v>1203.4100000000001</v>
      </c>
      <c r="K908">
        <v>0.15</v>
      </c>
      <c r="L908">
        <v>5114.49</v>
      </c>
      <c r="M908" t="s">
        <v>48</v>
      </c>
      <c r="N908" t="s">
        <v>24</v>
      </c>
      <c r="O908" t="s">
        <v>65</v>
      </c>
      <c r="P908" t="s">
        <v>26</v>
      </c>
      <c r="Q908" t="str">
        <f t="shared" si="98"/>
        <v>Completed</v>
      </c>
      <c r="R908" t="str">
        <f t="shared" si="99"/>
        <v>Marketplace</v>
      </c>
      <c r="S908" t="str">
        <v>Debit Card</v>
      </c>
      <c r="T908" t="str">
        <v>Electronics</v>
      </c>
      <c r="U908" t="str">
        <f t="shared" si="100"/>
        <v>VALID</v>
      </c>
      <c r="V908" t="str">
        <f t="shared" si="101"/>
        <v>NORMAL</v>
      </c>
      <c r="W908" t="str">
        <f t="shared" si="102"/>
        <v>Valid</v>
      </c>
      <c r="X908">
        <f t="shared" si="104"/>
        <v>6017.05</v>
      </c>
      <c r="Y908">
        <f t="shared" si="103"/>
        <v>5114.4925000000003</v>
      </c>
    </row>
    <row r="909" spans="1:25" x14ac:dyDescent="0.3">
      <c r="A909" t="s">
        <v>1253</v>
      </c>
      <c r="B909" s="1">
        <v>46000</v>
      </c>
      <c r="D909" t="s">
        <v>131</v>
      </c>
      <c r="E909" t="s">
        <v>132</v>
      </c>
      <c r="F909" t="s">
        <v>40</v>
      </c>
      <c r="G909" t="s">
        <v>81</v>
      </c>
      <c r="H909" t="s">
        <v>98</v>
      </c>
      <c r="I909">
        <v>1</v>
      </c>
      <c r="J909">
        <v>9544.35</v>
      </c>
      <c r="K909">
        <v>0.15</v>
      </c>
      <c r="L909">
        <v>8112.7</v>
      </c>
      <c r="M909" t="s">
        <v>23</v>
      </c>
      <c r="N909" t="s">
        <v>34</v>
      </c>
      <c r="O909" t="s">
        <v>65</v>
      </c>
      <c r="P909" t="s">
        <v>72</v>
      </c>
      <c r="Q909" t="str">
        <f t="shared" si="98"/>
        <v>Completed</v>
      </c>
      <c r="R909" t="str">
        <f t="shared" si="99"/>
        <v>Online</v>
      </c>
      <c r="S909" t="str">
        <v>Cash On Delivery</v>
      </c>
      <c r="T909" t="str">
        <v>Furniture</v>
      </c>
      <c r="U909" t="str">
        <f t="shared" si="100"/>
        <v>VALID</v>
      </c>
      <c r="V909" t="str">
        <f t="shared" si="101"/>
        <v>NORMAL</v>
      </c>
      <c r="W909" t="str">
        <f t="shared" si="102"/>
        <v>Valid</v>
      </c>
      <c r="X909">
        <f t="shared" si="104"/>
        <v>9544.35</v>
      </c>
      <c r="Y909">
        <f t="shared" si="103"/>
        <v>8112.6975000000002</v>
      </c>
    </row>
    <row r="910" spans="1:25" x14ac:dyDescent="0.3">
      <c r="A910" t="s">
        <v>1254</v>
      </c>
      <c r="B910" s="1">
        <v>45933</v>
      </c>
      <c r="C910" t="s">
        <v>61</v>
      </c>
      <c r="D910" t="s">
        <v>45</v>
      </c>
      <c r="E910" t="s">
        <v>46</v>
      </c>
      <c r="F910" t="s">
        <v>31</v>
      </c>
      <c r="G910" t="s">
        <v>32</v>
      </c>
      <c r="H910" t="s">
        <v>75</v>
      </c>
      <c r="I910">
        <v>4</v>
      </c>
      <c r="J910">
        <v>1909.84</v>
      </c>
      <c r="K910">
        <v>0.15</v>
      </c>
      <c r="L910">
        <v>6493.46</v>
      </c>
      <c r="M910" t="s">
        <v>76</v>
      </c>
      <c r="N910" t="s">
        <v>71</v>
      </c>
      <c r="O910" t="s">
        <v>65</v>
      </c>
      <c r="P910" t="s">
        <v>116</v>
      </c>
      <c r="Q910" t="str">
        <f t="shared" si="98"/>
        <v>Completed</v>
      </c>
      <c r="R910" t="str">
        <f t="shared" si="99"/>
        <v>Store</v>
      </c>
      <c r="S910" t="str">
        <v>Upi</v>
      </c>
      <c r="T910" t="str">
        <v>Electronics</v>
      </c>
      <c r="U910" t="str">
        <f t="shared" si="100"/>
        <v>VALID</v>
      </c>
      <c r="V910" t="str">
        <f t="shared" si="101"/>
        <v>NORMAL</v>
      </c>
      <c r="W910" t="str">
        <f t="shared" si="102"/>
        <v>Valid</v>
      </c>
      <c r="X910">
        <f t="shared" si="104"/>
        <v>7639.36</v>
      </c>
      <c r="Y910">
        <f t="shared" si="103"/>
        <v>6493.4560000000001</v>
      </c>
    </row>
    <row r="911" spans="1:25" x14ac:dyDescent="0.3">
      <c r="A911" t="s">
        <v>1255</v>
      </c>
      <c r="B911" s="1">
        <v>45558</v>
      </c>
      <c r="C911" t="s">
        <v>365</v>
      </c>
      <c r="D911" t="s">
        <v>18</v>
      </c>
      <c r="E911" t="s">
        <v>19</v>
      </c>
      <c r="F911" t="s">
        <v>20</v>
      </c>
      <c r="G911" t="s">
        <v>81</v>
      </c>
      <c r="H911" t="s">
        <v>82</v>
      </c>
      <c r="I911">
        <v>4</v>
      </c>
      <c r="J911">
        <v>796.25</v>
      </c>
      <c r="K911">
        <v>0.2</v>
      </c>
      <c r="L911">
        <v>2548</v>
      </c>
      <c r="M911" t="s">
        <v>76</v>
      </c>
      <c r="N911" t="s">
        <v>58</v>
      </c>
      <c r="O911" t="s">
        <v>65</v>
      </c>
      <c r="P911" t="s">
        <v>42</v>
      </c>
      <c r="Q911" t="str">
        <f t="shared" si="98"/>
        <v>Completed</v>
      </c>
      <c r="R911" t="str">
        <f t="shared" si="99"/>
        <v>Store</v>
      </c>
      <c r="S911" t="str">
        <v>Credit Card</v>
      </c>
      <c r="T911" t="str">
        <v>Accessories</v>
      </c>
      <c r="U911" t="str">
        <f t="shared" si="100"/>
        <v>VALID</v>
      </c>
      <c r="V911" t="str">
        <f t="shared" si="101"/>
        <v>NORMAL</v>
      </c>
      <c r="W911" t="str">
        <f t="shared" si="102"/>
        <v>Valid</v>
      </c>
      <c r="X911">
        <f t="shared" si="104"/>
        <v>3185</v>
      </c>
      <c r="Y911">
        <f t="shared" si="103"/>
        <v>2548</v>
      </c>
    </row>
    <row r="912" spans="1:25" x14ac:dyDescent="0.3">
      <c r="A912" t="s">
        <v>1256</v>
      </c>
      <c r="B912" s="1">
        <v>45800</v>
      </c>
      <c r="C912" t="s">
        <v>1257</v>
      </c>
      <c r="D912" t="s">
        <v>85</v>
      </c>
      <c r="E912" t="s">
        <v>86</v>
      </c>
      <c r="F912" t="s">
        <v>20</v>
      </c>
      <c r="G912" t="s">
        <v>21</v>
      </c>
      <c r="H912" t="s">
        <v>22</v>
      </c>
      <c r="I912">
        <v>4</v>
      </c>
      <c r="J912">
        <v>1906.21</v>
      </c>
      <c r="K912">
        <v>0.2</v>
      </c>
      <c r="L912">
        <v>6099.87</v>
      </c>
      <c r="M912" t="s">
        <v>23</v>
      </c>
      <c r="N912" t="s">
        <v>24</v>
      </c>
      <c r="O912" t="s">
        <v>65</v>
      </c>
      <c r="P912" t="s">
        <v>26</v>
      </c>
      <c r="Q912" t="str">
        <f t="shared" si="98"/>
        <v>Completed</v>
      </c>
      <c r="R912" t="str">
        <f t="shared" si="99"/>
        <v>Online</v>
      </c>
      <c r="S912" t="str">
        <v>Debit Card</v>
      </c>
      <c r="T912" t="str">
        <v>Accessories</v>
      </c>
      <c r="U912" t="str">
        <f t="shared" si="100"/>
        <v>VALID</v>
      </c>
      <c r="V912" t="str">
        <f t="shared" si="101"/>
        <v>NORMAL</v>
      </c>
      <c r="W912" t="str">
        <f t="shared" si="102"/>
        <v>Valid</v>
      </c>
      <c r="X912">
        <f t="shared" si="104"/>
        <v>7624.84</v>
      </c>
      <c r="Y912">
        <f t="shared" si="103"/>
        <v>6099.8720000000003</v>
      </c>
    </row>
    <row r="913" spans="1:25" x14ac:dyDescent="0.3">
      <c r="A913" t="s">
        <v>1258</v>
      </c>
      <c r="B913" s="1">
        <v>45300</v>
      </c>
      <c r="C913" t="s">
        <v>262</v>
      </c>
      <c r="D913" t="s">
        <v>45</v>
      </c>
      <c r="E913" t="s">
        <v>46</v>
      </c>
      <c r="F913" t="s">
        <v>31</v>
      </c>
      <c r="G913" t="s">
        <v>21</v>
      </c>
      <c r="H913" t="s">
        <v>22</v>
      </c>
      <c r="I913">
        <v>5</v>
      </c>
      <c r="J913">
        <v>1817.71</v>
      </c>
      <c r="K913">
        <v>0.05</v>
      </c>
      <c r="L913">
        <v>8634.1200000000008</v>
      </c>
      <c r="M913" t="s">
        <v>76</v>
      </c>
      <c r="N913" t="s">
        <v>34</v>
      </c>
      <c r="O913" t="s">
        <v>35</v>
      </c>
      <c r="P913" t="s">
        <v>111</v>
      </c>
      <c r="Q913" t="str">
        <f t="shared" si="98"/>
        <v>Cancelled</v>
      </c>
      <c r="R913" t="str">
        <f t="shared" si="99"/>
        <v>Store</v>
      </c>
      <c r="S913" t="str">
        <v>Cash On Delivery</v>
      </c>
      <c r="T913" t="str">
        <v>Electronics</v>
      </c>
      <c r="U913" t="str">
        <f t="shared" si="100"/>
        <v>VALID</v>
      </c>
      <c r="V913" t="str">
        <f t="shared" si="101"/>
        <v>NORMAL</v>
      </c>
      <c r="W913" t="str">
        <f t="shared" si="102"/>
        <v>Valid</v>
      </c>
      <c r="X913">
        <f t="shared" si="104"/>
        <v>9088.5499999999993</v>
      </c>
      <c r="Y913">
        <f t="shared" si="103"/>
        <v>8634.1224999999995</v>
      </c>
    </row>
    <row r="914" spans="1:25" x14ac:dyDescent="0.3">
      <c r="A914" t="s">
        <v>1259</v>
      </c>
      <c r="B914" s="1">
        <v>45879</v>
      </c>
      <c r="C914" t="s">
        <v>558</v>
      </c>
      <c r="D914" t="s">
        <v>62</v>
      </c>
      <c r="E914" t="s">
        <v>63</v>
      </c>
      <c r="F914" t="s">
        <v>31</v>
      </c>
      <c r="G914" t="s">
        <v>81</v>
      </c>
      <c r="H914" t="s">
        <v>135</v>
      </c>
      <c r="I914">
        <v>1</v>
      </c>
      <c r="J914">
        <v>2687.01</v>
      </c>
      <c r="K914">
        <v>0</v>
      </c>
      <c r="L914">
        <v>2687.01</v>
      </c>
      <c r="M914" t="s">
        <v>23</v>
      </c>
      <c r="N914" t="s">
        <v>24</v>
      </c>
      <c r="O914" t="s">
        <v>65</v>
      </c>
      <c r="P914" t="s">
        <v>72</v>
      </c>
      <c r="Q914" t="str">
        <f t="shared" si="98"/>
        <v>Completed</v>
      </c>
      <c r="R914" t="str">
        <f t="shared" si="99"/>
        <v>Online</v>
      </c>
      <c r="S914" t="str">
        <v>Debit Card</v>
      </c>
      <c r="T914" t="str">
        <v>Electronics</v>
      </c>
      <c r="U914" t="str">
        <f t="shared" si="100"/>
        <v>VALID</v>
      </c>
      <c r="V914" t="str">
        <f t="shared" si="101"/>
        <v>NORMAL</v>
      </c>
      <c r="W914" t="str">
        <f t="shared" si="102"/>
        <v>Valid</v>
      </c>
      <c r="X914">
        <f t="shared" si="104"/>
        <v>2687.01</v>
      </c>
      <c r="Y914">
        <f t="shared" si="103"/>
        <v>2687.01</v>
      </c>
    </row>
    <row r="915" spans="1:25" x14ac:dyDescent="0.3">
      <c r="A915" t="s">
        <v>1260</v>
      </c>
      <c r="B915" s="1">
        <v>45535</v>
      </c>
      <c r="C915" t="s">
        <v>70</v>
      </c>
      <c r="D915" t="s">
        <v>79</v>
      </c>
      <c r="E915" t="s">
        <v>80</v>
      </c>
      <c r="F915" t="s">
        <v>31</v>
      </c>
      <c r="G915" t="s">
        <v>21</v>
      </c>
      <c r="H915" t="s">
        <v>126</v>
      </c>
      <c r="I915">
        <v>1</v>
      </c>
      <c r="J915">
        <v>12287.54</v>
      </c>
      <c r="K915">
        <v>0.03</v>
      </c>
      <c r="L915">
        <v>11918.91</v>
      </c>
      <c r="M915" t="s">
        <v>48</v>
      </c>
      <c r="N915" t="s">
        <v>34</v>
      </c>
      <c r="O915" t="s">
        <v>65</v>
      </c>
      <c r="P915" t="s">
        <v>26</v>
      </c>
      <c r="Q915" t="str">
        <f t="shared" si="98"/>
        <v>Completed</v>
      </c>
      <c r="R915" t="str">
        <f t="shared" si="99"/>
        <v>Marketplace</v>
      </c>
      <c r="S915" t="str">
        <v>Cash On Delivery</v>
      </c>
      <c r="T915" t="str">
        <v>Electronics</v>
      </c>
      <c r="U915" t="str">
        <f t="shared" si="100"/>
        <v>VALID</v>
      </c>
      <c r="V915" t="str">
        <f t="shared" si="101"/>
        <v>NORMAL</v>
      </c>
      <c r="W915" t="str">
        <f t="shared" si="102"/>
        <v>Valid</v>
      </c>
      <c r="X915">
        <f t="shared" si="104"/>
        <v>12287.54</v>
      </c>
      <c r="Y915">
        <f t="shared" si="103"/>
        <v>11918.9138</v>
      </c>
    </row>
    <row r="916" spans="1:25" x14ac:dyDescent="0.3">
      <c r="A916" t="s">
        <v>1261</v>
      </c>
      <c r="B916" s="1">
        <v>45864</v>
      </c>
      <c r="C916" t="s">
        <v>625</v>
      </c>
      <c r="D916" t="s">
        <v>85</v>
      </c>
      <c r="E916" t="s">
        <v>86</v>
      </c>
      <c r="F916" t="s">
        <v>20</v>
      </c>
      <c r="G916" t="s">
        <v>32</v>
      </c>
      <c r="H916" t="s">
        <v>33</v>
      </c>
      <c r="I916">
        <v>1</v>
      </c>
      <c r="J916">
        <v>1666.74</v>
      </c>
      <c r="K916">
        <v>0.05</v>
      </c>
      <c r="L916">
        <v>1583.4</v>
      </c>
      <c r="M916" t="s">
        <v>23</v>
      </c>
      <c r="N916" t="s">
        <v>71</v>
      </c>
      <c r="O916" t="s">
        <v>65</v>
      </c>
      <c r="P916" t="s">
        <v>116</v>
      </c>
      <c r="Q916" t="str">
        <f t="shared" si="98"/>
        <v>Completed</v>
      </c>
      <c r="R916" t="str">
        <f t="shared" si="99"/>
        <v>Online</v>
      </c>
      <c r="S916" t="str">
        <v>Upi</v>
      </c>
      <c r="T916" t="str">
        <v>Accessories</v>
      </c>
      <c r="U916" t="str">
        <f t="shared" si="100"/>
        <v>VALID</v>
      </c>
      <c r="V916" t="str">
        <f t="shared" si="101"/>
        <v>NORMAL</v>
      </c>
      <c r="W916" t="str">
        <f t="shared" si="102"/>
        <v>Valid</v>
      </c>
      <c r="X916">
        <f t="shared" si="104"/>
        <v>1666.74</v>
      </c>
      <c r="Y916">
        <f t="shared" si="103"/>
        <v>1583.403</v>
      </c>
    </row>
    <row r="917" spans="1:25" x14ac:dyDescent="0.3">
      <c r="A917" t="s">
        <v>1262</v>
      </c>
      <c r="B917" s="1">
        <v>45900</v>
      </c>
      <c r="C917" t="s">
        <v>173</v>
      </c>
      <c r="D917" t="s">
        <v>53</v>
      </c>
      <c r="E917" t="s">
        <v>54</v>
      </c>
      <c r="F917" t="s">
        <v>55</v>
      </c>
      <c r="G917" t="s">
        <v>56</v>
      </c>
      <c r="H917" t="s">
        <v>123</v>
      </c>
      <c r="I917">
        <v>4</v>
      </c>
      <c r="J917">
        <v>214.62</v>
      </c>
      <c r="K917">
        <v>0.1</v>
      </c>
      <c r="L917">
        <v>772.63</v>
      </c>
      <c r="M917" t="s">
        <v>76</v>
      </c>
      <c r="N917" t="s">
        <v>24</v>
      </c>
      <c r="O917" t="s">
        <v>35</v>
      </c>
      <c r="P917" t="s">
        <v>72</v>
      </c>
      <c r="Q917" t="str">
        <f t="shared" si="98"/>
        <v>Cancelled</v>
      </c>
      <c r="R917" t="str">
        <f t="shared" si="99"/>
        <v>Store</v>
      </c>
      <c r="S917" t="str">
        <v>Debit Card</v>
      </c>
      <c r="T917" t="str">
        <v>Stationery</v>
      </c>
      <c r="U917" t="str">
        <f t="shared" si="100"/>
        <v>VALID</v>
      </c>
      <c r="V917" t="str">
        <f t="shared" si="101"/>
        <v>NORMAL</v>
      </c>
      <c r="W917" t="str">
        <f t="shared" si="102"/>
        <v>Valid</v>
      </c>
      <c r="X917">
        <f t="shared" si="104"/>
        <v>858.48</v>
      </c>
      <c r="Y917">
        <f t="shared" si="103"/>
        <v>772.63200000000006</v>
      </c>
    </row>
    <row r="918" spans="1:25" x14ac:dyDescent="0.3">
      <c r="A918" t="s">
        <v>1263</v>
      </c>
      <c r="B918" s="1">
        <v>45773</v>
      </c>
      <c r="C918" t="s">
        <v>695</v>
      </c>
      <c r="D918" t="s">
        <v>121</v>
      </c>
      <c r="E918" t="s">
        <v>122</v>
      </c>
      <c r="F918" t="s">
        <v>55</v>
      </c>
      <c r="G918" t="s">
        <v>81</v>
      </c>
      <c r="H918" t="s">
        <v>87</v>
      </c>
      <c r="I918">
        <v>4</v>
      </c>
      <c r="J918">
        <v>419.42</v>
      </c>
      <c r="K918">
        <v>0.15</v>
      </c>
      <c r="L918">
        <v>1426.03</v>
      </c>
      <c r="M918" t="s">
        <v>48</v>
      </c>
      <c r="N918" t="s">
        <v>58</v>
      </c>
      <c r="O918" t="s">
        <v>65</v>
      </c>
      <c r="P918" t="s">
        <v>111</v>
      </c>
      <c r="Q918" t="str">
        <f t="shared" si="98"/>
        <v>Completed</v>
      </c>
      <c r="R918" t="str">
        <f t="shared" si="99"/>
        <v>Marketplace</v>
      </c>
      <c r="S918" t="str">
        <v>Credit Card</v>
      </c>
      <c r="T918" t="str">
        <v>Stationery</v>
      </c>
      <c r="U918" t="str">
        <f t="shared" si="100"/>
        <v>VALID</v>
      </c>
      <c r="V918" t="str">
        <f t="shared" si="101"/>
        <v>NORMAL</v>
      </c>
      <c r="W918" t="str">
        <f t="shared" si="102"/>
        <v>Valid</v>
      </c>
      <c r="X918">
        <f t="shared" si="104"/>
        <v>1677.68</v>
      </c>
      <c r="Y918">
        <f t="shared" si="103"/>
        <v>1426.028</v>
      </c>
    </row>
    <row r="919" spans="1:25" x14ac:dyDescent="0.3">
      <c r="A919" t="s">
        <v>1264</v>
      </c>
      <c r="B919" s="1">
        <v>45305</v>
      </c>
      <c r="C919" t="s">
        <v>457</v>
      </c>
      <c r="D919" t="s">
        <v>96</v>
      </c>
      <c r="E919" t="s">
        <v>97</v>
      </c>
      <c r="F919" t="s">
        <v>31</v>
      </c>
      <c r="G919" t="s">
        <v>81</v>
      </c>
      <c r="H919" t="s">
        <v>82</v>
      </c>
      <c r="I919">
        <v>5</v>
      </c>
      <c r="J919">
        <v>1163.5999999999999</v>
      </c>
      <c r="K919">
        <v>0.08</v>
      </c>
      <c r="L919">
        <v>5352.56</v>
      </c>
      <c r="M919" t="s">
        <v>23</v>
      </c>
      <c r="N919" t="s">
        <v>58</v>
      </c>
      <c r="O919" t="s">
        <v>65</v>
      </c>
      <c r="P919" t="s">
        <v>111</v>
      </c>
      <c r="Q919" t="str">
        <f t="shared" si="98"/>
        <v>Completed</v>
      </c>
      <c r="R919" t="str">
        <f t="shared" si="99"/>
        <v>Online</v>
      </c>
      <c r="S919" t="str">
        <v>Credit Card</v>
      </c>
      <c r="T919" t="str">
        <v>Electronics</v>
      </c>
      <c r="U919" t="str">
        <f t="shared" si="100"/>
        <v>VALID</v>
      </c>
      <c r="V919" t="str">
        <f t="shared" si="101"/>
        <v>NORMAL</v>
      </c>
      <c r="W919" t="str">
        <f t="shared" si="102"/>
        <v>Valid</v>
      </c>
      <c r="X919">
        <f t="shared" si="104"/>
        <v>5818</v>
      </c>
      <c r="Y919">
        <f t="shared" si="103"/>
        <v>5352.56</v>
      </c>
    </row>
    <row r="920" spans="1:25" x14ac:dyDescent="0.3">
      <c r="A920" t="s">
        <v>1265</v>
      </c>
      <c r="B920" s="1">
        <v>45417</v>
      </c>
      <c r="C920" t="s">
        <v>394</v>
      </c>
      <c r="D920" t="s">
        <v>131</v>
      </c>
      <c r="E920" t="s">
        <v>132</v>
      </c>
      <c r="F920" t="s">
        <v>40</v>
      </c>
      <c r="G920" t="s">
        <v>56</v>
      </c>
      <c r="H920" t="s">
        <v>123</v>
      </c>
      <c r="I920">
        <v>4</v>
      </c>
      <c r="J920">
        <v>9326.0499999999993</v>
      </c>
      <c r="K920">
        <v>0.1</v>
      </c>
      <c r="L920">
        <v>33573.78</v>
      </c>
      <c r="M920" t="s">
        <v>23</v>
      </c>
      <c r="N920" t="s">
        <v>49</v>
      </c>
      <c r="O920" t="s">
        <v>65</v>
      </c>
      <c r="P920" t="s">
        <v>59</v>
      </c>
      <c r="Q920" t="str">
        <f t="shared" si="98"/>
        <v>Completed</v>
      </c>
      <c r="R920" t="str">
        <f t="shared" si="99"/>
        <v>Online</v>
      </c>
      <c r="S920" t="str">
        <v>Net Banking</v>
      </c>
      <c r="T920" t="str">
        <v>Furniture</v>
      </c>
      <c r="U920" t="str">
        <f t="shared" si="100"/>
        <v>VALID</v>
      </c>
      <c r="V920" t="str">
        <f t="shared" si="101"/>
        <v>NORMAL</v>
      </c>
      <c r="W920" t="str">
        <f t="shared" si="102"/>
        <v>Valid</v>
      </c>
      <c r="X920">
        <f t="shared" si="104"/>
        <v>37304.199999999997</v>
      </c>
      <c r="Y920">
        <f t="shared" si="103"/>
        <v>33573.78</v>
      </c>
    </row>
    <row r="921" spans="1:25" x14ac:dyDescent="0.3">
      <c r="A921" t="s">
        <v>1266</v>
      </c>
      <c r="B921" s="1">
        <v>46199</v>
      </c>
      <c r="C921" t="s">
        <v>488</v>
      </c>
      <c r="D921" t="s">
        <v>45</v>
      </c>
      <c r="E921" t="s">
        <v>46</v>
      </c>
      <c r="F921" t="s">
        <v>31</v>
      </c>
      <c r="G921" t="s">
        <v>32</v>
      </c>
      <c r="H921" t="s">
        <v>33</v>
      </c>
      <c r="I921">
        <v>4</v>
      </c>
      <c r="J921">
        <v>1873.64</v>
      </c>
      <c r="K921">
        <v>0.03</v>
      </c>
      <c r="L921">
        <v>7269.72</v>
      </c>
      <c r="M921" t="s">
        <v>48</v>
      </c>
      <c r="N921" t="s">
        <v>71</v>
      </c>
      <c r="O921" t="s">
        <v>65</v>
      </c>
      <c r="P921" t="s">
        <v>26</v>
      </c>
      <c r="Q921" t="str">
        <f t="shared" si="98"/>
        <v>Completed</v>
      </c>
      <c r="R921" t="str">
        <f t="shared" si="99"/>
        <v>Marketplace</v>
      </c>
      <c r="S921" t="str">
        <v>Upi</v>
      </c>
      <c r="T921" t="str">
        <v>Electronics</v>
      </c>
      <c r="U921" t="str">
        <f t="shared" si="100"/>
        <v>VALID</v>
      </c>
      <c r="V921" t="str">
        <f t="shared" si="101"/>
        <v>NORMAL</v>
      </c>
      <c r="W921" t="str">
        <f t="shared" si="102"/>
        <v>Valid</v>
      </c>
      <c r="X921">
        <f t="shared" si="104"/>
        <v>7494.56</v>
      </c>
      <c r="Y921">
        <f t="shared" si="103"/>
        <v>7269.7232000000004</v>
      </c>
    </row>
    <row r="922" spans="1:25" x14ac:dyDescent="0.3">
      <c r="A922" t="s">
        <v>1267</v>
      </c>
      <c r="B922" s="1">
        <v>46118</v>
      </c>
      <c r="C922" t="s">
        <v>362</v>
      </c>
      <c r="D922" t="s">
        <v>53</v>
      </c>
      <c r="E922" t="s">
        <v>54</v>
      </c>
      <c r="F922" t="s">
        <v>55</v>
      </c>
      <c r="G922" t="s">
        <v>81</v>
      </c>
      <c r="H922" t="s">
        <v>82</v>
      </c>
      <c r="I922">
        <v>3</v>
      </c>
      <c r="J922">
        <v>214.25</v>
      </c>
      <c r="K922">
        <v>0.03</v>
      </c>
      <c r="L922">
        <v>623.47</v>
      </c>
      <c r="M922" t="s">
        <v>48</v>
      </c>
      <c r="N922" t="s">
        <v>49</v>
      </c>
      <c r="O922" t="s">
        <v>65</v>
      </c>
      <c r="P922" t="s">
        <v>116</v>
      </c>
      <c r="Q922" t="str">
        <f t="shared" si="98"/>
        <v>Completed</v>
      </c>
      <c r="R922" t="str">
        <f t="shared" si="99"/>
        <v>Marketplace</v>
      </c>
      <c r="S922" t="str">
        <v>Net Banking</v>
      </c>
      <c r="T922" t="str">
        <v>Stationery</v>
      </c>
      <c r="U922" t="str">
        <f t="shared" si="100"/>
        <v>VALID</v>
      </c>
      <c r="V922" t="str">
        <f t="shared" si="101"/>
        <v>NORMAL</v>
      </c>
      <c r="W922" t="str">
        <f t="shared" si="102"/>
        <v>Valid</v>
      </c>
      <c r="X922">
        <f t="shared" si="104"/>
        <v>642.75</v>
      </c>
      <c r="Y922">
        <f t="shared" si="103"/>
        <v>623.46749999999997</v>
      </c>
    </row>
    <row r="923" spans="1:25" x14ac:dyDescent="0.3">
      <c r="A923" t="s">
        <v>1268</v>
      </c>
      <c r="B923" s="1">
        <v>45330</v>
      </c>
      <c r="C923" t="s">
        <v>1269</v>
      </c>
      <c r="D923" t="s">
        <v>121</v>
      </c>
      <c r="E923" t="s">
        <v>122</v>
      </c>
      <c r="F923" t="s">
        <v>55</v>
      </c>
      <c r="G923" t="s">
        <v>56</v>
      </c>
      <c r="H923" t="s">
        <v>64</v>
      </c>
      <c r="I923">
        <v>3</v>
      </c>
      <c r="J923">
        <v>448.79</v>
      </c>
      <c r="K923">
        <v>0.2</v>
      </c>
      <c r="L923">
        <v>1077.0999999999999</v>
      </c>
      <c r="M923" t="s">
        <v>76</v>
      </c>
      <c r="N923" t="s">
        <v>49</v>
      </c>
      <c r="O923" t="s">
        <v>35</v>
      </c>
      <c r="P923" t="s">
        <v>102</v>
      </c>
      <c r="Q923" t="str">
        <f t="shared" si="98"/>
        <v>Cancelled</v>
      </c>
      <c r="R923" t="str">
        <f t="shared" si="99"/>
        <v>Store</v>
      </c>
      <c r="S923" t="str">
        <v>Net Banking</v>
      </c>
      <c r="T923" t="str">
        <v>Stationery</v>
      </c>
      <c r="U923" t="str">
        <f t="shared" si="100"/>
        <v>VALID</v>
      </c>
      <c r="V923" t="str">
        <f t="shared" si="101"/>
        <v>NORMAL</v>
      </c>
      <c r="W923" t="str">
        <f t="shared" si="102"/>
        <v>Valid</v>
      </c>
      <c r="X923">
        <f t="shared" si="104"/>
        <v>1346.3700000000001</v>
      </c>
      <c r="Y923">
        <f t="shared" si="103"/>
        <v>1077.096</v>
      </c>
    </row>
    <row r="924" spans="1:25" x14ac:dyDescent="0.3">
      <c r="A924" t="s">
        <v>1270</v>
      </c>
      <c r="B924" s="1">
        <v>45717</v>
      </c>
      <c r="C924" t="s">
        <v>746</v>
      </c>
      <c r="D924" t="s">
        <v>62</v>
      </c>
      <c r="E924" t="s">
        <v>63</v>
      </c>
      <c r="F924" t="s">
        <v>31</v>
      </c>
      <c r="G924" t="s">
        <v>32</v>
      </c>
      <c r="H924" t="s">
        <v>47</v>
      </c>
      <c r="I924">
        <v>3</v>
      </c>
      <c r="J924">
        <v>2836.14</v>
      </c>
      <c r="K924">
        <v>0</v>
      </c>
      <c r="L924">
        <v>8508.42</v>
      </c>
      <c r="M924" t="s">
        <v>48</v>
      </c>
      <c r="N924" t="s">
        <v>71</v>
      </c>
      <c r="O924" t="s">
        <v>25</v>
      </c>
      <c r="P924" t="s">
        <v>42</v>
      </c>
      <c r="Q924" t="str">
        <f t="shared" si="98"/>
        <v>Returned</v>
      </c>
      <c r="R924" t="str">
        <f t="shared" si="99"/>
        <v>Marketplace</v>
      </c>
      <c r="S924" t="str">
        <v>Upi</v>
      </c>
      <c r="T924" t="str">
        <v>Electronics</v>
      </c>
      <c r="U924" t="str">
        <f t="shared" si="100"/>
        <v>VALID</v>
      </c>
      <c r="V924" t="str">
        <f t="shared" si="101"/>
        <v>NORMAL</v>
      </c>
      <c r="W924" t="str">
        <f t="shared" si="102"/>
        <v>Valid</v>
      </c>
      <c r="X924">
        <f t="shared" si="104"/>
        <v>8508.42</v>
      </c>
      <c r="Y924">
        <f t="shared" si="103"/>
        <v>8508.42</v>
      </c>
    </row>
    <row r="925" spans="1:25" x14ac:dyDescent="0.3">
      <c r="A925" t="s">
        <v>1271</v>
      </c>
      <c r="B925" s="1">
        <v>46038</v>
      </c>
      <c r="C925" t="s">
        <v>548</v>
      </c>
      <c r="D925" t="s">
        <v>53</v>
      </c>
      <c r="E925" t="s">
        <v>54</v>
      </c>
      <c r="F925" t="s">
        <v>55</v>
      </c>
      <c r="G925" t="s">
        <v>56</v>
      </c>
      <c r="H925" t="s">
        <v>64</v>
      </c>
      <c r="I925">
        <v>1</v>
      </c>
      <c r="J925">
        <v>222.43</v>
      </c>
      <c r="K925">
        <v>0</v>
      </c>
      <c r="L925">
        <v>222.43</v>
      </c>
      <c r="M925" t="s">
        <v>76</v>
      </c>
      <c r="N925" t="s">
        <v>71</v>
      </c>
      <c r="O925" t="s">
        <v>65</v>
      </c>
      <c r="P925" t="s">
        <v>59</v>
      </c>
      <c r="Q925" t="str">
        <f t="shared" si="98"/>
        <v>Completed</v>
      </c>
      <c r="R925" t="str">
        <f t="shared" si="99"/>
        <v>Store</v>
      </c>
      <c r="S925" t="str">
        <v>Upi</v>
      </c>
      <c r="T925" t="str">
        <v>Stationery</v>
      </c>
      <c r="U925" t="str">
        <f t="shared" si="100"/>
        <v>VALID</v>
      </c>
      <c r="V925" t="str">
        <f t="shared" si="101"/>
        <v>NORMAL</v>
      </c>
      <c r="W925" t="str">
        <f t="shared" si="102"/>
        <v>Valid</v>
      </c>
      <c r="X925">
        <f t="shared" si="104"/>
        <v>222.43</v>
      </c>
      <c r="Y925">
        <f t="shared" si="103"/>
        <v>222.43</v>
      </c>
    </row>
    <row r="926" spans="1:25" x14ac:dyDescent="0.3">
      <c r="A926" t="s">
        <v>1272</v>
      </c>
      <c r="B926" s="1">
        <v>45854</v>
      </c>
      <c r="C926" t="s">
        <v>483</v>
      </c>
      <c r="D926" t="s">
        <v>176</v>
      </c>
      <c r="E926" t="s">
        <v>177</v>
      </c>
      <c r="F926" t="s">
        <v>31</v>
      </c>
      <c r="G926" t="s">
        <v>32</v>
      </c>
      <c r="H926" t="s">
        <v>33</v>
      </c>
      <c r="I926">
        <v>5</v>
      </c>
      <c r="J926">
        <v>2325.75</v>
      </c>
      <c r="K926">
        <v>0.05</v>
      </c>
      <c r="L926">
        <v>11047.31</v>
      </c>
      <c r="M926" t="s">
        <v>48</v>
      </c>
      <c r="N926" t="s">
        <v>34</v>
      </c>
      <c r="O926" t="s">
        <v>35</v>
      </c>
      <c r="P926" t="s">
        <v>102</v>
      </c>
      <c r="Q926" t="str">
        <f t="shared" si="98"/>
        <v>Cancelled</v>
      </c>
      <c r="R926" t="str">
        <f t="shared" si="99"/>
        <v>Marketplace</v>
      </c>
      <c r="S926" t="str">
        <v>Cash On Delivery</v>
      </c>
      <c r="T926" t="str">
        <v>Electronics</v>
      </c>
      <c r="U926" t="str">
        <f t="shared" si="100"/>
        <v>VALID</v>
      </c>
      <c r="V926" t="str">
        <f t="shared" si="101"/>
        <v>NORMAL</v>
      </c>
      <c r="W926" t="str">
        <f t="shared" si="102"/>
        <v>Valid</v>
      </c>
      <c r="X926">
        <f t="shared" si="104"/>
        <v>11628.75</v>
      </c>
      <c r="Y926">
        <f t="shared" si="103"/>
        <v>11047.3125</v>
      </c>
    </row>
    <row r="927" spans="1:25" x14ac:dyDescent="0.3">
      <c r="A927" t="s">
        <v>1273</v>
      </c>
      <c r="B927" s="1">
        <v>45301</v>
      </c>
      <c r="C927" t="s">
        <v>453</v>
      </c>
      <c r="D927" t="s">
        <v>45</v>
      </c>
      <c r="E927" t="s">
        <v>46</v>
      </c>
      <c r="F927" t="s">
        <v>31</v>
      </c>
      <c r="G927" t="s">
        <v>21</v>
      </c>
      <c r="H927" t="s">
        <v>22</v>
      </c>
      <c r="I927">
        <v>3</v>
      </c>
      <c r="J927">
        <v>1672.9</v>
      </c>
      <c r="L927">
        <v>5018.7</v>
      </c>
      <c r="M927" t="s">
        <v>76</v>
      </c>
      <c r="N927" t="s">
        <v>34</v>
      </c>
      <c r="O927" t="s">
        <v>65</v>
      </c>
      <c r="P927" t="s">
        <v>26</v>
      </c>
      <c r="Q927" t="str">
        <f t="shared" si="98"/>
        <v>Completed</v>
      </c>
      <c r="R927" t="str">
        <f t="shared" si="99"/>
        <v>Store</v>
      </c>
      <c r="S927" t="str">
        <v>Cash On Delivery</v>
      </c>
      <c r="T927" t="str">
        <v>Electronics</v>
      </c>
      <c r="U927" t="str">
        <f t="shared" si="100"/>
        <v>VALID</v>
      </c>
      <c r="V927" t="str">
        <f t="shared" si="101"/>
        <v>NORMAL</v>
      </c>
      <c r="W927" t="str">
        <f t="shared" si="102"/>
        <v>Valid</v>
      </c>
      <c r="X927">
        <f t="shared" si="104"/>
        <v>5018.7000000000007</v>
      </c>
      <c r="Y927">
        <f t="shared" si="103"/>
        <v>5018.7000000000007</v>
      </c>
    </row>
    <row r="928" spans="1:25" x14ac:dyDescent="0.3">
      <c r="A928" t="s">
        <v>1274</v>
      </c>
      <c r="B928" s="1">
        <v>45933</v>
      </c>
      <c r="C928" t="s">
        <v>352</v>
      </c>
      <c r="D928" t="s">
        <v>89</v>
      </c>
      <c r="E928" t="s">
        <v>90</v>
      </c>
      <c r="F928" t="s">
        <v>20</v>
      </c>
      <c r="G928" t="s">
        <v>56</v>
      </c>
      <c r="H928" t="s">
        <v>101</v>
      </c>
      <c r="I928">
        <v>5</v>
      </c>
      <c r="J928">
        <v>658.89</v>
      </c>
      <c r="K928">
        <v>0.08</v>
      </c>
      <c r="L928">
        <v>3030.89</v>
      </c>
      <c r="M928" t="s">
        <v>48</v>
      </c>
      <c r="N928" t="s">
        <v>71</v>
      </c>
      <c r="O928" t="s">
        <v>25</v>
      </c>
      <c r="P928" t="s">
        <v>72</v>
      </c>
      <c r="Q928" t="str">
        <f t="shared" si="98"/>
        <v>Returned</v>
      </c>
      <c r="R928" t="str">
        <f t="shared" si="99"/>
        <v>Marketplace</v>
      </c>
      <c r="S928" t="str">
        <v>Upi</v>
      </c>
      <c r="T928" t="str">
        <v>Accessories</v>
      </c>
      <c r="U928" t="str">
        <f t="shared" si="100"/>
        <v>VALID</v>
      </c>
      <c r="V928" t="str">
        <f t="shared" si="101"/>
        <v>NORMAL</v>
      </c>
      <c r="W928" t="str">
        <f t="shared" si="102"/>
        <v>Valid</v>
      </c>
      <c r="X928">
        <f t="shared" si="104"/>
        <v>3294.45</v>
      </c>
      <c r="Y928">
        <f t="shared" si="103"/>
        <v>3030.8939999999998</v>
      </c>
    </row>
    <row r="929" spans="1:25" x14ac:dyDescent="0.3">
      <c r="A929" t="s">
        <v>1275</v>
      </c>
      <c r="B929" s="1">
        <v>46086</v>
      </c>
      <c r="C929" t="s">
        <v>539</v>
      </c>
      <c r="D929" t="s">
        <v>18</v>
      </c>
      <c r="E929" t="s">
        <v>19</v>
      </c>
      <c r="F929" t="s">
        <v>20</v>
      </c>
      <c r="G929" t="s">
        <v>81</v>
      </c>
      <c r="H929" t="s">
        <v>98</v>
      </c>
      <c r="I929">
        <v>4</v>
      </c>
      <c r="J929">
        <v>907.64</v>
      </c>
      <c r="K929">
        <v>0</v>
      </c>
      <c r="L929">
        <v>3630.56</v>
      </c>
      <c r="M929" t="s">
        <v>76</v>
      </c>
      <c r="N929" t="s">
        <v>58</v>
      </c>
      <c r="O929" t="s">
        <v>65</v>
      </c>
      <c r="P929" t="s">
        <v>59</v>
      </c>
      <c r="Q929" t="str">
        <f t="shared" si="98"/>
        <v>Completed</v>
      </c>
      <c r="R929" t="str">
        <f t="shared" si="99"/>
        <v>Store</v>
      </c>
      <c r="S929" t="str">
        <v>Credit Card</v>
      </c>
      <c r="T929" t="str">
        <v>Accessories</v>
      </c>
      <c r="U929" t="str">
        <f t="shared" si="100"/>
        <v>VALID</v>
      </c>
      <c r="V929" t="str">
        <f t="shared" si="101"/>
        <v>NORMAL</v>
      </c>
      <c r="W929" t="str">
        <f t="shared" si="102"/>
        <v>Valid</v>
      </c>
      <c r="X929">
        <f t="shared" si="104"/>
        <v>3630.56</v>
      </c>
      <c r="Y929">
        <f t="shared" si="103"/>
        <v>3630.56</v>
      </c>
    </row>
    <row r="930" spans="1:25" x14ac:dyDescent="0.3">
      <c r="A930" t="s">
        <v>1276</v>
      </c>
      <c r="B930" s="1">
        <v>45528</v>
      </c>
      <c r="C930" t="s">
        <v>558</v>
      </c>
      <c r="D930" t="s">
        <v>96</v>
      </c>
      <c r="E930" t="s">
        <v>97</v>
      </c>
      <c r="F930" t="s">
        <v>31</v>
      </c>
      <c r="G930" t="s">
        <v>56</v>
      </c>
      <c r="H930" t="s">
        <v>123</v>
      </c>
      <c r="I930">
        <v>1</v>
      </c>
      <c r="J930">
        <v>1272.32</v>
      </c>
      <c r="K930">
        <v>0.2</v>
      </c>
      <c r="L930">
        <v>1017.86</v>
      </c>
      <c r="M930" t="s">
        <v>48</v>
      </c>
      <c r="N930" t="s">
        <v>71</v>
      </c>
      <c r="O930" t="s">
        <v>65</v>
      </c>
      <c r="P930" t="s">
        <v>26</v>
      </c>
      <c r="Q930" t="str">
        <f t="shared" si="98"/>
        <v>Completed</v>
      </c>
      <c r="R930" t="str">
        <f t="shared" si="99"/>
        <v>Marketplace</v>
      </c>
      <c r="S930" t="str">
        <v>Upi</v>
      </c>
      <c r="T930" t="str">
        <v>Electronics</v>
      </c>
      <c r="U930" t="str">
        <f t="shared" si="100"/>
        <v>VALID</v>
      </c>
      <c r="V930" t="str">
        <f t="shared" si="101"/>
        <v>NORMAL</v>
      </c>
      <c r="W930" t="str">
        <f t="shared" si="102"/>
        <v>Valid</v>
      </c>
      <c r="X930">
        <f t="shared" si="104"/>
        <v>1272.32</v>
      </c>
      <c r="Y930">
        <f t="shared" si="103"/>
        <v>1017.856</v>
      </c>
    </row>
    <row r="931" spans="1:25" x14ac:dyDescent="0.3">
      <c r="A931" t="s">
        <v>1277</v>
      </c>
      <c r="B931" s="1">
        <v>45492</v>
      </c>
      <c r="C931" t="s">
        <v>370</v>
      </c>
      <c r="D931" t="s">
        <v>38</v>
      </c>
      <c r="E931" t="s">
        <v>39</v>
      </c>
      <c r="F931" t="s">
        <v>40</v>
      </c>
      <c r="G931" t="s">
        <v>56</v>
      </c>
      <c r="H931" t="s">
        <v>57</v>
      </c>
      <c r="I931">
        <v>3</v>
      </c>
      <c r="J931">
        <v>1473.43</v>
      </c>
      <c r="K931">
        <v>0.08</v>
      </c>
      <c r="L931">
        <v>4066.67</v>
      </c>
      <c r="M931" t="s">
        <v>48</v>
      </c>
      <c r="N931" t="s">
        <v>34</v>
      </c>
      <c r="O931" t="s">
        <v>35</v>
      </c>
      <c r="P931" t="s">
        <v>116</v>
      </c>
      <c r="Q931" t="str">
        <f t="shared" si="98"/>
        <v>Cancelled</v>
      </c>
      <c r="R931" t="str">
        <f t="shared" si="99"/>
        <v>Marketplace</v>
      </c>
      <c r="S931" t="str">
        <v>Cash On Delivery</v>
      </c>
      <c r="T931" t="str">
        <v>Furniture</v>
      </c>
      <c r="U931" t="str">
        <f t="shared" si="100"/>
        <v>VALID</v>
      </c>
      <c r="V931" t="str">
        <f t="shared" si="101"/>
        <v>NORMAL</v>
      </c>
      <c r="W931" t="str">
        <f t="shared" si="102"/>
        <v>Valid</v>
      </c>
      <c r="X931">
        <f t="shared" si="104"/>
        <v>4420.29</v>
      </c>
      <c r="Y931">
        <f t="shared" si="103"/>
        <v>4066.6668</v>
      </c>
    </row>
    <row r="932" spans="1:25" x14ac:dyDescent="0.3">
      <c r="A932" t="s">
        <v>1278</v>
      </c>
      <c r="B932" s="1">
        <v>45717</v>
      </c>
      <c r="C932" t="s">
        <v>550</v>
      </c>
      <c r="D932" t="s">
        <v>105</v>
      </c>
      <c r="E932" t="s">
        <v>106</v>
      </c>
      <c r="F932" t="s">
        <v>40</v>
      </c>
      <c r="G932" t="s">
        <v>32</v>
      </c>
      <c r="H932" t="s">
        <v>33</v>
      </c>
      <c r="I932">
        <v>2</v>
      </c>
      <c r="J932">
        <v>6930.62</v>
      </c>
      <c r="K932">
        <v>0.1</v>
      </c>
      <c r="L932">
        <v>12475.12</v>
      </c>
      <c r="M932" t="s">
        <v>76</v>
      </c>
      <c r="N932" t="s">
        <v>49</v>
      </c>
      <c r="O932" t="s">
        <v>65</v>
      </c>
      <c r="P932" t="s">
        <v>50</v>
      </c>
      <c r="Q932" t="str">
        <f t="shared" si="98"/>
        <v>Completed</v>
      </c>
      <c r="R932" t="str">
        <f t="shared" si="99"/>
        <v>Store</v>
      </c>
      <c r="S932" t="str">
        <v>Net Banking</v>
      </c>
      <c r="T932" t="str">
        <v>Furniture</v>
      </c>
      <c r="U932" t="str">
        <f t="shared" si="100"/>
        <v>VALID</v>
      </c>
      <c r="V932" t="str">
        <f t="shared" si="101"/>
        <v>NORMAL</v>
      </c>
      <c r="W932" t="str">
        <f t="shared" si="102"/>
        <v>Valid</v>
      </c>
      <c r="X932">
        <f t="shared" si="104"/>
        <v>13861.24</v>
      </c>
      <c r="Y932">
        <f t="shared" si="103"/>
        <v>12475.116</v>
      </c>
    </row>
    <row r="933" spans="1:25" x14ac:dyDescent="0.3">
      <c r="A933" t="s">
        <v>1279</v>
      </c>
      <c r="B933" s="1">
        <v>45789</v>
      </c>
      <c r="C933" t="s">
        <v>488</v>
      </c>
      <c r="D933" t="s">
        <v>170</v>
      </c>
      <c r="E933" t="s">
        <v>171</v>
      </c>
      <c r="F933" t="s">
        <v>31</v>
      </c>
      <c r="G933" t="s">
        <v>32</v>
      </c>
      <c r="H933" t="s">
        <v>68</v>
      </c>
      <c r="I933">
        <v>4</v>
      </c>
      <c r="J933">
        <v>60087.71</v>
      </c>
      <c r="K933">
        <v>0.03</v>
      </c>
      <c r="L933">
        <v>233140.31</v>
      </c>
      <c r="M933" t="s">
        <v>48</v>
      </c>
      <c r="N933" t="s">
        <v>71</v>
      </c>
      <c r="O933" t="s">
        <v>65</v>
      </c>
      <c r="P933" t="s">
        <v>116</v>
      </c>
      <c r="Q933" t="str">
        <f t="shared" si="98"/>
        <v>Completed</v>
      </c>
      <c r="R933" t="str">
        <f t="shared" si="99"/>
        <v>Marketplace</v>
      </c>
      <c r="S933" t="str">
        <v>Upi</v>
      </c>
      <c r="T933" t="str">
        <v>Electronics</v>
      </c>
      <c r="U933" t="str">
        <f t="shared" si="100"/>
        <v>VALID</v>
      </c>
      <c r="V933" t="str">
        <f t="shared" si="101"/>
        <v>NORMAL</v>
      </c>
      <c r="W933" t="str">
        <f t="shared" si="102"/>
        <v>Valid</v>
      </c>
      <c r="X933">
        <f t="shared" si="104"/>
        <v>240350.84</v>
      </c>
      <c r="Y933">
        <f t="shared" si="103"/>
        <v>233140.31479999999</v>
      </c>
    </row>
    <row r="934" spans="1:25" x14ac:dyDescent="0.3">
      <c r="A934" t="s">
        <v>1280</v>
      </c>
      <c r="B934" s="1">
        <v>45508</v>
      </c>
      <c r="C934" t="s">
        <v>70</v>
      </c>
      <c r="D934" t="s">
        <v>38</v>
      </c>
      <c r="E934" t="s">
        <v>39</v>
      </c>
      <c r="F934" t="s">
        <v>40</v>
      </c>
      <c r="G934" t="s">
        <v>81</v>
      </c>
      <c r="H934" t="s">
        <v>87</v>
      </c>
      <c r="I934">
        <v>5</v>
      </c>
      <c r="J934">
        <v>1575.2</v>
      </c>
      <c r="K934">
        <v>0.15</v>
      </c>
      <c r="L934">
        <v>6694.6</v>
      </c>
      <c r="M934" t="s">
        <v>23</v>
      </c>
      <c r="N934" t="s">
        <v>34</v>
      </c>
      <c r="O934" t="s">
        <v>65</v>
      </c>
      <c r="P934" t="s">
        <v>111</v>
      </c>
      <c r="Q934" t="str">
        <f t="shared" si="98"/>
        <v>Completed</v>
      </c>
      <c r="R934" t="str">
        <f t="shared" si="99"/>
        <v>Online</v>
      </c>
      <c r="S934" t="str">
        <v>Cash On Delivery</v>
      </c>
      <c r="T934" t="str">
        <v>Furniture</v>
      </c>
      <c r="U934" t="str">
        <f t="shared" si="100"/>
        <v>VALID</v>
      </c>
      <c r="V934" t="str">
        <f t="shared" si="101"/>
        <v>NORMAL</v>
      </c>
      <c r="W934" t="str">
        <f t="shared" si="102"/>
        <v>Valid</v>
      </c>
      <c r="X934">
        <f t="shared" si="104"/>
        <v>7876</v>
      </c>
      <c r="Y934">
        <f t="shared" si="103"/>
        <v>6694.6</v>
      </c>
    </row>
    <row r="935" spans="1:25" x14ac:dyDescent="0.3">
      <c r="A935" t="s">
        <v>1281</v>
      </c>
      <c r="B935" s="1">
        <v>45595</v>
      </c>
      <c r="C935" t="s">
        <v>285</v>
      </c>
      <c r="D935" t="s">
        <v>89</v>
      </c>
      <c r="E935" t="s">
        <v>90</v>
      </c>
      <c r="F935" t="s">
        <v>20</v>
      </c>
      <c r="G935" t="s">
        <v>32</v>
      </c>
      <c r="H935" t="s">
        <v>33</v>
      </c>
      <c r="I935">
        <v>2</v>
      </c>
      <c r="J935">
        <v>669.33</v>
      </c>
      <c r="K935">
        <v>0.08</v>
      </c>
      <c r="L935">
        <v>1231.57</v>
      </c>
      <c r="M935" t="s">
        <v>76</v>
      </c>
      <c r="N935" t="s">
        <v>71</v>
      </c>
      <c r="O935" t="s">
        <v>65</v>
      </c>
      <c r="P935" t="s">
        <v>102</v>
      </c>
      <c r="Q935" t="str">
        <f t="shared" si="98"/>
        <v>Completed</v>
      </c>
      <c r="R935" t="str">
        <f t="shared" si="99"/>
        <v>Store</v>
      </c>
      <c r="S935" t="str">
        <v>Upi</v>
      </c>
      <c r="T935" t="str">
        <v>Accessories</v>
      </c>
      <c r="U935" t="str">
        <f t="shared" si="100"/>
        <v>VALID</v>
      </c>
      <c r="V935" t="str">
        <f t="shared" si="101"/>
        <v>NORMAL</v>
      </c>
      <c r="W935" t="str">
        <f t="shared" si="102"/>
        <v>Valid</v>
      </c>
      <c r="X935">
        <f t="shared" si="104"/>
        <v>1338.66</v>
      </c>
      <c r="Y935">
        <f t="shared" si="103"/>
        <v>1231.5672</v>
      </c>
    </row>
    <row r="936" spans="1:25" x14ac:dyDescent="0.3">
      <c r="A936" t="s">
        <v>1282</v>
      </c>
      <c r="B936" s="1">
        <v>45360</v>
      </c>
      <c r="C936" t="s">
        <v>1211</v>
      </c>
      <c r="D936" t="s">
        <v>170</v>
      </c>
      <c r="E936" t="s">
        <v>171</v>
      </c>
      <c r="F936" t="s">
        <v>31</v>
      </c>
      <c r="G936" t="s">
        <v>56</v>
      </c>
      <c r="H936" t="s">
        <v>64</v>
      </c>
      <c r="I936">
        <v>1</v>
      </c>
      <c r="J936">
        <v>68233.09</v>
      </c>
      <c r="K936">
        <v>0</v>
      </c>
      <c r="L936">
        <v>68233.09</v>
      </c>
      <c r="M936" t="s">
        <v>76</v>
      </c>
      <c r="N936" t="s">
        <v>49</v>
      </c>
      <c r="O936" t="s">
        <v>65</v>
      </c>
      <c r="P936" t="s">
        <v>26</v>
      </c>
      <c r="Q936" t="str">
        <f t="shared" si="98"/>
        <v>Completed</v>
      </c>
      <c r="R936" t="str">
        <f t="shared" si="99"/>
        <v>Store</v>
      </c>
      <c r="S936" t="str">
        <v>Net Banking</v>
      </c>
      <c r="T936" t="str">
        <v>Electronics</v>
      </c>
      <c r="U936" t="str">
        <f t="shared" si="100"/>
        <v>VALID</v>
      </c>
      <c r="V936" t="str">
        <f t="shared" si="101"/>
        <v>NORMAL</v>
      </c>
      <c r="W936" t="str">
        <f t="shared" si="102"/>
        <v>Valid</v>
      </c>
      <c r="X936">
        <f t="shared" si="104"/>
        <v>68233.09</v>
      </c>
      <c r="Y936">
        <f t="shared" si="103"/>
        <v>68233.09</v>
      </c>
    </row>
    <row r="937" spans="1:25" x14ac:dyDescent="0.3">
      <c r="A937" t="s">
        <v>1283</v>
      </c>
      <c r="B937" s="1">
        <v>45618</v>
      </c>
      <c r="C937" t="s">
        <v>651</v>
      </c>
      <c r="D937" t="s">
        <v>62</v>
      </c>
      <c r="E937" t="s">
        <v>63</v>
      </c>
      <c r="F937" t="s">
        <v>31</v>
      </c>
      <c r="G937" t="s">
        <v>81</v>
      </c>
      <c r="H937" t="s">
        <v>98</v>
      </c>
      <c r="I937">
        <v>1</v>
      </c>
      <c r="J937">
        <v>2661.97</v>
      </c>
      <c r="K937">
        <v>0.15</v>
      </c>
      <c r="L937">
        <v>2262.67</v>
      </c>
      <c r="M937" t="s">
        <v>23</v>
      </c>
      <c r="N937" t="s">
        <v>24</v>
      </c>
      <c r="O937" t="s">
        <v>65</v>
      </c>
      <c r="P937" t="s">
        <v>72</v>
      </c>
      <c r="Q937" t="str">
        <f t="shared" si="98"/>
        <v>Completed</v>
      </c>
      <c r="R937" t="str">
        <f t="shared" si="99"/>
        <v>Online</v>
      </c>
      <c r="S937" t="str">
        <v>Debit Card</v>
      </c>
      <c r="T937" t="str">
        <v>Electronics</v>
      </c>
      <c r="U937" t="str">
        <f t="shared" si="100"/>
        <v>VALID</v>
      </c>
      <c r="V937" t="str">
        <f t="shared" si="101"/>
        <v>NORMAL</v>
      </c>
      <c r="W937" t="str">
        <f t="shared" si="102"/>
        <v>Valid</v>
      </c>
      <c r="X937">
        <f t="shared" si="104"/>
        <v>2661.97</v>
      </c>
      <c r="Y937">
        <f t="shared" si="103"/>
        <v>2262.6745000000001</v>
      </c>
    </row>
    <row r="938" spans="1:25" x14ac:dyDescent="0.3">
      <c r="A938" t="s">
        <v>1284</v>
      </c>
      <c r="B938" s="1">
        <v>46151</v>
      </c>
      <c r="C938" t="s">
        <v>297</v>
      </c>
      <c r="D938" t="s">
        <v>96</v>
      </c>
      <c r="E938" t="s">
        <v>97</v>
      </c>
      <c r="F938" t="s">
        <v>31</v>
      </c>
      <c r="G938" t="s">
        <v>21</v>
      </c>
      <c r="H938" t="s">
        <v>41</v>
      </c>
      <c r="I938">
        <v>5</v>
      </c>
      <c r="J938">
        <v>1150.3699999999999</v>
      </c>
      <c r="K938">
        <v>0.08</v>
      </c>
      <c r="L938">
        <v>5291.7</v>
      </c>
      <c r="M938" t="s">
        <v>76</v>
      </c>
      <c r="N938" t="s">
        <v>71</v>
      </c>
      <c r="O938" t="s">
        <v>35</v>
      </c>
      <c r="P938" t="s">
        <v>26</v>
      </c>
      <c r="Q938" t="str">
        <f t="shared" si="98"/>
        <v>Cancelled</v>
      </c>
      <c r="R938" t="str">
        <f t="shared" si="99"/>
        <v>Store</v>
      </c>
      <c r="S938" t="str">
        <v>Upi</v>
      </c>
      <c r="T938" t="str">
        <v>Electronics</v>
      </c>
      <c r="U938" t="str">
        <f t="shared" si="100"/>
        <v>VALID</v>
      </c>
      <c r="V938" t="str">
        <f t="shared" si="101"/>
        <v>NORMAL</v>
      </c>
      <c r="W938" t="str">
        <f t="shared" si="102"/>
        <v>Valid</v>
      </c>
      <c r="X938">
        <f t="shared" si="104"/>
        <v>5751.8499999999995</v>
      </c>
      <c r="Y938">
        <f t="shared" si="103"/>
        <v>5291.7019999999993</v>
      </c>
    </row>
    <row r="939" spans="1:25" x14ac:dyDescent="0.3">
      <c r="A939" t="s">
        <v>1285</v>
      </c>
      <c r="B939" s="1">
        <v>45352</v>
      </c>
      <c r="C939" t="s">
        <v>651</v>
      </c>
      <c r="D939" t="s">
        <v>170</v>
      </c>
      <c r="E939" t="s">
        <v>171</v>
      </c>
      <c r="F939" t="s">
        <v>31</v>
      </c>
      <c r="G939" t="s">
        <v>81</v>
      </c>
      <c r="H939" t="s">
        <v>135</v>
      </c>
      <c r="I939">
        <v>1</v>
      </c>
      <c r="J939">
        <v>66112.509999999995</v>
      </c>
      <c r="K939">
        <v>0.1</v>
      </c>
      <c r="L939">
        <v>59501.26</v>
      </c>
      <c r="M939" t="s">
        <v>48</v>
      </c>
      <c r="N939" t="s">
        <v>58</v>
      </c>
      <c r="O939" t="s">
        <v>65</v>
      </c>
      <c r="P939" t="s">
        <v>72</v>
      </c>
      <c r="Q939" t="str">
        <f t="shared" si="98"/>
        <v>Completed</v>
      </c>
      <c r="R939" t="str">
        <f t="shared" si="99"/>
        <v>Marketplace</v>
      </c>
      <c r="S939" t="str">
        <v>Credit Card</v>
      </c>
      <c r="T939" t="str">
        <v>Electronics</v>
      </c>
      <c r="U939" t="str">
        <f t="shared" si="100"/>
        <v>VALID</v>
      </c>
      <c r="V939" t="str">
        <f t="shared" si="101"/>
        <v>NORMAL</v>
      </c>
      <c r="W939" t="str">
        <f t="shared" si="102"/>
        <v>Valid</v>
      </c>
      <c r="X939">
        <f t="shared" si="104"/>
        <v>66112.509999999995</v>
      </c>
      <c r="Y939">
        <f t="shared" si="103"/>
        <v>59501.258999999991</v>
      </c>
    </row>
    <row r="940" spans="1:25" x14ac:dyDescent="0.3">
      <c r="A940" t="s">
        <v>1286</v>
      </c>
      <c r="B940" s="1">
        <v>45342</v>
      </c>
      <c r="C940" t="s">
        <v>447</v>
      </c>
      <c r="D940" t="s">
        <v>85</v>
      </c>
      <c r="E940" t="s">
        <v>86</v>
      </c>
      <c r="F940" t="s">
        <v>20</v>
      </c>
      <c r="G940" t="s">
        <v>81</v>
      </c>
      <c r="H940" t="s">
        <v>82</v>
      </c>
      <c r="I940">
        <v>4</v>
      </c>
      <c r="J940">
        <v>1815.22</v>
      </c>
      <c r="K940">
        <v>0.05</v>
      </c>
      <c r="L940">
        <v>6897.84</v>
      </c>
      <c r="M940" t="s">
        <v>23</v>
      </c>
      <c r="N940" t="s">
        <v>24</v>
      </c>
      <c r="O940" t="s">
        <v>25</v>
      </c>
      <c r="P940" t="s">
        <v>42</v>
      </c>
      <c r="Q940" t="str">
        <f t="shared" si="98"/>
        <v>Returned</v>
      </c>
      <c r="R940" t="str">
        <f t="shared" si="99"/>
        <v>Online</v>
      </c>
      <c r="S940" t="str">
        <v>Debit Card</v>
      </c>
      <c r="T940" t="str">
        <v>Accessories</v>
      </c>
      <c r="U940" t="str">
        <f t="shared" si="100"/>
        <v>VALID</v>
      </c>
      <c r="V940" t="str">
        <f t="shared" si="101"/>
        <v>NORMAL</v>
      </c>
      <c r="W940" t="str">
        <f t="shared" si="102"/>
        <v>Valid</v>
      </c>
      <c r="X940">
        <f t="shared" si="104"/>
        <v>7260.88</v>
      </c>
      <c r="Y940">
        <f t="shared" si="103"/>
        <v>6897.8360000000002</v>
      </c>
    </row>
    <row r="941" spans="1:25" x14ac:dyDescent="0.3">
      <c r="A941" t="s">
        <v>1287</v>
      </c>
      <c r="B941" s="1">
        <v>46053</v>
      </c>
      <c r="C941" t="s">
        <v>299</v>
      </c>
      <c r="D941" t="s">
        <v>29</v>
      </c>
      <c r="E941" t="s">
        <v>30</v>
      </c>
      <c r="F941" t="s">
        <v>31</v>
      </c>
      <c r="G941" t="s">
        <v>56</v>
      </c>
      <c r="I941">
        <v>5</v>
      </c>
      <c r="J941">
        <v>3445.64</v>
      </c>
      <c r="K941">
        <v>0.2</v>
      </c>
      <c r="L941">
        <v>13782.56</v>
      </c>
      <c r="M941" t="s">
        <v>23</v>
      </c>
      <c r="N941" t="s">
        <v>58</v>
      </c>
      <c r="O941" t="s">
        <v>25</v>
      </c>
      <c r="P941" t="s">
        <v>116</v>
      </c>
      <c r="Q941" t="str">
        <f t="shared" si="98"/>
        <v>Returned</v>
      </c>
      <c r="R941" t="str">
        <f t="shared" si="99"/>
        <v>Online</v>
      </c>
      <c r="S941" t="str">
        <v>Credit Card</v>
      </c>
      <c r="T941" t="str">
        <v>Electronics</v>
      </c>
      <c r="U941" t="str">
        <f t="shared" si="100"/>
        <v>VALID</v>
      </c>
      <c r="V941" t="str">
        <f t="shared" si="101"/>
        <v>NORMAL</v>
      </c>
      <c r="W941" t="str">
        <f t="shared" si="102"/>
        <v>Valid</v>
      </c>
      <c r="X941">
        <f t="shared" si="104"/>
        <v>17228.2</v>
      </c>
      <c r="Y941">
        <f t="shared" si="103"/>
        <v>13782.560000000001</v>
      </c>
    </row>
    <row r="942" spans="1:25" x14ac:dyDescent="0.3">
      <c r="A942" t="s">
        <v>1288</v>
      </c>
      <c r="B942" s="1">
        <v>45854</v>
      </c>
      <c r="C942" t="s">
        <v>949</v>
      </c>
      <c r="D942" t="s">
        <v>96</v>
      </c>
      <c r="E942" t="s">
        <v>97</v>
      </c>
      <c r="F942" t="s">
        <v>31</v>
      </c>
      <c r="G942" t="s">
        <v>21</v>
      </c>
      <c r="H942" t="s">
        <v>126</v>
      </c>
      <c r="I942">
        <v>2</v>
      </c>
      <c r="J942">
        <v>1286.79</v>
      </c>
      <c r="K942">
        <v>0.08</v>
      </c>
      <c r="L942">
        <v>2367.69</v>
      </c>
      <c r="M942" t="s">
        <v>76</v>
      </c>
      <c r="N942" t="s">
        <v>71</v>
      </c>
      <c r="O942" t="s">
        <v>35</v>
      </c>
      <c r="P942" t="s">
        <v>59</v>
      </c>
      <c r="Q942" t="str">
        <f t="shared" si="98"/>
        <v>Cancelled</v>
      </c>
      <c r="R942" t="str">
        <f t="shared" si="99"/>
        <v>Store</v>
      </c>
      <c r="S942" t="str">
        <v>Upi</v>
      </c>
      <c r="T942" t="str">
        <v>Electronics</v>
      </c>
      <c r="U942" t="str">
        <f t="shared" si="100"/>
        <v>VALID</v>
      </c>
      <c r="V942" t="str">
        <f t="shared" si="101"/>
        <v>NORMAL</v>
      </c>
      <c r="W942" t="str">
        <f t="shared" si="102"/>
        <v>Valid</v>
      </c>
      <c r="X942">
        <f t="shared" si="104"/>
        <v>2573.58</v>
      </c>
      <c r="Y942">
        <f t="shared" si="103"/>
        <v>2367.6936000000001</v>
      </c>
    </row>
    <row r="943" spans="1:25" x14ac:dyDescent="0.3">
      <c r="A943" t="s">
        <v>1289</v>
      </c>
      <c r="B943" s="1">
        <v>45644</v>
      </c>
      <c r="C943" t="s">
        <v>37</v>
      </c>
      <c r="D943" t="s">
        <v>29</v>
      </c>
      <c r="E943" t="s">
        <v>30</v>
      </c>
      <c r="F943" t="s">
        <v>31</v>
      </c>
      <c r="G943" t="s">
        <v>81</v>
      </c>
      <c r="H943" t="s">
        <v>98</v>
      </c>
      <c r="I943">
        <v>3</v>
      </c>
      <c r="J943">
        <v>2944.21</v>
      </c>
      <c r="K943">
        <v>0.2</v>
      </c>
      <c r="L943">
        <v>7066.1</v>
      </c>
      <c r="M943" t="s">
        <v>76</v>
      </c>
      <c r="N943" t="s">
        <v>58</v>
      </c>
      <c r="O943" t="s">
        <v>65</v>
      </c>
      <c r="P943" t="s">
        <v>26</v>
      </c>
      <c r="Q943" t="str">
        <f t="shared" si="98"/>
        <v>Completed</v>
      </c>
      <c r="R943" t="str">
        <f t="shared" si="99"/>
        <v>Store</v>
      </c>
      <c r="S943" t="str">
        <v>Credit Card</v>
      </c>
      <c r="T943" t="str">
        <v>Electronics</v>
      </c>
      <c r="U943" t="str">
        <f t="shared" si="100"/>
        <v>VALID</v>
      </c>
      <c r="V943" t="str">
        <f t="shared" si="101"/>
        <v>NORMAL</v>
      </c>
      <c r="W943" t="str">
        <f t="shared" si="102"/>
        <v>Valid</v>
      </c>
      <c r="X943">
        <f t="shared" si="104"/>
        <v>8832.630000000001</v>
      </c>
      <c r="Y943">
        <f t="shared" si="103"/>
        <v>7066.1040000000012</v>
      </c>
    </row>
    <row r="944" spans="1:25" x14ac:dyDescent="0.3">
      <c r="A944" t="s">
        <v>1290</v>
      </c>
      <c r="B944" s="1">
        <v>45453</v>
      </c>
      <c r="C944" t="s">
        <v>227</v>
      </c>
      <c r="D944" t="s">
        <v>105</v>
      </c>
      <c r="E944" t="s">
        <v>106</v>
      </c>
      <c r="F944" t="s">
        <v>40</v>
      </c>
      <c r="G944" t="s">
        <v>32</v>
      </c>
      <c r="H944" t="s">
        <v>47</v>
      </c>
      <c r="I944">
        <v>1</v>
      </c>
      <c r="J944">
        <v>6906.22</v>
      </c>
      <c r="K944">
        <v>0.03</v>
      </c>
      <c r="L944">
        <v>6699.03</v>
      </c>
      <c r="M944" t="s">
        <v>23</v>
      </c>
      <c r="N944" t="s">
        <v>34</v>
      </c>
      <c r="O944" t="s">
        <v>65</v>
      </c>
      <c r="P944" t="s">
        <v>72</v>
      </c>
      <c r="Q944" t="str">
        <f t="shared" si="98"/>
        <v>Completed</v>
      </c>
      <c r="R944" t="str">
        <f t="shared" si="99"/>
        <v>Online</v>
      </c>
      <c r="S944" t="str">
        <v>Cash On Delivery</v>
      </c>
      <c r="T944" t="str">
        <v>Furniture</v>
      </c>
      <c r="U944" t="str">
        <f t="shared" si="100"/>
        <v>VALID</v>
      </c>
      <c r="V944" t="str">
        <f t="shared" si="101"/>
        <v>NORMAL</v>
      </c>
      <c r="W944" t="str">
        <f t="shared" si="102"/>
        <v>Valid</v>
      </c>
      <c r="X944">
        <f t="shared" si="104"/>
        <v>6906.22</v>
      </c>
      <c r="Y944">
        <f t="shared" si="103"/>
        <v>6699.0334000000003</v>
      </c>
    </row>
    <row r="945" spans="1:25" x14ac:dyDescent="0.3">
      <c r="A945" t="s">
        <v>1291</v>
      </c>
      <c r="B945" s="1">
        <v>45398</v>
      </c>
      <c r="C945" t="s">
        <v>293</v>
      </c>
      <c r="D945" t="s">
        <v>96</v>
      </c>
      <c r="E945" t="s">
        <v>97</v>
      </c>
      <c r="F945" t="s">
        <v>31</v>
      </c>
      <c r="G945" t="s">
        <v>56</v>
      </c>
      <c r="H945" t="s">
        <v>123</v>
      </c>
      <c r="I945">
        <v>2</v>
      </c>
      <c r="J945">
        <v>1243.22</v>
      </c>
      <c r="K945">
        <v>0.1</v>
      </c>
      <c r="L945">
        <v>2237.8000000000002</v>
      </c>
      <c r="M945" t="s">
        <v>23</v>
      </c>
      <c r="N945" t="s">
        <v>58</v>
      </c>
      <c r="O945" t="s">
        <v>25</v>
      </c>
      <c r="P945" t="s">
        <v>50</v>
      </c>
      <c r="Q945" t="str">
        <f t="shared" si="98"/>
        <v>Returned</v>
      </c>
      <c r="R945" t="str">
        <f t="shared" si="99"/>
        <v>Online</v>
      </c>
      <c r="S945" t="str">
        <v>Credit Card</v>
      </c>
      <c r="T945" t="str">
        <v>Electronics</v>
      </c>
      <c r="U945" t="str">
        <f t="shared" si="100"/>
        <v>VALID</v>
      </c>
      <c r="V945" t="str">
        <f t="shared" si="101"/>
        <v>NORMAL</v>
      </c>
      <c r="W945" t="str">
        <f t="shared" si="102"/>
        <v>Valid</v>
      </c>
      <c r="X945">
        <f t="shared" si="104"/>
        <v>2486.44</v>
      </c>
      <c r="Y945">
        <f t="shared" si="103"/>
        <v>2237.7960000000003</v>
      </c>
    </row>
    <row r="946" spans="1:25" x14ac:dyDescent="0.3">
      <c r="A946" t="s">
        <v>1292</v>
      </c>
      <c r="B946" s="1">
        <v>45541</v>
      </c>
      <c r="C946" t="s">
        <v>1211</v>
      </c>
      <c r="D946" t="s">
        <v>89</v>
      </c>
      <c r="E946" t="s">
        <v>90</v>
      </c>
      <c r="F946" t="s">
        <v>20</v>
      </c>
      <c r="G946" t="s">
        <v>21</v>
      </c>
      <c r="H946" t="s">
        <v>126</v>
      </c>
      <c r="I946">
        <v>1</v>
      </c>
      <c r="J946">
        <v>693.84</v>
      </c>
      <c r="K946">
        <v>0.2</v>
      </c>
      <c r="L946">
        <v>555.07000000000005</v>
      </c>
      <c r="M946" t="s">
        <v>23</v>
      </c>
      <c r="N946" t="s">
        <v>49</v>
      </c>
      <c r="O946" t="s">
        <v>65</v>
      </c>
      <c r="P946" t="s">
        <v>111</v>
      </c>
      <c r="Q946" t="str">
        <f t="shared" si="98"/>
        <v>Completed</v>
      </c>
      <c r="R946" t="str">
        <f t="shared" si="99"/>
        <v>Online</v>
      </c>
      <c r="S946" t="str">
        <v>Net Banking</v>
      </c>
      <c r="T946" t="str">
        <v>Accessories</v>
      </c>
      <c r="U946" t="str">
        <f t="shared" si="100"/>
        <v>VALID</v>
      </c>
      <c r="V946" t="str">
        <f t="shared" si="101"/>
        <v>NORMAL</v>
      </c>
      <c r="W946" t="str">
        <f t="shared" si="102"/>
        <v>Valid</v>
      </c>
      <c r="X946">
        <f t="shared" si="104"/>
        <v>693.84</v>
      </c>
      <c r="Y946">
        <f t="shared" si="103"/>
        <v>555.072</v>
      </c>
    </row>
    <row r="947" spans="1:25" x14ac:dyDescent="0.3">
      <c r="A947" t="s">
        <v>1293</v>
      </c>
      <c r="B947" s="1">
        <v>45379</v>
      </c>
      <c r="C947" t="s">
        <v>879</v>
      </c>
      <c r="D947" t="s">
        <v>121</v>
      </c>
      <c r="E947" t="s">
        <v>122</v>
      </c>
      <c r="F947" t="s">
        <v>55</v>
      </c>
      <c r="G947" t="s">
        <v>21</v>
      </c>
      <c r="H947" t="s">
        <v>41</v>
      </c>
      <c r="I947">
        <v>2</v>
      </c>
      <c r="J947">
        <v>460.81</v>
      </c>
      <c r="K947">
        <v>0.1</v>
      </c>
      <c r="L947">
        <v>829.46</v>
      </c>
      <c r="M947" t="s">
        <v>48</v>
      </c>
      <c r="N947" t="s">
        <v>58</v>
      </c>
      <c r="O947" t="s">
        <v>35</v>
      </c>
      <c r="P947" t="s">
        <v>102</v>
      </c>
      <c r="Q947" t="str">
        <f t="shared" si="98"/>
        <v>Cancelled</v>
      </c>
      <c r="R947" t="str">
        <f t="shared" si="99"/>
        <v>Marketplace</v>
      </c>
      <c r="S947" t="str">
        <v>Credit Card</v>
      </c>
      <c r="T947" t="str">
        <v>Stationery</v>
      </c>
      <c r="U947" t="str">
        <f t="shared" si="100"/>
        <v>VALID</v>
      </c>
      <c r="V947" t="str">
        <f t="shared" si="101"/>
        <v>NORMAL</v>
      </c>
      <c r="W947" t="str">
        <f t="shared" si="102"/>
        <v>Valid</v>
      </c>
      <c r="X947">
        <f t="shared" si="104"/>
        <v>921.62</v>
      </c>
      <c r="Y947">
        <f t="shared" si="103"/>
        <v>829.45799999999997</v>
      </c>
    </row>
    <row r="948" spans="1:25" x14ac:dyDescent="0.3">
      <c r="A948" t="s">
        <v>1294</v>
      </c>
      <c r="B948" s="1">
        <v>46036</v>
      </c>
      <c r="C948" t="s">
        <v>190</v>
      </c>
      <c r="D948" t="s">
        <v>29</v>
      </c>
      <c r="E948" t="s">
        <v>30</v>
      </c>
      <c r="F948" t="s">
        <v>31</v>
      </c>
      <c r="G948" t="s">
        <v>32</v>
      </c>
      <c r="H948" t="s">
        <v>47</v>
      </c>
      <c r="I948">
        <v>5</v>
      </c>
      <c r="J948">
        <v>3127.53</v>
      </c>
      <c r="K948">
        <v>0.05</v>
      </c>
      <c r="L948">
        <v>14855.77</v>
      </c>
      <c r="M948" t="s">
        <v>23</v>
      </c>
      <c r="N948" t="s">
        <v>34</v>
      </c>
      <c r="O948" t="s">
        <v>65</v>
      </c>
      <c r="P948" t="s">
        <v>50</v>
      </c>
      <c r="Q948" t="str">
        <f t="shared" si="98"/>
        <v>Completed</v>
      </c>
      <c r="R948" t="str">
        <f t="shared" si="99"/>
        <v>Online</v>
      </c>
      <c r="S948" t="str">
        <v>Cash On Delivery</v>
      </c>
      <c r="T948" t="str">
        <v>Electronics</v>
      </c>
      <c r="U948" t="str">
        <f t="shared" si="100"/>
        <v>VALID</v>
      </c>
      <c r="V948" t="str">
        <f t="shared" si="101"/>
        <v>NORMAL</v>
      </c>
      <c r="W948" t="str">
        <f t="shared" si="102"/>
        <v>Valid</v>
      </c>
      <c r="X948">
        <f t="shared" si="104"/>
        <v>15637.650000000001</v>
      </c>
      <c r="Y948">
        <f t="shared" si="103"/>
        <v>14855.767500000002</v>
      </c>
    </row>
    <row r="949" spans="1:25" x14ac:dyDescent="0.3">
      <c r="A949" t="s">
        <v>1295</v>
      </c>
      <c r="B949" s="1">
        <v>45380</v>
      </c>
      <c r="C949" t="s">
        <v>128</v>
      </c>
      <c r="D949" t="s">
        <v>85</v>
      </c>
      <c r="E949" t="s">
        <v>86</v>
      </c>
      <c r="F949" t="s">
        <v>20</v>
      </c>
      <c r="G949" t="s">
        <v>56</v>
      </c>
      <c r="H949" t="s">
        <v>57</v>
      </c>
      <c r="I949">
        <v>3</v>
      </c>
      <c r="J949">
        <v>1657.14</v>
      </c>
      <c r="K949">
        <v>0</v>
      </c>
      <c r="L949">
        <v>4971.42</v>
      </c>
      <c r="M949" t="s">
        <v>23</v>
      </c>
      <c r="N949" t="s">
        <v>49</v>
      </c>
      <c r="O949" t="s">
        <v>65</v>
      </c>
      <c r="P949" t="s">
        <v>116</v>
      </c>
      <c r="Q949" t="str">
        <f t="shared" si="98"/>
        <v>Completed</v>
      </c>
      <c r="R949" t="str">
        <f t="shared" si="99"/>
        <v>Online</v>
      </c>
      <c r="S949" t="str">
        <v>Net Banking</v>
      </c>
      <c r="T949" t="str">
        <v>Accessories</v>
      </c>
      <c r="U949" t="str">
        <f t="shared" si="100"/>
        <v>VALID</v>
      </c>
      <c r="V949" t="str">
        <f t="shared" si="101"/>
        <v>NORMAL</v>
      </c>
      <c r="W949" t="str">
        <f t="shared" si="102"/>
        <v>Valid</v>
      </c>
      <c r="X949">
        <f t="shared" si="104"/>
        <v>4971.42</v>
      </c>
      <c r="Y949">
        <f t="shared" si="103"/>
        <v>4971.42</v>
      </c>
    </row>
    <row r="950" spans="1:25" x14ac:dyDescent="0.3">
      <c r="A950" t="s">
        <v>1296</v>
      </c>
      <c r="B950" s="1">
        <v>46131</v>
      </c>
      <c r="C950" t="s">
        <v>490</v>
      </c>
      <c r="D950" t="s">
        <v>105</v>
      </c>
      <c r="E950" t="s">
        <v>106</v>
      </c>
      <c r="F950" t="s">
        <v>40</v>
      </c>
      <c r="G950" t="s">
        <v>81</v>
      </c>
      <c r="H950" t="s">
        <v>82</v>
      </c>
      <c r="I950">
        <v>3</v>
      </c>
      <c r="J950">
        <v>7375.54</v>
      </c>
      <c r="K950">
        <v>0.03</v>
      </c>
      <c r="L950">
        <v>21462.82</v>
      </c>
      <c r="M950" t="s">
        <v>76</v>
      </c>
      <c r="N950" t="s">
        <v>49</v>
      </c>
      <c r="O950" t="s">
        <v>65</v>
      </c>
      <c r="P950" t="s">
        <v>102</v>
      </c>
      <c r="Q950" t="str">
        <f t="shared" si="98"/>
        <v>Completed</v>
      </c>
      <c r="R950" t="str">
        <f t="shared" si="99"/>
        <v>Store</v>
      </c>
      <c r="S950" t="str">
        <v>Net Banking</v>
      </c>
      <c r="T950" t="str">
        <v>Furniture</v>
      </c>
      <c r="U950" t="str">
        <f t="shared" si="100"/>
        <v>VALID</v>
      </c>
      <c r="V950" t="str">
        <f t="shared" si="101"/>
        <v>NORMAL</v>
      </c>
      <c r="W950" t="str">
        <f t="shared" si="102"/>
        <v>Valid</v>
      </c>
      <c r="X950">
        <f t="shared" si="104"/>
        <v>22126.62</v>
      </c>
      <c r="Y950">
        <f t="shared" si="103"/>
        <v>21462.821400000001</v>
      </c>
    </row>
    <row r="951" spans="1:25" x14ac:dyDescent="0.3">
      <c r="A951" t="s">
        <v>1297</v>
      </c>
      <c r="B951" s="1">
        <v>45607</v>
      </c>
      <c r="C951" t="s">
        <v>640</v>
      </c>
      <c r="D951" t="s">
        <v>170</v>
      </c>
      <c r="E951" t="s">
        <v>171</v>
      </c>
      <c r="F951" t="s">
        <v>31</v>
      </c>
      <c r="G951" t="s">
        <v>21</v>
      </c>
      <c r="H951" t="s">
        <v>93</v>
      </c>
      <c r="I951">
        <v>4</v>
      </c>
      <c r="J951">
        <v>64217.48</v>
      </c>
      <c r="K951">
        <v>0.2</v>
      </c>
      <c r="L951">
        <v>205495.94</v>
      </c>
      <c r="M951" t="s">
        <v>48</v>
      </c>
      <c r="N951" t="s">
        <v>24</v>
      </c>
      <c r="O951" t="s">
        <v>35</v>
      </c>
      <c r="P951" t="s">
        <v>59</v>
      </c>
      <c r="Q951" t="str">
        <f t="shared" si="98"/>
        <v>Cancelled</v>
      </c>
      <c r="R951" t="str">
        <f t="shared" si="99"/>
        <v>Marketplace</v>
      </c>
      <c r="S951" t="str">
        <v>Debit Card</v>
      </c>
      <c r="T951" t="str">
        <v>Electronics</v>
      </c>
      <c r="U951" t="str">
        <f t="shared" si="100"/>
        <v>VALID</v>
      </c>
      <c r="V951" t="str">
        <f t="shared" si="101"/>
        <v>NORMAL</v>
      </c>
      <c r="W951" t="str">
        <f t="shared" si="102"/>
        <v>Valid</v>
      </c>
      <c r="X951">
        <f t="shared" si="104"/>
        <v>256869.92</v>
      </c>
      <c r="Y951">
        <f t="shared" si="103"/>
        <v>205495.93600000002</v>
      </c>
    </row>
    <row r="952" spans="1:25" x14ac:dyDescent="0.3">
      <c r="A952" t="s">
        <v>1298</v>
      </c>
      <c r="B952" s="1">
        <v>45497</v>
      </c>
      <c r="C952" t="s">
        <v>325</v>
      </c>
      <c r="D952" t="s">
        <v>89</v>
      </c>
      <c r="E952" t="s">
        <v>90</v>
      </c>
      <c r="F952" t="s">
        <v>20</v>
      </c>
      <c r="G952" t="s">
        <v>21</v>
      </c>
      <c r="H952" t="s">
        <v>41</v>
      </c>
      <c r="I952">
        <v>4</v>
      </c>
      <c r="J952">
        <v>685.61</v>
      </c>
      <c r="K952">
        <v>0.1</v>
      </c>
      <c r="L952">
        <v>2468.1999999999998</v>
      </c>
      <c r="M952" t="s">
        <v>76</v>
      </c>
      <c r="N952" t="s">
        <v>71</v>
      </c>
      <c r="O952" t="s">
        <v>65</v>
      </c>
      <c r="P952" t="s">
        <v>102</v>
      </c>
      <c r="Q952" t="str">
        <f t="shared" si="98"/>
        <v>Completed</v>
      </c>
      <c r="R952" t="str">
        <f t="shared" si="99"/>
        <v>Store</v>
      </c>
      <c r="S952" t="str">
        <v>Upi</v>
      </c>
      <c r="T952" t="str">
        <v>Accessories</v>
      </c>
      <c r="U952" t="str">
        <f t="shared" si="100"/>
        <v>VALID</v>
      </c>
      <c r="V952" t="str">
        <f t="shared" si="101"/>
        <v>NORMAL</v>
      </c>
      <c r="W952" t="str">
        <f t="shared" si="102"/>
        <v>Valid</v>
      </c>
      <c r="X952">
        <f t="shared" si="104"/>
        <v>2742.44</v>
      </c>
      <c r="Y952">
        <f t="shared" si="103"/>
        <v>2468.1959999999999</v>
      </c>
    </row>
    <row r="953" spans="1:25" x14ac:dyDescent="0.3">
      <c r="A953" t="s">
        <v>1299</v>
      </c>
      <c r="B953" s="1">
        <v>45773</v>
      </c>
      <c r="D953" t="s">
        <v>105</v>
      </c>
      <c r="E953" t="s">
        <v>106</v>
      </c>
      <c r="F953" t="s">
        <v>40</v>
      </c>
      <c r="G953" t="s">
        <v>32</v>
      </c>
      <c r="H953" t="s">
        <v>75</v>
      </c>
      <c r="I953">
        <v>4</v>
      </c>
      <c r="J953">
        <v>6852.58</v>
      </c>
      <c r="K953">
        <v>0.1</v>
      </c>
      <c r="L953">
        <v>24669.29</v>
      </c>
      <c r="M953" t="s">
        <v>23</v>
      </c>
      <c r="N953" t="s">
        <v>49</v>
      </c>
      <c r="O953" t="s">
        <v>65</v>
      </c>
      <c r="P953" t="s">
        <v>42</v>
      </c>
      <c r="Q953" t="str">
        <f t="shared" si="98"/>
        <v>Completed</v>
      </c>
      <c r="R953" t="str">
        <f t="shared" si="99"/>
        <v>Online</v>
      </c>
      <c r="S953" t="str">
        <v>Net Banking</v>
      </c>
      <c r="T953" t="str">
        <v>Furniture</v>
      </c>
      <c r="U953" t="str">
        <f t="shared" si="100"/>
        <v>VALID</v>
      </c>
      <c r="V953" t="str">
        <f t="shared" si="101"/>
        <v>NORMAL</v>
      </c>
      <c r="W953" t="str">
        <f t="shared" si="102"/>
        <v>Valid</v>
      </c>
      <c r="X953">
        <f t="shared" si="104"/>
        <v>27410.32</v>
      </c>
      <c r="Y953">
        <f t="shared" si="103"/>
        <v>24669.288</v>
      </c>
    </row>
    <row r="954" spans="1:25" x14ac:dyDescent="0.3">
      <c r="A954" t="s">
        <v>1300</v>
      </c>
      <c r="B954" s="1">
        <v>45937</v>
      </c>
      <c r="C954" t="s">
        <v>321</v>
      </c>
      <c r="D954" t="s">
        <v>176</v>
      </c>
      <c r="E954" t="s">
        <v>177</v>
      </c>
      <c r="F954" t="s">
        <v>31</v>
      </c>
      <c r="G954" t="s">
        <v>32</v>
      </c>
      <c r="H954" t="s">
        <v>47</v>
      </c>
      <c r="I954">
        <v>4</v>
      </c>
      <c r="J954">
        <v>2071.9</v>
      </c>
      <c r="K954">
        <v>0</v>
      </c>
      <c r="L954">
        <v>8287.6</v>
      </c>
      <c r="M954" t="s">
        <v>23</v>
      </c>
      <c r="N954" t="s">
        <v>24</v>
      </c>
      <c r="O954" t="s">
        <v>65</v>
      </c>
      <c r="P954" t="s">
        <v>111</v>
      </c>
      <c r="Q954" t="str">
        <f t="shared" si="98"/>
        <v>Completed</v>
      </c>
      <c r="R954" t="str">
        <f t="shared" si="99"/>
        <v>Online</v>
      </c>
      <c r="S954" t="str">
        <v>Debit Card</v>
      </c>
      <c r="T954" t="str">
        <v>Electronics</v>
      </c>
      <c r="U954" t="str">
        <f t="shared" si="100"/>
        <v>VALID</v>
      </c>
      <c r="V954" t="str">
        <f t="shared" si="101"/>
        <v>NORMAL</v>
      </c>
      <c r="W954" t="str">
        <f t="shared" si="102"/>
        <v>Valid</v>
      </c>
      <c r="X954">
        <f t="shared" si="104"/>
        <v>8287.6</v>
      </c>
      <c r="Y954">
        <f t="shared" si="103"/>
        <v>8287.6</v>
      </c>
    </row>
    <row r="955" spans="1:25" x14ac:dyDescent="0.3">
      <c r="A955" t="s">
        <v>1301</v>
      </c>
      <c r="B955" s="1">
        <v>45332</v>
      </c>
      <c r="C955" t="s">
        <v>597</v>
      </c>
      <c r="D955" t="s">
        <v>96</v>
      </c>
      <c r="E955" t="s">
        <v>97</v>
      </c>
      <c r="F955" t="s">
        <v>31</v>
      </c>
      <c r="G955" t="s">
        <v>56</v>
      </c>
      <c r="H955" t="s">
        <v>123</v>
      </c>
      <c r="I955">
        <v>3</v>
      </c>
      <c r="J955">
        <v>1132.55</v>
      </c>
      <c r="K955">
        <v>0.15</v>
      </c>
      <c r="L955">
        <v>2888</v>
      </c>
      <c r="M955" t="s">
        <v>48</v>
      </c>
      <c r="N955" t="s">
        <v>34</v>
      </c>
      <c r="O955" t="s">
        <v>65</v>
      </c>
      <c r="P955" t="s">
        <v>116</v>
      </c>
      <c r="Q955" t="str">
        <f t="shared" si="98"/>
        <v>Completed</v>
      </c>
      <c r="R955" t="str">
        <f t="shared" si="99"/>
        <v>Marketplace</v>
      </c>
      <c r="S955" t="str">
        <v>Cash On Delivery</v>
      </c>
      <c r="T955" t="str">
        <v>Electronics</v>
      </c>
      <c r="U955" t="str">
        <f t="shared" si="100"/>
        <v>VALID</v>
      </c>
      <c r="V955" t="str">
        <f t="shared" si="101"/>
        <v>NORMAL</v>
      </c>
      <c r="W955" t="str">
        <f t="shared" si="102"/>
        <v>Valid</v>
      </c>
      <c r="X955">
        <f t="shared" si="104"/>
        <v>3397.6499999999996</v>
      </c>
      <c r="Y955">
        <f t="shared" si="103"/>
        <v>2888.0024999999996</v>
      </c>
    </row>
    <row r="956" spans="1:25" x14ac:dyDescent="0.3">
      <c r="A956" t="s">
        <v>1302</v>
      </c>
      <c r="B956" s="1">
        <v>45676</v>
      </c>
      <c r="C956" t="s">
        <v>470</v>
      </c>
      <c r="D956" t="s">
        <v>53</v>
      </c>
      <c r="E956" t="s">
        <v>54</v>
      </c>
      <c r="F956" t="s">
        <v>55</v>
      </c>
      <c r="G956" t="s">
        <v>56</v>
      </c>
      <c r="H956" t="s">
        <v>57</v>
      </c>
      <c r="I956">
        <v>3</v>
      </c>
      <c r="J956">
        <v>207.58</v>
      </c>
      <c r="K956">
        <v>0.08</v>
      </c>
      <c r="L956">
        <v>572.91999999999996</v>
      </c>
      <c r="M956" t="s">
        <v>48</v>
      </c>
      <c r="N956" t="s">
        <v>58</v>
      </c>
      <c r="O956" t="s">
        <v>65</v>
      </c>
      <c r="P956" t="s">
        <v>72</v>
      </c>
      <c r="Q956" t="str">
        <f t="shared" si="98"/>
        <v>Completed</v>
      </c>
      <c r="R956" t="str">
        <f t="shared" si="99"/>
        <v>Marketplace</v>
      </c>
      <c r="S956" t="str">
        <v>Credit Card</v>
      </c>
      <c r="T956" t="str">
        <v>Stationery</v>
      </c>
      <c r="U956" t="str">
        <f t="shared" si="100"/>
        <v>VALID</v>
      </c>
      <c r="V956" t="str">
        <f t="shared" si="101"/>
        <v>NORMAL</v>
      </c>
      <c r="W956" t="str">
        <f t="shared" si="102"/>
        <v>Valid</v>
      </c>
      <c r="X956">
        <f t="shared" si="104"/>
        <v>622.74</v>
      </c>
      <c r="Y956">
        <f t="shared" si="103"/>
        <v>572.92079999999999</v>
      </c>
    </row>
    <row r="957" spans="1:25" x14ac:dyDescent="0.3">
      <c r="A957" t="s">
        <v>1303</v>
      </c>
      <c r="B957" s="1">
        <v>45556</v>
      </c>
      <c r="C957" t="s">
        <v>297</v>
      </c>
      <c r="D957" t="s">
        <v>62</v>
      </c>
      <c r="E957" t="s">
        <v>63</v>
      </c>
      <c r="F957" t="s">
        <v>31</v>
      </c>
      <c r="G957" t="s">
        <v>81</v>
      </c>
      <c r="H957" t="s">
        <v>82</v>
      </c>
      <c r="I957">
        <v>1</v>
      </c>
      <c r="J957">
        <v>2590.48</v>
      </c>
      <c r="K957">
        <v>0.15</v>
      </c>
      <c r="L957">
        <v>2201.91</v>
      </c>
      <c r="M957" t="s">
        <v>76</v>
      </c>
      <c r="N957" t="s">
        <v>58</v>
      </c>
      <c r="O957" t="s">
        <v>65</v>
      </c>
      <c r="P957" t="s">
        <v>116</v>
      </c>
      <c r="Q957" t="str">
        <f t="shared" si="98"/>
        <v>Completed</v>
      </c>
      <c r="R957" t="str">
        <f t="shared" si="99"/>
        <v>Store</v>
      </c>
      <c r="S957" t="str">
        <v>Credit Card</v>
      </c>
      <c r="T957" t="str">
        <v>Electronics</v>
      </c>
      <c r="U957" t="str">
        <f t="shared" si="100"/>
        <v>VALID</v>
      </c>
      <c r="V957" t="str">
        <f t="shared" si="101"/>
        <v>NORMAL</v>
      </c>
      <c r="W957" t="str">
        <f t="shared" si="102"/>
        <v>Valid</v>
      </c>
      <c r="X957">
        <f t="shared" si="104"/>
        <v>2590.48</v>
      </c>
      <c r="Y957">
        <f t="shared" si="103"/>
        <v>2201.9079999999999</v>
      </c>
    </row>
    <row r="958" spans="1:25" x14ac:dyDescent="0.3">
      <c r="A958" t="s">
        <v>1304</v>
      </c>
      <c r="B958" s="1">
        <v>46115</v>
      </c>
      <c r="C958" t="s">
        <v>184</v>
      </c>
      <c r="D958" t="s">
        <v>79</v>
      </c>
      <c r="E958" t="s">
        <v>80</v>
      </c>
      <c r="F958" t="s">
        <v>31</v>
      </c>
      <c r="G958" t="s">
        <v>56</v>
      </c>
      <c r="H958" t="s">
        <v>123</v>
      </c>
      <c r="I958">
        <v>1</v>
      </c>
      <c r="J958">
        <v>12891.24</v>
      </c>
      <c r="K958">
        <v>0.1</v>
      </c>
      <c r="L958">
        <v>11602.12</v>
      </c>
      <c r="M958" t="s">
        <v>23</v>
      </c>
      <c r="N958" t="s">
        <v>24</v>
      </c>
      <c r="O958" t="s">
        <v>65</v>
      </c>
      <c r="P958" t="s">
        <v>59</v>
      </c>
      <c r="Q958" t="str">
        <f t="shared" si="98"/>
        <v>Completed</v>
      </c>
      <c r="R958" t="str">
        <f t="shared" si="99"/>
        <v>Online</v>
      </c>
      <c r="S958" t="str">
        <v>Debit Card</v>
      </c>
      <c r="T958" t="str">
        <v>Electronics</v>
      </c>
      <c r="U958" t="str">
        <f t="shared" si="100"/>
        <v>VALID</v>
      </c>
      <c r="V958" t="str">
        <f t="shared" si="101"/>
        <v>NORMAL</v>
      </c>
      <c r="W958" t="str">
        <f t="shared" si="102"/>
        <v>Valid</v>
      </c>
      <c r="X958">
        <f t="shared" si="104"/>
        <v>12891.24</v>
      </c>
      <c r="Y958">
        <f t="shared" si="103"/>
        <v>11602.116</v>
      </c>
    </row>
    <row r="959" spans="1:25" x14ac:dyDescent="0.3">
      <c r="A959" t="s">
        <v>1305</v>
      </c>
      <c r="B959" s="1">
        <v>45697</v>
      </c>
      <c r="C959" t="s">
        <v>149</v>
      </c>
      <c r="D959" t="s">
        <v>62</v>
      </c>
      <c r="E959" t="s">
        <v>63</v>
      </c>
      <c r="F959" t="s">
        <v>31</v>
      </c>
      <c r="G959" t="s">
        <v>81</v>
      </c>
      <c r="H959" t="s">
        <v>82</v>
      </c>
      <c r="I959">
        <v>2</v>
      </c>
      <c r="J959">
        <v>2641.38</v>
      </c>
      <c r="K959">
        <v>0.08</v>
      </c>
      <c r="L959">
        <v>4860.1400000000003</v>
      </c>
      <c r="M959" t="s">
        <v>76</v>
      </c>
      <c r="N959" t="s">
        <v>71</v>
      </c>
      <c r="O959" t="s">
        <v>25</v>
      </c>
      <c r="P959" t="s">
        <v>59</v>
      </c>
      <c r="Q959" t="str">
        <f t="shared" si="98"/>
        <v>Returned</v>
      </c>
      <c r="R959" t="str">
        <f t="shared" si="99"/>
        <v>Store</v>
      </c>
      <c r="S959" t="str">
        <v>Upi</v>
      </c>
      <c r="T959" t="str">
        <v>Electronics</v>
      </c>
      <c r="U959" t="str">
        <f t="shared" si="100"/>
        <v>VALID</v>
      </c>
      <c r="V959" t="str">
        <f t="shared" si="101"/>
        <v>NORMAL</v>
      </c>
      <c r="W959" t="str">
        <f t="shared" si="102"/>
        <v>Valid</v>
      </c>
      <c r="X959">
        <f t="shared" si="104"/>
        <v>5282.76</v>
      </c>
      <c r="Y959">
        <f t="shared" si="103"/>
        <v>4860.1392000000005</v>
      </c>
    </row>
    <row r="960" spans="1:25" x14ac:dyDescent="0.3">
      <c r="A960" t="s">
        <v>1306</v>
      </c>
      <c r="B960" s="1">
        <v>45433</v>
      </c>
      <c r="C960" t="s">
        <v>230</v>
      </c>
      <c r="D960" t="s">
        <v>131</v>
      </c>
      <c r="E960" t="s">
        <v>132</v>
      </c>
      <c r="F960" t="s">
        <v>40</v>
      </c>
      <c r="G960" t="s">
        <v>81</v>
      </c>
      <c r="H960" t="s">
        <v>135</v>
      </c>
      <c r="I960">
        <v>3</v>
      </c>
      <c r="J960">
        <v>10120.06</v>
      </c>
      <c r="K960">
        <v>0.08</v>
      </c>
      <c r="L960">
        <v>27931.37</v>
      </c>
      <c r="M960" t="s">
        <v>76</v>
      </c>
      <c r="N960" t="s">
        <v>34</v>
      </c>
      <c r="O960" t="s">
        <v>35</v>
      </c>
      <c r="P960" t="s">
        <v>111</v>
      </c>
      <c r="Q960" t="str">
        <f t="shared" si="98"/>
        <v>Cancelled</v>
      </c>
      <c r="R960" t="str">
        <f t="shared" si="99"/>
        <v>Store</v>
      </c>
      <c r="S960" t="str">
        <v>Cash On Delivery</v>
      </c>
      <c r="T960" t="str">
        <v>Furniture</v>
      </c>
      <c r="U960" t="str">
        <f t="shared" si="100"/>
        <v>VALID</v>
      </c>
      <c r="V960" t="str">
        <f t="shared" si="101"/>
        <v>NORMAL</v>
      </c>
      <c r="W960" t="str">
        <f t="shared" si="102"/>
        <v>Valid</v>
      </c>
      <c r="X960">
        <f t="shared" si="104"/>
        <v>30360.18</v>
      </c>
      <c r="Y960">
        <f t="shared" si="103"/>
        <v>27931.365600000001</v>
      </c>
    </row>
    <row r="961" spans="1:25" x14ac:dyDescent="0.3">
      <c r="A961" t="s">
        <v>1307</v>
      </c>
      <c r="B961" s="1">
        <v>45497</v>
      </c>
      <c r="C961" t="s">
        <v>406</v>
      </c>
      <c r="D961" t="s">
        <v>121</v>
      </c>
      <c r="E961" t="s">
        <v>122</v>
      </c>
      <c r="F961" t="s">
        <v>55</v>
      </c>
      <c r="G961" t="s">
        <v>56</v>
      </c>
      <c r="H961" t="s">
        <v>101</v>
      </c>
      <c r="I961">
        <v>1</v>
      </c>
      <c r="J961">
        <v>444.29</v>
      </c>
      <c r="K961">
        <v>0</v>
      </c>
      <c r="L961">
        <v>444.29</v>
      </c>
      <c r="M961" t="s">
        <v>23</v>
      </c>
      <c r="O961" t="s">
        <v>65</v>
      </c>
      <c r="P961" t="s">
        <v>116</v>
      </c>
      <c r="Q961" t="str">
        <f t="shared" si="98"/>
        <v>Completed</v>
      </c>
      <c r="R961" t="str">
        <f t="shared" si="99"/>
        <v>Online</v>
      </c>
      <c r="S961" t="str">
        <v/>
      </c>
      <c r="T961" t="str">
        <v>Stationery</v>
      </c>
      <c r="U961" t="str">
        <f t="shared" si="100"/>
        <v>VALID</v>
      </c>
      <c r="V961" t="str">
        <f t="shared" si="101"/>
        <v>NORMAL</v>
      </c>
      <c r="W961" t="str">
        <f t="shared" si="102"/>
        <v>Valid</v>
      </c>
      <c r="X961">
        <f t="shared" si="104"/>
        <v>444.29</v>
      </c>
      <c r="Y961">
        <f t="shared" si="103"/>
        <v>444.29</v>
      </c>
    </row>
    <row r="962" spans="1:25" x14ac:dyDescent="0.3">
      <c r="A962" t="s">
        <v>1308</v>
      </c>
      <c r="B962" s="1">
        <v>46172</v>
      </c>
      <c r="C962" t="s">
        <v>460</v>
      </c>
      <c r="D962" t="s">
        <v>176</v>
      </c>
      <c r="E962" t="s">
        <v>177</v>
      </c>
      <c r="F962" t="s">
        <v>31</v>
      </c>
      <c r="G962" t="s">
        <v>81</v>
      </c>
      <c r="H962" t="s">
        <v>98</v>
      </c>
      <c r="I962">
        <v>1</v>
      </c>
      <c r="J962">
        <v>2302.67</v>
      </c>
      <c r="K962">
        <v>0.05</v>
      </c>
      <c r="L962">
        <v>2187.54</v>
      </c>
      <c r="M962" t="s">
        <v>23</v>
      </c>
      <c r="N962" t="s">
        <v>24</v>
      </c>
      <c r="O962" t="s">
        <v>65</v>
      </c>
      <c r="P962" t="s">
        <v>42</v>
      </c>
      <c r="Q962" t="str">
        <f t="shared" si="98"/>
        <v>Completed</v>
      </c>
      <c r="R962" t="str">
        <f t="shared" si="99"/>
        <v>Online</v>
      </c>
      <c r="S962" t="str">
        <v>Debit Card</v>
      </c>
      <c r="T962" t="str">
        <v>Electronics</v>
      </c>
      <c r="U962" t="str">
        <f t="shared" si="100"/>
        <v>VALID</v>
      </c>
      <c r="V962" t="str">
        <f t="shared" si="101"/>
        <v>NORMAL</v>
      </c>
      <c r="W962" t="str">
        <f t="shared" si="102"/>
        <v>Valid</v>
      </c>
      <c r="X962">
        <f t="shared" si="104"/>
        <v>2302.67</v>
      </c>
      <c r="Y962">
        <f t="shared" si="103"/>
        <v>2187.5365000000002</v>
      </c>
    </row>
    <row r="963" spans="1:25" x14ac:dyDescent="0.3">
      <c r="A963" t="s">
        <v>1309</v>
      </c>
      <c r="B963" s="1">
        <v>46147</v>
      </c>
      <c r="C963" t="s">
        <v>651</v>
      </c>
      <c r="D963" t="s">
        <v>176</v>
      </c>
      <c r="E963" t="s">
        <v>177</v>
      </c>
      <c r="F963" t="s">
        <v>31</v>
      </c>
      <c r="G963" t="s">
        <v>32</v>
      </c>
      <c r="H963" t="s">
        <v>47</v>
      </c>
      <c r="I963">
        <v>2</v>
      </c>
      <c r="J963">
        <v>2157.2800000000002</v>
      </c>
      <c r="K963">
        <v>0.1</v>
      </c>
      <c r="L963">
        <v>3883.1</v>
      </c>
      <c r="M963" t="s">
        <v>23</v>
      </c>
      <c r="N963" t="s">
        <v>58</v>
      </c>
      <c r="O963" t="s">
        <v>65</v>
      </c>
      <c r="P963" t="s">
        <v>59</v>
      </c>
      <c r="Q963" t="str">
        <f t="shared" ref="Q963:Q1026" si="105">PROPER(O963)</f>
        <v>Completed</v>
      </c>
      <c r="R963" t="str">
        <f t="shared" ref="R963:R1026" si="106">PROPER(M963)</f>
        <v>Online</v>
      </c>
      <c r="S963" t="str">
        <v>Credit Card</v>
      </c>
      <c r="T963" t="str">
        <v>Electronics</v>
      </c>
      <c r="U963" t="str">
        <f t="shared" ref="U963:U1026" si="107">IF(I963&lt;=0,"INVALID","VALID")</f>
        <v>VALID</v>
      </c>
      <c r="V963" t="str">
        <f t="shared" ref="V963:V1026" si="108">IF(I963&gt;100,"REVIEW","NORMAL")</f>
        <v>NORMAL</v>
      </c>
      <c r="W963" t="str">
        <f t="shared" ref="W963:W1026" si="109">IF(OR(K963&lt;0,K963&gt;1),"Invalid","Valid")</f>
        <v>Valid</v>
      </c>
      <c r="X963">
        <f t="shared" si="104"/>
        <v>4314.5600000000004</v>
      </c>
      <c r="Y963">
        <f t="shared" ref="Y963:Y1026" si="110">I963*J963-(I963*J963*K963)</f>
        <v>3883.1040000000003</v>
      </c>
    </row>
    <row r="964" spans="1:25" x14ac:dyDescent="0.3">
      <c r="A964" t="s">
        <v>1310</v>
      </c>
      <c r="B964" s="1">
        <v>45578</v>
      </c>
      <c r="C964" t="s">
        <v>839</v>
      </c>
      <c r="D964" t="s">
        <v>105</v>
      </c>
      <c r="E964" t="s">
        <v>106</v>
      </c>
      <c r="F964" t="s">
        <v>40</v>
      </c>
      <c r="G964" t="s">
        <v>56</v>
      </c>
      <c r="H964" t="s">
        <v>57</v>
      </c>
      <c r="I964">
        <v>5</v>
      </c>
      <c r="J964">
        <v>7373.82</v>
      </c>
      <c r="K964">
        <v>0.1</v>
      </c>
      <c r="L964">
        <v>33182.19</v>
      </c>
      <c r="M964" t="s">
        <v>23</v>
      </c>
      <c r="N964" t="s">
        <v>34</v>
      </c>
      <c r="O964" t="s">
        <v>65</v>
      </c>
      <c r="P964" t="s">
        <v>26</v>
      </c>
      <c r="Q964" t="str">
        <f t="shared" si="105"/>
        <v>Completed</v>
      </c>
      <c r="R964" t="str">
        <f t="shared" si="106"/>
        <v>Online</v>
      </c>
      <c r="S964" t="str">
        <v>Cash On Delivery</v>
      </c>
      <c r="T964" t="str">
        <v>Furniture</v>
      </c>
      <c r="U964" t="str">
        <f t="shared" si="107"/>
        <v>VALID</v>
      </c>
      <c r="V964" t="str">
        <f t="shared" si="108"/>
        <v>NORMAL</v>
      </c>
      <c r="W964" t="str">
        <f t="shared" si="109"/>
        <v>Valid</v>
      </c>
      <c r="X964">
        <f t="shared" ref="X964:X1027" si="111">I964*J964</f>
        <v>36869.1</v>
      </c>
      <c r="Y964">
        <f t="shared" si="110"/>
        <v>33182.19</v>
      </c>
    </row>
    <row r="965" spans="1:25" x14ac:dyDescent="0.3">
      <c r="A965" t="s">
        <v>1311</v>
      </c>
      <c r="B965" s="1">
        <v>45515</v>
      </c>
      <c r="C965" t="s">
        <v>357</v>
      </c>
      <c r="D965" t="s">
        <v>96</v>
      </c>
      <c r="E965" t="s">
        <v>97</v>
      </c>
      <c r="F965" t="s">
        <v>31</v>
      </c>
      <c r="G965" t="s">
        <v>32</v>
      </c>
      <c r="I965">
        <v>3</v>
      </c>
      <c r="J965">
        <v>1114.43</v>
      </c>
      <c r="K965">
        <v>0</v>
      </c>
      <c r="L965">
        <v>3343.29</v>
      </c>
      <c r="M965" t="s">
        <v>48</v>
      </c>
      <c r="N965" t="s">
        <v>24</v>
      </c>
      <c r="O965" t="s">
        <v>65</v>
      </c>
      <c r="P965" t="s">
        <v>111</v>
      </c>
      <c r="Q965" t="str">
        <f t="shared" si="105"/>
        <v>Completed</v>
      </c>
      <c r="R965" t="str">
        <f t="shared" si="106"/>
        <v>Marketplace</v>
      </c>
      <c r="S965" t="str">
        <v>Debit Card</v>
      </c>
      <c r="T965" t="str">
        <v>Electronics</v>
      </c>
      <c r="U965" t="str">
        <f t="shared" si="107"/>
        <v>VALID</v>
      </c>
      <c r="V965" t="str">
        <f t="shared" si="108"/>
        <v>NORMAL</v>
      </c>
      <c r="W965" t="str">
        <f t="shared" si="109"/>
        <v>Valid</v>
      </c>
      <c r="X965">
        <f t="shared" si="111"/>
        <v>3343.29</v>
      </c>
      <c r="Y965">
        <f t="shared" si="110"/>
        <v>3343.29</v>
      </c>
    </row>
    <row r="966" spans="1:25" x14ac:dyDescent="0.3">
      <c r="A966" t="s">
        <v>1312</v>
      </c>
      <c r="B966" s="1">
        <v>45460</v>
      </c>
      <c r="C966" t="s">
        <v>460</v>
      </c>
      <c r="D966" t="s">
        <v>96</v>
      </c>
      <c r="E966" t="s">
        <v>97</v>
      </c>
      <c r="F966" t="s">
        <v>31</v>
      </c>
      <c r="G966" t="s">
        <v>81</v>
      </c>
      <c r="H966" t="s">
        <v>135</v>
      </c>
      <c r="I966">
        <v>5</v>
      </c>
      <c r="J966">
        <v>1109.3900000000001</v>
      </c>
      <c r="K966">
        <v>0.08</v>
      </c>
      <c r="L966">
        <v>5103.1899999999996</v>
      </c>
      <c r="M966" t="s">
        <v>76</v>
      </c>
      <c r="N966" t="s">
        <v>71</v>
      </c>
      <c r="O966" t="s">
        <v>65</v>
      </c>
      <c r="P966" t="s">
        <v>116</v>
      </c>
      <c r="Q966" t="str">
        <f t="shared" si="105"/>
        <v>Completed</v>
      </c>
      <c r="R966" t="str">
        <f t="shared" si="106"/>
        <v>Store</v>
      </c>
      <c r="S966" t="str">
        <v>Upi</v>
      </c>
      <c r="T966" t="str">
        <v>Electronics</v>
      </c>
      <c r="U966" t="str">
        <f t="shared" si="107"/>
        <v>VALID</v>
      </c>
      <c r="V966" t="str">
        <f t="shared" si="108"/>
        <v>NORMAL</v>
      </c>
      <c r="W966" t="str">
        <f t="shared" si="109"/>
        <v>Valid</v>
      </c>
      <c r="X966">
        <f t="shared" si="111"/>
        <v>5546.9500000000007</v>
      </c>
      <c r="Y966">
        <f t="shared" si="110"/>
        <v>5103.1940000000004</v>
      </c>
    </row>
    <row r="967" spans="1:25" x14ac:dyDescent="0.3">
      <c r="A967" t="s">
        <v>1313</v>
      </c>
      <c r="B967" s="1">
        <v>45833</v>
      </c>
      <c r="C967" t="s">
        <v>92</v>
      </c>
      <c r="D967" t="s">
        <v>38</v>
      </c>
      <c r="E967" t="s">
        <v>39</v>
      </c>
      <c r="F967" t="s">
        <v>40</v>
      </c>
      <c r="G967" t="s">
        <v>81</v>
      </c>
      <c r="H967" t="s">
        <v>98</v>
      </c>
      <c r="I967">
        <v>1</v>
      </c>
      <c r="J967">
        <v>1658.15</v>
      </c>
      <c r="K967">
        <v>0</v>
      </c>
      <c r="L967">
        <v>1658.15</v>
      </c>
      <c r="M967" t="s">
        <v>76</v>
      </c>
      <c r="N967" t="s">
        <v>49</v>
      </c>
      <c r="O967" t="s">
        <v>65</v>
      </c>
      <c r="P967" t="s">
        <v>26</v>
      </c>
      <c r="Q967" t="str">
        <f t="shared" si="105"/>
        <v>Completed</v>
      </c>
      <c r="R967" t="str">
        <f t="shared" si="106"/>
        <v>Store</v>
      </c>
      <c r="S967" t="str">
        <v>Net Banking</v>
      </c>
      <c r="T967" t="str">
        <v>Furniture</v>
      </c>
      <c r="U967" t="str">
        <f t="shared" si="107"/>
        <v>VALID</v>
      </c>
      <c r="V967" t="str">
        <f t="shared" si="108"/>
        <v>NORMAL</v>
      </c>
      <c r="W967" t="str">
        <f t="shared" si="109"/>
        <v>Valid</v>
      </c>
      <c r="X967">
        <f t="shared" si="111"/>
        <v>1658.15</v>
      </c>
      <c r="Y967">
        <f t="shared" si="110"/>
        <v>1658.15</v>
      </c>
    </row>
    <row r="968" spans="1:25" x14ac:dyDescent="0.3">
      <c r="A968" t="s">
        <v>1314</v>
      </c>
      <c r="B968" s="1">
        <v>45677</v>
      </c>
      <c r="C968" t="s">
        <v>125</v>
      </c>
      <c r="D968" t="s">
        <v>170</v>
      </c>
      <c r="E968" t="s">
        <v>171</v>
      </c>
      <c r="F968" t="s">
        <v>31</v>
      </c>
      <c r="G968" t="s">
        <v>56</v>
      </c>
      <c r="H968" t="s">
        <v>123</v>
      </c>
      <c r="I968">
        <v>4</v>
      </c>
      <c r="J968">
        <v>63851.28</v>
      </c>
      <c r="K968">
        <v>0.1</v>
      </c>
      <c r="L968">
        <v>229864.61</v>
      </c>
      <c r="M968" t="s">
        <v>23</v>
      </c>
      <c r="N968" t="s">
        <v>34</v>
      </c>
      <c r="O968" t="s">
        <v>25</v>
      </c>
      <c r="P968" t="s">
        <v>50</v>
      </c>
      <c r="Q968" t="str">
        <f t="shared" si="105"/>
        <v>Returned</v>
      </c>
      <c r="R968" t="str">
        <f t="shared" si="106"/>
        <v>Online</v>
      </c>
      <c r="S968" t="str">
        <v>Cash On Delivery</v>
      </c>
      <c r="T968" t="str">
        <v>Electronics</v>
      </c>
      <c r="U968" t="str">
        <f t="shared" si="107"/>
        <v>VALID</v>
      </c>
      <c r="V968" t="str">
        <f t="shared" si="108"/>
        <v>NORMAL</v>
      </c>
      <c r="W968" t="str">
        <f t="shared" si="109"/>
        <v>Valid</v>
      </c>
      <c r="X968">
        <f t="shared" si="111"/>
        <v>255405.12</v>
      </c>
      <c r="Y968">
        <f t="shared" si="110"/>
        <v>229864.60800000001</v>
      </c>
    </row>
    <row r="969" spans="1:25" x14ac:dyDescent="0.3">
      <c r="A969" t="s">
        <v>1315</v>
      </c>
      <c r="B969" s="1">
        <v>45803</v>
      </c>
      <c r="C969" t="s">
        <v>476</v>
      </c>
      <c r="D969" t="s">
        <v>18</v>
      </c>
      <c r="E969" t="s">
        <v>19</v>
      </c>
      <c r="F969" t="s">
        <v>20</v>
      </c>
      <c r="G969" t="s">
        <v>21</v>
      </c>
      <c r="H969" t="s">
        <v>41</v>
      </c>
      <c r="I969">
        <v>2</v>
      </c>
      <c r="J969">
        <v>827.49</v>
      </c>
      <c r="K969">
        <v>0.2</v>
      </c>
      <c r="L969">
        <v>1323.98</v>
      </c>
      <c r="M969" t="s">
        <v>76</v>
      </c>
      <c r="N969" t="s">
        <v>49</v>
      </c>
      <c r="O969" t="s">
        <v>25</v>
      </c>
      <c r="P969" t="s">
        <v>102</v>
      </c>
      <c r="Q969" t="str">
        <f t="shared" si="105"/>
        <v>Returned</v>
      </c>
      <c r="R969" t="str">
        <f t="shared" si="106"/>
        <v>Store</v>
      </c>
      <c r="S969" t="str">
        <v>Net Banking</v>
      </c>
      <c r="T969" t="str">
        <v>Accessories</v>
      </c>
      <c r="U969" t="str">
        <f t="shared" si="107"/>
        <v>VALID</v>
      </c>
      <c r="V969" t="str">
        <f t="shared" si="108"/>
        <v>NORMAL</v>
      </c>
      <c r="W969" t="str">
        <f t="shared" si="109"/>
        <v>Valid</v>
      </c>
      <c r="X969">
        <f t="shared" si="111"/>
        <v>1654.98</v>
      </c>
      <c r="Y969">
        <f t="shared" si="110"/>
        <v>1323.9839999999999</v>
      </c>
    </row>
    <row r="970" spans="1:25" x14ac:dyDescent="0.3">
      <c r="A970" t="s">
        <v>1316</v>
      </c>
      <c r="B970" s="1">
        <v>46073</v>
      </c>
      <c r="C970" t="s">
        <v>175</v>
      </c>
      <c r="D970" t="s">
        <v>62</v>
      </c>
      <c r="E970" t="s">
        <v>63</v>
      </c>
      <c r="F970" t="s">
        <v>31</v>
      </c>
      <c r="G970" t="s">
        <v>32</v>
      </c>
      <c r="H970" t="s">
        <v>33</v>
      </c>
      <c r="I970">
        <v>5</v>
      </c>
      <c r="J970">
        <v>2932.62</v>
      </c>
      <c r="K970">
        <v>0.1</v>
      </c>
      <c r="L970">
        <v>13196.79</v>
      </c>
      <c r="M970" t="s">
        <v>48</v>
      </c>
      <c r="N970" t="s">
        <v>34</v>
      </c>
      <c r="O970" t="s">
        <v>65</v>
      </c>
      <c r="P970" t="s">
        <v>111</v>
      </c>
      <c r="Q970" t="str">
        <f t="shared" si="105"/>
        <v>Completed</v>
      </c>
      <c r="R970" t="str">
        <f t="shared" si="106"/>
        <v>Marketplace</v>
      </c>
      <c r="S970" t="str">
        <v>Cash On Delivery</v>
      </c>
      <c r="T970" t="str">
        <v>Electronics</v>
      </c>
      <c r="U970" t="str">
        <f t="shared" si="107"/>
        <v>VALID</v>
      </c>
      <c r="V970" t="str">
        <f t="shared" si="108"/>
        <v>NORMAL</v>
      </c>
      <c r="W970" t="str">
        <f t="shared" si="109"/>
        <v>Valid</v>
      </c>
      <c r="X970">
        <f t="shared" si="111"/>
        <v>14663.099999999999</v>
      </c>
      <c r="Y970">
        <f t="shared" si="110"/>
        <v>13196.789999999999</v>
      </c>
    </row>
    <row r="971" spans="1:25" x14ac:dyDescent="0.3">
      <c r="A971" t="s">
        <v>1317</v>
      </c>
      <c r="B971" s="1">
        <v>45546</v>
      </c>
      <c r="C971" t="s">
        <v>194</v>
      </c>
      <c r="D971" t="s">
        <v>121</v>
      </c>
      <c r="E971" t="s">
        <v>122</v>
      </c>
      <c r="F971" t="s">
        <v>55</v>
      </c>
      <c r="G971" t="s">
        <v>32</v>
      </c>
      <c r="H971" t="s">
        <v>75</v>
      </c>
      <c r="I971">
        <v>5</v>
      </c>
      <c r="J971">
        <v>449.97</v>
      </c>
      <c r="K971">
        <v>0.03</v>
      </c>
      <c r="L971">
        <v>2182.35</v>
      </c>
      <c r="M971" t="s">
        <v>76</v>
      </c>
      <c r="N971" t="s">
        <v>71</v>
      </c>
      <c r="O971" t="s">
        <v>65</v>
      </c>
      <c r="P971" t="s">
        <v>26</v>
      </c>
      <c r="Q971" t="str">
        <f t="shared" si="105"/>
        <v>Completed</v>
      </c>
      <c r="R971" t="str">
        <f t="shared" si="106"/>
        <v>Store</v>
      </c>
      <c r="S971" t="str">
        <v>Upi</v>
      </c>
      <c r="T971" t="str">
        <v>Stationery</v>
      </c>
      <c r="U971" t="str">
        <f t="shared" si="107"/>
        <v>VALID</v>
      </c>
      <c r="V971" t="str">
        <f t="shared" si="108"/>
        <v>NORMAL</v>
      </c>
      <c r="W971" t="str">
        <f t="shared" si="109"/>
        <v>Valid</v>
      </c>
      <c r="X971">
        <f t="shared" si="111"/>
        <v>2249.8500000000004</v>
      </c>
      <c r="Y971">
        <f t="shared" si="110"/>
        <v>2182.3545000000004</v>
      </c>
    </row>
    <row r="972" spans="1:25" x14ac:dyDescent="0.3">
      <c r="A972" t="s">
        <v>1318</v>
      </c>
      <c r="B972" s="1">
        <v>46060</v>
      </c>
      <c r="C972" t="s">
        <v>200</v>
      </c>
      <c r="D972" t="s">
        <v>96</v>
      </c>
      <c r="E972" t="s">
        <v>97</v>
      </c>
      <c r="F972" t="s">
        <v>31</v>
      </c>
      <c r="G972" t="s">
        <v>81</v>
      </c>
      <c r="H972" t="s">
        <v>98</v>
      </c>
      <c r="I972">
        <v>4</v>
      </c>
      <c r="J972">
        <v>1171.08</v>
      </c>
      <c r="K972">
        <v>0.08</v>
      </c>
      <c r="L972">
        <v>4309.57</v>
      </c>
      <c r="M972" t="s">
        <v>48</v>
      </c>
      <c r="N972" t="s">
        <v>34</v>
      </c>
      <c r="O972" t="s">
        <v>65</v>
      </c>
      <c r="P972" t="s">
        <v>42</v>
      </c>
      <c r="Q972" t="str">
        <f t="shared" si="105"/>
        <v>Completed</v>
      </c>
      <c r="R972" t="str">
        <f t="shared" si="106"/>
        <v>Marketplace</v>
      </c>
      <c r="S972" t="str">
        <v>Cash On Delivery</v>
      </c>
      <c r="T972" t="str">
        <v>Electronics</v>
      </c>
      <c r="U972" t="str">
        <f t="shared" si="107"/>
        <v>VALID</v>
      </c>
      <c r="V972" t="str">
        <f t="shared" si="108"/>
        <v>NORMAL</v>
      </c>
      <c r="W972" t="str">
        <f t="shared" si="109"/>
        <v>Valid</v>
      </c>
      <c r="X972">
        <f t="shared" si="111"/>
        <v>4684.32</v>
      </c>
      <c r="Y972">
        <f t="shared" si="110"/>
        <v>4309.5743999999995</v>
      </c>
    </row>
    <row r="973" spans="1:25" x14ac:dyDescent="0.3">
      <c r="A973" t="s">
        <v>1319</v>
      </c>
      <c r="B973" s="1">
        <v>46063</v>
      </c>
      <c r="C973" t="s">
        <v>336</v>
      </c>
      <c r="D973" t="s">
        <v>170</v>
      </c>
      <c r="E973" t="s">
        <v>171</v>
      </c>
      <c r="F973" t="s">
        <v>31</v>
      </c>
      <c r="G973" t="s">
        <v>32</v>
      </c>
      <c r="H973" t="s">
        <v>75</v>
      </c>
      <c r="I973">
        <v>5</v>
      </c>
      <c r="J973">
        <v>66995.34</v>
      </c>
      <c r="K973">
        <v>0.03</v>
      </c>
      <c r="L973">
        <v>324927.40000000002</v>
      </c>
      <c r="M973" t="s">
        <v>23</v>
      </c>
      <c r="N973" t="s">
        <v>24</v>
      </c>
      <c r="O973" t="s">
        <v>65</v>
      </c>
      <c r="P973" t="s">
        <v>26</v>
      </c>
      <c r="Q973" t="str">
        <f t="shared" si="105"/>
        <v>Completed</v>
      </c>
      <c r="R973" t="str">
        <f t="shared" si="106"/>
        <v>Online</v>
      </c>
      <c r="S973" t="str">
        <v>Debit Card</v>
      </c>
      <c r="T973" t="str">
        <v>Electronics</v>
      </c>
      <c r="U973" t="str">
        <f t="shared" si="107"/>
        <v>VALID</v>
      </c>
      <c r="V973" t="str">
        <f t="shared" si="108"/>
        <v>NORMAL</v>
      </c>
      <c r="W973" t="str">
        <f t="shared" si="109"/>
        <v>Valid</v>
      </c>
      <c r="X973">
        <f t="shared" si="111"/>
        <v>334976.69999999995</v>
      </c>
      <c r="Y973">
        <f t="shared" si="110"/>
        <v>324927.39899999998</v>
      </c>
    </row>
    <row r="974" spans="1:25" x14ac:dyDescent="0.3">
      <c r="A974" t="s">
        <v>1320</v>
      </c>
      <c r="B974" s="1">
        <v>46095</v>
      </c>
      <c r="C974" t="s">
        <v>485</v>
      </c>
      <c r="D974" t="s">
        <v>53</v>
      </c>
      <c r="E974" t="s">
        <v>54</v>
      </c>
      <c r="F974" t="s">
        <v>55</v>
      </c>
      <c r="G974" t="s">
        <v>21</v>
      </c>
      <c r="H974" t="s">
        <v>126</v>
      </c>
      <c r="I974">
        <v>4</v>
      </c>
      <c r="J974">
        <v>215.72</v>
      </c>
      <c r="K974">
        <v>0.2</v>
      </c>
      <c r="L974">
        <v>690.3</v>
      </c>
      <c r="M974" t="s">
        <v>48</v>
      </c>
      <c r="N974" t="s">
        <v>58</v>
      </c>
      <c r="O974" t="s">
        <v>65</v>
      </c>
      <c r="P974" t="s">
        <v>116</v>
      </c>
      <c r="Q974" t="str">
        <f t="shared" si="105"/>
        <v>Completed</v>
      </c>
      <c r="R974" t="str">
        <f t="shared" si="106"/>
        <v>Marketplace</v>
      </c>
      <c r="S974" t="str">
        <v>Credit Card</v>
      </c>
      <c r="T974" t="str">
        <v>Stationery</v>
      </c>
      <c r="U974" t="str">
        <f t="shared" si="107"/>
        <v>VALID</v>
      </c>
      <c r="V974" t="str">
        <f t="shared" si="108"/>
        <v>NORMAL</v>
      </c>
      <c r="W974" t="str">
        <f t="shared" si="109"/>
        <v>Valid</v>
      </c>
      <c r="X974">
        <f t="shared" si="111"/>
        <v>862.88</v>
      </c>
      <c r="Y974">
        <f t="shared" si="110"/>
        <v>690.30399999999997</v>
      </c>
    </row>
    <row r="975" spans="1:25" x14ac:dyDescent="0.3">
      <c r="A975" t="s">
        <v>1321</v>
      </c>
      <c r="B975" s="1">
        <v>45836</v>
      </c>
      <c r="C975" t="s">
        <v>949</v>
      </c>
      <c r="D975" t="s">
        <v>105</v>
      </c>
      <c r="E975" t="s">
        <v>106</v>
      </c>
      <c r="F975" t="s">
        <v>40</v>
      </c>
      <c r="G975" t="s">
        <v>81</v>
      </c>
      <c r="H975" t="s">
        <v>87</v>
      </c>
      <c r="I975">
        <v>5</v>
      </c>
      <c r="J975">
        <v>7291.06</v>
      </c>
      <c r="K975">
        <v>0.15</v>
      </c>
      <c r="L975">
        <v>30987.01</v>
      </c>
      <c r="M975" t="s">
        <v>23</v>
      </c>
      <c r="N975" t="s">
        <v>58</v>
      </c>
      <c r="O975" t="s">
        <v>65</v>
      </c>
      <c r="P975" t="s">
        <v>59</v>
      </c>
      <c r="Q975" t="str">
        <f t="shared" si="105"/>
        <v>Completed</v>
      </c>
      <c r="R975" t="str">
        <f t="shared" si="106"/>
        <v>Online</v>
      </c>
      <c r="S975" t="str">
        <v>Credit Card</v>
      </c>
      <c r="T975" t="str">
        <v>Furniture</v>
      </c>
      <c r="U975" t="str">
        <f t="shared" si="107"/>
        <v>VALID</v>
      </c>
      <c r="V975" t="str">
        <f t="shared" si="108"/>
        <v>NORMAL</v>
      </c>
      <c r="W975" t="str">
        <f t="shared" si="109"/>
        <v>Valid</v>
      </c>
      <c r="X975">
        <f t="shared" si="111"/>
        <v>36455.300000000003</v>
      </c>
      <c r="Y975">
        <f t="shared" si="110"/>
        <v>30987.005000000005</v>
      </c>
    </row>
    <row r="976" spans="1:25" x14ac:dyDescent="0.3">
      <c r="A976" t="s">
        <v>1322</v>
      </c>
      <c r="B976" s="1">
        <v>45365</v>
      </c>
      <c r="C976" t="s">
        <v>339</v>
      </c>
      <c r="D976" t="s">
        <v>89</v>
      </c>
      <c r="E976" t="s">
        <v>90</v>
      </c>
      <c r="F976" t="s">
        <v>20</v>
      </c>
      <c r="G976" t="s">
        <v>56</v>
      </c>
      <c r="H976" t="s">
        <v>57</v>
      </c>
      <c r="I976">
        <v>3</v>
      </c>
      <c r="J976">
        <v>727.58</v>
      </c>
      <c r="K976">
        <v>0.08</v>
      </c>
      <c r="L976">
        <v>2008.12</v>
      </c>
      <c r="M976" t="s">
        <v>76</v>
      </c>
      <c r="N976" t="s">
        <v>58</v>
      </c>
      <c r="O976" t="s">
        <v>65</v>
      </c>
      <c r="P976" t="s">
        <v>116</v>
      </c>
      <c r="Q976" t="str">
        <f t="shared" si="105"/>
        <v>Completed</v>
      </c>
      <c r="R976" t="str">
        <f t="shared" si="106"/>
        <v>Store</v>
      </c>
      <c r="S976" t="str">
        <v>Credit Card</v>
      </c>
      <c r="T976" t="str">
        <v>Accessories</v>
      </c>
      <c r="U976" t="str">
        <f t="shared" si="107"/>
        <v>VALID</v>
      </c>
      <c r="V976" t="str">
        <f t="shared" si="108"/>
        <v>NORMAL</v>
      </c>
      <c r="W976" t="str">
        <f t="shared" si="109"/>
        <v>Valid</v>
      </c>
      <c r="X976">
        <f t="shared" si="111"/>
        <v>2182.7400000000002</v>
      </c>
      <c r="Y976">
        <f t="shared" si="110"/>
        <v>2008.1208000000001</v>
      </c>
    </row>
    <row r="977" spans="1:25" x14ac:dyDescent="0.3">
      <c r="A977" t="s">
        <v>1323</v>
      </c>
      <c r="B977" s="1">
        <v>45599</v>
      </c>
      <c r="C977" t="s">
        <v>558</v>
      </c>
      <c r="D977" t="s">
        <v>121</v>
      </c>
      <c r="E977" t="s">
        <v>122</v>
      </c>
      <c r="F977" t="s">
        <v>55</v>
      </c>
      <c r="G977" t="s">
        <v>81</v>
      </c>
      <c r="H977" t="s">
        <v>135</v>
      </c>
      <c r="I977">
        <v>3</v>
      </c>
      <c r="J977">
        <v>476.86</v>
      </c>
      <c r="K977">
        <v>0.1</v>
      </c>
      <c r="L977">
        <v>1287.52</v>
      </c>
      <c r="M977" t="s">
        <v>23</v>
      </c>
      <c r="N977" t="s">
        <v>34</v>
      </c>
      <c r="O977" t="s">
        <v>65</v>
      </c>
      <c r="P977" t="s">
        <v>59</v>
      </c>
      <c r="Q977" t="str">
        <f t="shared" si="105"/>
        <v>Completed</v>
      </c>
      <c r="R977" t="str">
        <f t="shared" si="106"/>
        <v>Online</v>
      </c>
      <c r="S977" t="str">
        <v>Cash On Delivery</v>
      </c>
      <c r="T977" t="str">
        <v>Stationery</v>
      </c>
      <c r="U977" t="str">
        <f t="shared" si="107"/>
        <v>VALID</v>
      </c>
      <c r="V977" t="str">
        <f t="shared" si="108"/>
        <v>NORMAL</v>
      </c>
      <c r="W977" t="str">
        <f t="shared" si="109"/>
        <v>Valid</v>
      </c>
      <c r="X977">
        <f t="shared" si="111"/>
        <v>1430.58</v>
      </c>
      <c r="Y977">
        <f t="shared" si="110"/>
        <v>1287.5219999999999</v>
      </c>
    </row>
    <row r="978" spans="1:25" x14ac:dyDescent="0.3">
      <c r="A978" t="s">
        <v>1324</v>
      </c>
      <c r="B978" s="1">
        <v>45667</v>
      </c>
      <c r="C978" t="s">
        <v>151</v>
      </c>
      <c r="D978" t="s">
        <v>131</v>
      </c>
      <c r="E978" t="s">
        <v>132</v>
      </c>
      <c r="F978" t="s">
        <v>40</v>
      </c>
      <c r="G978" t="s">
        <v>32</v>
      </c>
      <c r="H978" t="s">
        <v>75</v>
      </c>
      <c r="I978">
        <v>4</v>
      </c>
      <c r="J978">
        <v>9845.1200000000008</v>
      </c>
      <c r="K978">
        <v>0.2</v>
      </c>
      <c r="L978">
        <v>31504.38</v>
      </c>
      <c r="M978" t="s">
        <v>76</v>
      </c>
      <c r="N978" t="s">
        <v>49</v>
      </c>
      <c r="O978" t="s">
        <v>35</v>
      </c>
      <c r="P978" t="s">
        <v>102</v>
      </c>
      <c r="Q978" t="str">
        <f t="shared" si="105"/>
        <v>Cancelled</v>
      </c>
      <c r="R978" t="str">
        <f t="shared" si="106"/>
        <v>Store</v>
      </c>
      <c r="S978" t="str">
        <v>Net Banking</v>
      </c>
      <c r="T978" t="str">
        <v>Furniture</v>
      </c>
      <c r="U978" t="str">
        <f t="shared" si="107"/>
        <v>VALID</v>
      </c>
      <c r="V978" t="str">
        <f t="shared" si="108"/>
        <v>NORMAL</v>
      </c>
      <c r="W978" t="str">
        <f t="shared" si="109"/>
        <v>Valid</v>
      </c>
      <c r="X978">
        <f t="shared" si="111"/>
        <v>39380.480000000003</v>
      </c>
      <c r="Y978">
        <f t="shared" si="110"/>
        <v>31504.384000000002</v>
      </c>
    </row>
    <row r="979" spans="1:25" x14ac:dyDescent="0.3">
      <c r="A979" t="s">
        <v>1325</v>
      </c>
      <c r="B979" s="1">
        <v>45996</v>
      </c>
      <c r="C979" t="s">
        <v>483</v>
      </c>
      <c r="D979" t="s">
        <v>176</v>
      </c>
      <c r="E979" t="s">
        <v>177</v>
      </c>
      <c r="F979" t="s">
        <v>31</v>
      </c>
      <c r="G979" t="s">
        <v>32</v>
      </c>
      <c r="H979" t="s">
        <v>33</v>
      </c>
      <c r="J979">
        <v>2176.48</v>
      </c>
      <c r="K979">
        <v>0.15</v>
      </c>
      <c r="L979">
        <v>1850.01</v>
      </c>
      <c r="M979" t="s">
        <v>48</v>
      </c>
      <c r="N979" t="s">
        <v>24</v>
      </c>
      <c r="O979" t="s">
        <v>65</v>
      </c>
      <c r="P979" t="s">
        <v>42</v>
      </c>
      <c r="Q979" t="str">
        <f t="shared" si="105"/>
        <v>Completed</v>
      </c>
      <c r="R979" t="str">
        <f t="shared" si="106"/>
        <v>Marketplace</v>
      </c>
      <c r="S979" t="str">
        <v>Debit Card</v>
      </c>
      <c r="T979" t="str">
        <v>Electronics</v>
      </c>
      <c r="U979" t="str">
        <f t="shared" si="107"/>
        <v>INVALID</v>
      </c>
      <c r="V979" t="str">
        <f t="shared" si="108"/>
        <v>NORMAL</v>
      </c>
      <c r="W979" t="str">
        <f t="shared" si="109"/>
        <v>Valid</v>
      </c>
      <c r="X979">
        <f t="shared" si="111"/>
        <v>0</v>
      </c>
      <c r="Y979">
        <f t="shared" si="110"/>
        <v>0</v>
      </c>
    </row>
    <row r="980" spans="1:25" x14ac:dyDescent="0.3">
      <c r="A980" t="s">
        <v>1326</v>
      </c>
      <c r="B980" s="1">
        <v>45675</v>
      </c>
      <c r="C980" t="s">
        <v>339</v>
      </c>
      <c r="D980" t="s">
        <v>89</v>
      </c>
      <c r="E980" t="s">
        <v>90</v>
      </c>
      <c r="F980" t="s">
        <v>20</v>
      </c>
      <c r="G980" t="s">
        <v>81</v>
      </c>
      <c r="H980" t="s">
        <v>98</v>
      </c>
      <c r="I980">
        <v>3</v>
      </c>
      <c r="J980">
        <v>683</v>
      </c>
      <c r="K980">
        <v>0.15</v>
      </c>
      <c r="L980">
        <v>1741.65</v>
      </c>
      <c r="M980" t="s">
        <v>76</v>
      </c>
      <c r="N980" t="s">
        <v>34</v>
      </c>
      <c r="O980" t="s">
        <v>65</v>
      </c>
      <c r="P980" t="s">
        <v>59</v>
      </c>
      <c r="Q980" t="str">
        <f t="shared" si="105"/>
        <v>Completed</v>
      </c>
      <c r="R980" t="str">
        <f t="shared" si="106"/>
        <v>Store</v>
      </c>
      <c r="S980" t="str">
        <v>Cash On Delivery</v>
      </c>
      <c r="T980" t="str">
        <v>Accessories</v>
      </c>
      <c r="U980" t="str">
        <f t="shared" si="107"/>
        <v>VALID</v>
      </c>
      <c r="V980" t="str">
        <f t="shared" si="108"/>
        <v>NORMAL</v>
      </c>
      <c r="W980" t="str">
        <f t="shared" si="109"/>
        <v>Valid</v>
      </c>
      <c r="X980">
        <f t="shared" si="111"/>
        <v>2049</v>
      </c>
      <c r="Y980">
        <f t="shared" si="110"/>
        <v>1741.65</v>
      </c>
    </row>
    <row r="981" spans="1:25" x14ac:dyDescent="0.3">
      <c r="A981" t="s">
        <v>1327</v>
      </c>
      <c r="B981" s="1">
        <v>45409</v>
      </c>
      <c r="C981" t="s">
        <v>663</v>
      </c>
      <c r="D981" t="s">
        <v>89</v>
      </c>
      <c r="E981" t="s">
        <v>90</v>
      </c>
      <c r="F981" t="s">
        <v>20</v>
      </c>
      <c r="G981" t="s">
        <v>32</v>
      </c>
      <c r="H981" t="s">
        <v>68</v>
      </c>
      <c r="I981">
        <v>5</v>
      </c>
      <c r="J981">
        <v>692.45</v>
      </c>
      <c r="K981">
        <v>0.05</v>
      </c>
      <c r="L981">
        <v>3289.14</v>
      </c>
      <c r="M981" t="s">
        <v>76</v>
      </c>
      <c r="N981" t="s">
        <v>24</v>
      </c>
      <c r="O981" t="s">
        <v>65</v>
      </c>
      <c r="P981" t="s">
        <v>26</v>
      </c>
      <c r="Q981" t="str">
        <f t="shared" si="105"/>
        <v>Completed</v>
      </c>
      <c r="R981" t="str">
        <f t="shared" si="106"/>
        <v>Store</v>
      </c>
      <c r="S981" t="str">
        <v>Debit Card</v>
      </c>
      <c r="T981" t="str">
        <v>Accessories</v>
      </c>
      <c r="U981" t="str">
        <f t="shared" si="107"/>
        <v>VALID</v>
      </c>
      <c r="V981" t="str">
        <f t="shared" si="108"/>
        <v>NORMAL</v>
      </c>
      <c r="W981" t="str">
        <f t="shared" si="109"/>
        <v>Valid</v>
      </c>
      <c r="X981">
        <f t="shared" si="111"/>
        <v>3462.25</v>
      </c>
      <c r="Y981">
        <f t="shared" si="110"/>
        <v>3289.1374999999998</v>
      </c>
    </row>
    <row r="982" spans="1:25" x14ac:dyDescent="0.3">
      <c r="A982" t="s">
        <v>1328</v>
      </c>
      <c r="B982" s="1">
        <v>45709</v>
      </c>
      <c r="C982" t="s">
        <v>871</v>
      </c>
      <c r="D982" t="s">
        <v>62</v>
      </c>
      <c r="E982" t="s">
        <v>63</v>
      </c>
      <c r="F982" t="s">
        <v>31</v>
      </c>
      <c r="G982" t="s">
        <v>56</v>
      </c>
      <c r="H982" t="s">
        <v>57</v>
      </c>
      <c r="I982">
        <v>1</v>
      </c>
      <c r="J982">
        <v>2891.31</v>
      </c>
      <c r="K982">
        <v>0.05</v>
      </c>
      <c r="L982">
        <v>2746.74</v>
      </c>
      <c r="M982" t="s">
        <v>23</v>
      </c>
      <c r="N982" t="s">
        <v>49</v>
      </c>
      <c r="O982" t="s">
        <v>65</v>
      </c>
      <c r="P982" t="s">
        <v>42</v>
      </c>
      <c r="Q982" t="str">
        <f t="shared" si="105"/>
        <v>Completed</v>
      </c>
      <c r="R982" t="str">
        <f t="shared" si="106"/>
        <v>Online</v>
      </c>
      <c r="S982" t="str">
        <v>Net Banking</v>
      </c>
      <c r="T982" t="str">
        <v>Electronics</v>
      </c>
      <c r="U982" t="str">
        <f t="shared" si="107"/>
        <v>VALID</v>
      </c>
      <c r="V982" t="str">
        <f t="shared" si="108"/>
        <v>NORMAL</v>
      </c>
      <c r="W982" t="str">
        <f t="shared" si="109"/>
        <v>Valid</v>
      </c>
      <c r="X982">
        <f t="shared" si="111"/>
        <v>2891.31</v>
      </c>
      <c r="Y982">
        <f t="shared" si="110"/>
        <v>2746.7444999999998</v>
      </c>
    </row>
    <row r="983" spans="1:25" x14ac:dyDescent="0.3">
      <c r="A983" t="s">
        <v>1329</v>
      </c>
      <c r="B983" s="1">
        <v>45562</v>
      </c>
      <c r="C983" t="s">
        <v>137</v>
      </c>
      <c r="D983" t="s">
        <v>29</v>
      </c>
      <c r="E983" t="s">
        <v>30</v>
      </c>
      <c r="F983" t="s">
        <v>31</v>
      </c>
      <c r="G983" t="s">
        <v>32</v>
      </c>
      <c r="H983" t="s">
        <v>75</v>
      </c>
      <c r="I983">
        <v>2</v>
      </c>
      <c r="J983">
        <v>3180.96</v>
      </c>
      <c r="K983">
        <v>0.05</v>
      </c>
      <c r="L983">
        <v>6043.82</v>
      </c>
      <c r="M983" t="s">
        <v>23</v>
      </c>
      <c r="N983" t="s">
        <v>34</v>
      </c>
      <c r="O983" t="s">
        <v>65</v>
      </c>
      <c r="P983" t="s">
        <v>26</v>
      </c>
      <c r="Q983" t="str">
        <f t="shared" si="105"/>
        <v>Completed</v>
      </c>
      <c r="R983" t="str">
        <f t="shared" si="106"/>
        <v>Online</v>
      </c>
      <c r="S983" t="str">
        <v>Cash On Delivery</v>
      </c>
      <c r="T983" t="str">
        <v>Electronics</v>
      </c>
      <c r="U983" t="str">
        <f t="shared" si="107"/>
        <v>VALID</v>
      </c>
      <c r="V983" t="str">
        <f t="shared" si="108"/>
        <v>NORMAL</v>
      </c>
      <c r="W983" t="str">
        <f t="shared" si="109"/>
        <v>Valid</v>
      </c>
      <c r="X983">
        <f t="shared" si="111"/>
        <v>6361.92</v>
      </c>
      <c r="Y983">
        <f t="shared" si="110"/>
        <v>6043.8240000000005</v>
      </c>
    </row>
    <row r="984" spans="1:25" x14ac:dyDescent="0.3">
      <c r="A984" t="s">
        <v>1330</v>
      </c>
      <c r="B984" s="1">
        <v>45686</v>
      </c>
      <c r="C984" t="s">
        <v>206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I984">
        <v>1</v>
      </c>
      <c r="J984">
        <v>819.5</v>
      </c>
      <c r="K984">
        <v>0.03</v>
      </c>
      <c r="L984">
        <v>794.91</v>
      </c>
      <c r="M984" t="s">
        <v>23</v>
      </c>
      <c r="N984" t="s">
        <v>34</v>
      </c>
      <c r="O984" t="s">
        <v>25</v>
      </c>
      <c r="P984" t="s">
        <v>59</v>
      </c>
      <c r="Q984" t="str">
        <f t="shared" si="105"/>
        <v>Returned</v>
      </c>
      <c r="R984" t="str">
        <f t="shared" si="106"/>
        <v>Online</v>
      </c>
      <c r="S984" t="str">
        <v>Cash On Delivery</v>
      </c>
      <c r="T984" t="str">
        <v>Accessories</v>
      </c>
      <c r="U984" t="str">
        <f t="shared" si="107"/>
        <v>VALID</v>
      </c>
      <c r="V984" t="str">
        <f t="shared" si="108"/>
        <v>NORMAL</v>
      </c>
      <c r="W984" t="str">
        <f t="shared" si="109"/>
        <v>Valid</v>
      </c>
      <c r="X984">
        <f t="shared" si="111"/>
        <v>819.5</v>
      </c>
      <c r="Y984">
        <f t="shared" si="110"/>
        <v>794.91499999999996</v>
      </c>
    </row>
    <row r="985" spans="1:25" x14ac:dyDescent="0.3">
      <c r="A985" t="s">
        <v>1331</v>
      </c>
      <c r="B985" s="1">
        <v>45475</v>
      </c>
      <c r="C985" t="s">
        <v>210</v>
      </c>
      <c r="D985" t="s">
        <v>121</v>
      </c>
      <c r="E985" t="s">
        <v>122</v>
      </c>
      <c r="F985" t="s">
        <v>55</v>
      </c>
      <c r="G985" t="s">
        <v>81</v>
      </c>
      <c r="H985" t="s">
        <v>98</v>
      </c>
      <c r="I985">
        <v>3</v>
      </c>
      <c r="J985">
        <v>436.96</v>
      </c>
      <c r="K985">
        <v>0.1</v>
      </c>
      <c r="L985">
        <v>1179.79</v>
      </c>
      <c r="M985" t="s">
        <v>76</v>
      </c>
      <c r="N985" t="s">
        <v>49</v>
      </c>
      <c r="O985" t="s">
        <v>65</v>
      </c>
      <c r="P985" t="s">
        <v>111</v>
      </c>
      <c r="Q985" t="str">
        <f t="shared" si="105"/>
        <v>Completed</v>
      </c>
      <c r="R985" t="str">
        <f t="shared" si="106"/>
        <v>Store</v>
      </c>
      <c r="S985" t="str">
        <v>Net Banking</v>
      </c>
      <c r="T985" t="str">
        <v>Stationery</v>
      </c>
      <c r="U985" t="str">
        <f t="shared" si="107"/>
        <v>VALID</v>
      </c>
      <c r="V985" t="str">
        <f t="shared" si="108"/>
        <v>NORMAL</v>
      </c>
      <c r="W985" t="str">
        <f t="shared" si="109"/>
        <v>Valid</v>
      </c>
      <c r="X985">
        <f t="shared" si="111"/>
        <v>1310.8799999999999</v>
      </c>
      <c r="Y985">
        <f t="shared" si="110"/>
        <v>1179.7919999999999</v>
      </c>
    </row>
    <row r="986" spans="1:25" x14ac:dyDescent="0.3">
      <c r="A986" t="s">
        <v>1332</v>
      </c>
      <c r="B986" s="1">
        <v>45711</v>
      </c>
      <c r="C986" t="s">
        <v>548</v>
      </c>
      <c r="D986" t="s">
        <v>18</v>
      </c>
      <c r="E986" t="s">
        <v>19</v>
      </c>
      <c r="F986" t="s">
        <v>20</v>
      </c>
      <c r="G986" t="s">
        <v>56</v>
      </c>
      <c r="H986" t="s">
        <v>57</v>
      </c>
      <c r="I986">
        <v>1</v>
      </c>
      <c r="J986">
        <v>892.66</v>
      </c>
      <c r="K986">
        <v>0</v>
      </c>
      <c r="L986">
        <v>892.66</v>
      </c>
      <c r="M986" t="s">
        <v>23</v>
      </c>
      <c r="N986" t="s">
        <v>58</v>
      </c>
      <c r="O986" t="s">
        <v>65</v>
      </c>
      <c r="P986" t="s">
        <v>72</v>
      </c>
      <c r="Q986" t="str">
        <f t="shared" si="105"/>
        <v>Completed</v>
      </c>
      <c r="R986" t="str">
        <f t="shared" si="106"/>
        <v>Online</v>
      </c>
      <c r="S986" t="str">
        <v>Credit Card</v>
      </c>
      <c r="T986" t="str">
        <v>Accessories</v>
      </c>
      <c r="U986" t="str">
        <f t="shared" si="107"/>
        <v>VALID</v>
      </c>
      <c r="V986" t="str">
        <f t="shared" si="108"/>
        <v>NORMAL</v>
      </c>
      <c r="W986" t="str">
        <f t="shared" si="109"/>
        <v>Valid</v>
      </c>
      <c r="X986">
        <f t="shared" si="111"/>
        <v>892.66</v>
      </c>
      <c r="Y986">
        <f t="shared" si="110"/>
        <v>892.66</v>
      </c>
    </row>
    <row r="987" spans="1:25" x14ac:dyDescent="0.3">
      <c r="A987" t="s">
        <v>1333</v>
      </c>
      <c r="B987" s="1">
        <v>45294</v>
      </c>
      <c r="C987" t="s">
        <v>70</v>
      </c>
      <c r="D987" t="s">
        <v>96</v>
      </c>
      <c r="E987" t="s">
        <v>97</v>
      </c>
      <c r="F987" t="s">
        <v>31</v>
      </c>
      <c r="G987" t="s">
        <v>21</v>
      </c>
      <c r="H987" t="s">
        <v>41</v>
      </c>
      <c r="I987">
        <v>1</v>
      </c>
      <c r="J987">
        <v>1243.05</v>
      </c>
      <c r="K987">
        <v>0.03</v>
      </c>
      <c r="L987">
        <v>1205.76</v>
      </c>
      <c r="M987" t="s">
        <v>23</v>
      </c>
      <c r="N987" t="s">
        <v>58</v>
      </c>
      <c r="O987" t="s">
        <v>65</v>
      </c>
      <c r="P987" t="s">
        <v>26</v>
      </c>
      <c r="Q987" t="str">
        <f t="shared" si="105"/>
        <v>Completed</v>
      </c>
      <c r="R987" t="str">
        <f t="shared" si="106"/>
        <v>Online</v>
      </c>
      <c r="S987" t="str">
        <v>Credit Card</v>
      </c>
      <c r="T987" t="str">
        <v>Electronics</v>
      </c>
      <c r="U987" t="str">
        <f t="shared" si="107"/>
        <v>VALID</v>
      </c>
      <c r="V987" t="str">
        <f t="shared" si="108"/>
        <v>NORMAL</v>
      </c>
      <c r="W987" t="str">
        <f t="shared" si="109"/>
        <v>Valid</v>
      </c>
      <c r="X987">
        <f t="shared" si="111"/>
        <v>1243.05</v>
      </c>
      <c r="Y987">
        <f t="shared" si="110"/>
        <v>1205.7584999999999</v>
      </c>
    </row>
    <row r="988" spans="1:25" x14ac:dyDescent="0.3">
      <c r="A988" t="s">
        <v>1334</v>
      </c>
      <c r="B988" s="1">
        <v>45410</v>
      </c>
      <c r="C988" t="s">
        <v>480</v>
      </c>
      <c r="D988" t="s">
        <v>79</v>
      </c>
      <c r="E988" t="s">
        <v>80</v>
      </c>
      <c r="F988" t="s">
        <v>31</v>
      </c>
      <c r="G988" t="s">
        <v>56</v>
      </c>
      <c r="H988" t="s">
        <v>123</v>
      </c>
      <c r="I988">
        <v>1</v>
      </c>
      <c r="J988">
        <v>12368.01</v>
      </c>
      <c r="K988">
        <v>0.05</v>
      </c>
      <c r="L988">
        <v>11749.61</v>
      </c>
      <c r="M988" t="s">
        <v>48</v>
      </c>
      <c r="N988" t="s">
        <v>24</v>
      </c>
      <c r="O988" t="s">
        <v>413</v>
      </c>
      <c r="P988" t="s">
        <v>102</v>
      </c>
      <c r="Q988" t="str">
        <f t="shared" si="105"/>
        <v>Completed</v>
      </c>
      <c r="R988" t="str">
        <f t="shared" si="106"/>
        <v>Marketplace</v>
      </c>
      <c r="S988" t="str">
        <v>Debit Card</v>
      </c>
      <c r="T988" t="str">
        <v>Electronics</v>
      </c>
      <c r="U988" t="str">
        <f t="shared" si="107"/>
        <v>VALID</v>
      </c>
      <c r="V988" t="str">
        <f t="shared" si="108"/>
        <v>NORMAL</v>
      </c>
      <c r="W988" t="str">
        <f t="shared" si="109"/>
        <v>Valid</v>
      </c>
      <c r="X988">
        <f t="shared" si="111"/>
        <v>12368.01</v>
      </c>
      <c r="Y988">
        <f t="shared" si="110"/>
        <v>11749.6095</v>
      </c>
    </row>
    <row r="989" spans="1:25" x14ac:dyDescent="0.3">
      <c r="A989" t="s">
        <v>1335</v>
      </c>
      <c r="B989" s="1">
        <v>45435</v>
      </c>
      <c r="C989" t="s">
        <v>1013</v>
      </c>
      <c r="D989" t="s">
        <v>96</v>
      </c>
      <c r="E989" t="s">
        <v>97</v>
      </c>
      <c r="F989" t="s">
        <v>31</v>
      </c>
      <c r="G989" t="s">
        <v>56</v>
      </c>
      <c r="H989" t="s">
        <v>101</v>
      </c>
      <c r="I989">
        <v>2</v>
      </c>
      <c r="J989">
        <v>1272.58</v>
      </c>
      <c r="K989">
        <v>0.03</v>
      </c>
      <c r="L989">
        <v>2468.81</v>
      </c>
      <c r="M989" t="s">
        <v>23</v>
      </c>
      <c r="N989" t="s">
        <v>58</v>
      </c>
      <c r="O989" t="s">
        <v>65</v>
      </c>
      <c r="P989" t="s">
        <v>116</v>
      </c>
      <c r="Q989" t="str">
        <f t="shared" si="105"/>
        <v>Completed</v>
      </c>
      <c r="R989" t="str">
        <f t="shared" si="106"/>
        <v>Online</v>
      </c>
      <c r="S989" t="str">
        <v>Credit Card</v>
      </c>
      <c r="T989" t="str">
        <v>Electronics</v>
      </c>
      <c r="U989" t="str">
        <f t="shared" si="107"/>
        <v>VALID</v>
      </c>
      <c r="V989" t="str">
        <f t="shared" si="108"/>
        <v>NORMAL</v>
      </c>
      <c r="W989" t="str">
        <f t="shared" si="109"/>
        <v>Valid</v>
      </c>
      <c r="X989">
        <f t="shared" si="111"/>
        <v>2545.16</v>
      </c>
      <c r="Y989">
        <f t="shared" si="110"/>
        <v>2468.8051999999998</v>
      </c>
    </row>
    <row r="990" spans="1:25" x14ac:dyDescent="0.3">
      <c r="A990" t="s">
        <v>1336</v>
      </c>
      <c r="B990" s="1">
        <v>45925</v>
      </c>
      <c r="C990" t="s">
        <v>1337</v>
      </c>
      <c r="D990" t="s">
        <v>29</v>
      </c>
      <c r="E990" t="s">
        <v>30</v>
      </c>
      <c r="F990" t="s">
        <v>31</v>
      </c>
      <c r="G990" t="s">
        <v>56</v>
      </c>
      <c r="H990" t="s">
        <v>123</v>
      </c>
      <c r="I990">
        <v>4</v>
      </c>
      <c r="J990">
        <v>2955.53</v>
      </c>
      <c r="K990">
        <v>0.03</v>
      </c>
      <c r="L990">
        <v>11467.46</v>
      </c>
      <c r="M990" t="s">
        <v>23</v>
      </c>
      <c r="N990" t="s">
        <v>58</v>
      </c>
      <c r="O990" t="s">
        <v>65</v>
      </c>
      <c r="P990" t="s">
        <v>50</v>
      </c>
      <c r="Q990" t="str">
        <f t="shared" si="105"/>
        <v>Completed</v>
      </c>
      <c r="R990" t="str">
        <f t="shared" si="106"/>
        <v>Online</v>
      </c>
      <c r="S990" t="str">
        <v>Credit Card</v>
      </c>
      <c r="T990" t="str">
        <v>Electronics</v>
      </c>
      <c r="U990" t="str">
        <f t="shared" si="107"/>
        <v>VALID</v>
      </c>
      <c r="V990" t="str">
        <f t="shared" si="108"/>
        <v>NORMAL</v>
      </c>
      <c r="W990" t="str">
        <f t="shared" si="109"/>
        <v>Valid</v>
      </c>
      <c r="X990">
        <f t="shared" si="111"/>
        <v>11822.12</v>
      </c>
      <c r="Y990">
        <f t="shared" si="110"/>
        <v>11467.456400000001</v>
      </c>
    </row>
    <row r="991" spans="1:25" x14ac:dyDescent="0.3">
      <c r="A991" t="s">
        <v>1338</v>
      </c>
      <c r="B991" s="1">
        <v>45717</v>
      </c>
      <c r="C991" t="s">
        <v>227</v>
      </c>
      <c r="D991" t="s">
        <v>62</v>
      </c>
      <c r="E991" t="s">
        <v>63</v>
      </c>
      <c r="F991" t="s">
        <v>31</v>
      </c>
      <c r="G991" t="s">
        <v>81</v>
      </c>
      <c r="H991" t="s">
        <v>98</v>
      </c>
      <c r="I991">
        <v>5</v>
      </c>
      <c r="J991">
        <v>2773.85</v>
      </c>
      <c r="K991">
        <v>0.05</v>
      </c>
      <c r="L991">
        <v>13175.79</v>
      </c>
      <c r="M991" t="s">
        <v>76</v>
      </c>
      <c r="N991" t="s">
        <v>34</v>
      </c>
      <c r="O991" t="s">
        <v>65</v>
      </c>
      <c r="P991" t="s">
        <v>116</v>
      </c>
      <c r="Q991" t="str">
        <f t="shared" si="105"/>
        <v>Completed</v>
      </c>
      <c r="R991" t="str">
        <f t="shared" si="106"/>
        <v>Store</v>
      </c>
      <c r="S991" t="str">
        <v>Cash On Delivery</v>
      </c>
      <c r="T991" t="str">
        <v>Electronics</v>
      </c>
      <c r="U991" t="str">
        <f t="shared" si="107"/>
        <v>VALID</v>
      </c>
      <c r="V991" t="str">
        <f t="shared" si="108"/>
        <v>NORMAL</v>
      </c>
      <c r="W991" t="str">
        <f t="shared" si="109"/>
        <v>Valid</v>
      </c>
      <c r="X991">
        <f t="shared" si="111"/>
        <v>13869.25</v>
      </c>
      <c r="Y991">
        <f t="shared" si="110"/>
        <v>13175.7875</v>
      </c>
    </row>
    <row r="992" spans="1:25" x14ac:dyDescent="0.3">
      <c r="A992" t="s">
        <v>1339</v>
      </c>
      <c r="B992" s="1">
        <v>45879</v>
      </c>
      <c r="C992" t="s">
        <v>295</v>
      </c>
      <c r="D992" t="s">
        <v>105</v>
      </c>
      <c r="E992" t="s">
        <v>106</v>
      </c>
      <c r="F992" t="s">
        <v>40</v>
      </c>
      <c r="G992" t="s">
        <v>81</v>
      </c>
      <c r="H992" t="s">
        <v>98</v>
      </c>
      <c r="I992">
        <v>3</v>
      </c>
      <c r="J992">
        <v>7608.19</v>
      </c>
      <c r="K992">
        <v>0.2</v>
      </c>
      <c r="L992">
        <v>18259.66</v>
      </c>
      <c r="M992" t="s">
        <v>76</v>
      </c>
      <c r="N992" t="s">
        <v>49</v>
      </c>
      <c r="O992" t="s">
        <v>65</v>
      </c>
      <c r="P992" t="s">
        <v>26</v>
      </c>
      <c r="Q992" t="str">
        <f t="shared" si="105"/>
        <v>Completed</v>
      </c>
      <c r="R992" t="str">
        <f t="shared" si="106"/>
        <v>Store</v>
      </c>
      <c r="S992" t="str">
        <v>Net Banking</v>
      </c>
      <c r="T992" t="str">
        <v>Furniture</v>
      </c>
      <c r="U992" t="str">
        <f t="shared" si="107"/>
        <v>VALID</v>
      </c>
      <c r="V992" t="str">
        <f t="shared" si="108"/>
        <v>NORMAL</v>
      </c>
      <c r="W992" t="str">
        <f t="shared" si="109"/>
        <v>Valid</v>
      </c>
      <c r="X992">
        <f t="shared" si="111"/>
        <v>22824.57</v>
      </c>
      <c r="Y992">
        <f t="shared" si="110"/>
        <v>18259.655999999999</v>
      </c>
    </row>
    <row r="993" spans="1:25" x14ac:dyDescent="0.3">
      <c r="A993" t="s">
        <v>1340</v>
      </c>
      <c r="B993" s="1">
        <v>46122</v>
      </c>
      <c r="C993" t="s">
        <v>531</v>
      </c>
      <c r="D993" t="s">
        <v>176</v>
      </c>
      <c r="E993" t="s">
        <v>177</v>
      </c>
      <c r="F993" t="s">
        <v>31</v>
      </c>
      <c r="G993" t="s">
        <v>32</v>
      </c>
      <c r="H993" t="s">
        <v>68</v>
      </c>
      <c r="I993">
        <v>5</v>
      </c>
      <c r="J993">
        <v>2103.41</v>
      </c>
      <c r="K993">
        <v>0.15</v>
      </c>
      <c r="L993">
        <v>8939.49</v>
      </c>
      <c r="M993" t="s">
        <v>23</v>
      </c>
      <c r="N993" t="s">
        <v>49</v>
      </c>
      <c r="O993" t="s">
        <v>65</v>
      </c>
      <c r="P993" t="s">
        <v>59</v>
      </c>
      <c r="Q993" t="str">
        <f t="shared" si="105"/>
        <v>Completed</v>
      </c>
      <c r="R993" t="str">
        <f t="shared" si="106"/>
        <v>Online</v>
      </c>
      <c r="S993" t="str">
        <v>Net Banking</v>
      </c>
      <c r="T993" t="str">
        <v>Electronics</v>
      </c>
      <c r="U993" t="str">
        <f t="shared" si="107"/>
        <v>VALID</v>
      </c>
      <c r="V993" t="str">
        <f t="shared" si="108"/>
        <v>NORMAL</v>
      </c>
      <c r="W993" t="str">
        <f t="shared" si="109"/>
        <v>Valid</v>
      </c>
      <c r="X993">
        <f t="shared" si="111"/>
        <v>10517.05</v>
      </c>
      <c r="Y993">
        <f t="shared" si="110"/>
        <v>8939.4925000000003</v>
      </c>
    </row>
    <row r="994" spans="1:25" x14ac:dyDescent="0.3">
      <c r="A994" t="s">
        <v>1341</v>
      </c>
      <c r="B994" s="1">
        <v>45300</v>
      </c>
      <c r="C994" t="s">
        <v>293</v>
      </c>
      <c r="D994" t="s">
        <v>29</v>
      </c>
      <c r="E994" t="s">
        <v>30</v>
      </c>
      <c r="F994" t="s">
        <v>31</v>
      </c>
      <c r="G994" t="s">
        <v>56</v>
      </c>
      <c r="H994" t="s">
        <v>57</v>
      </c>
      <c r="I994">
        <v>4</v>
      </c>
      <c r="J994">
        <v>3089.74</v>
      </c>
      <c r="K994">
        <v>0</v>
      </c>
      <c r="L994">
        <v>12358.96</v>
      </c>
      <c r="M994" t="s">
        <v>76</v>
      </c>
      <c r="O994" t="s">
        <v>65</v>
      </c>
      <c r="P994" t="s">
        <v>42</v>
      </c>
      <c r="Q994" t="str">
        <f t="shared" si="105"/>
        <v>Completed</v>
      </c>
      <c r="R994" t="str">
        <f t="shared" si="106"/>
        <v>Store</v>
      </c>
      <c r="S994" t="str">
        <v/>
      </c>
      <c r="T994" t="str">
        <v>Electronics</v>
      </c>
      <c r="U994" t="str">
        <f t="shared" si="107"/>
        <v>VALID</v>
      </c>
      <c r="V994" t="str">
        <f t="shared" si="108"/>
        <v>NORMAL</v>
      </c>
      <c r="W994" t="str">
        <f t="shared" si="109"/>
        <v>Valid</v>
      </c>
      <c r="X994">
        <f t="shared" si="111"/>
        <v>12358.96</v>
      </c>
      <c r="Y994">
        <f t="shared" si="110"/>
        <v>12358.96</v>
      </c>
    </row>
    <row r="995" spans="1:25" x14ac:dyDescent="0.3">
      <c r="A995" t="s">
        <v>1342</v>
      </c>
      <c r="B995" s="1">
        <v>45900</v>
      </c>
      <c r="C995" t="s">
        <v>439</v>
      </c>
      <c r="D995" t="s">
        <v>89</v>
      </c>
      <c r="E995" t="s">
        <v>90</v>
      </c>
      <c r="F995" t="s">
        <v>20</v>
      </c>
      <c r="G995" t="s">
        <v>21</v>
      </c>
      <c r="H995" t="s">
        <v>126</v>
      </c>
      <c r="I995">
        <v>4</v>
      </c>
      <c r="J995">
        <v>725.07</v>
      </c>
      <c r="K995">
        <v>0.08</v>
      </c>
      <c r="L995">
        <v>2668.26</v>
      </c>
      <c r="M995" t="s">
        <v>23</v>
      </c>
      <c r="N995" t="s">
        <v>49</v>
      </c>
      <c r="O995" t="s">
        <v>25</v>
      </c>
      <c r="P995" t="s">
        <v>50</v>
      </c>
      <c r="Q995" t="str">
        <f t="shared" si="105"/>
        <v>Returned</v>
      </c>
      <c r="R995" t="str">
        <f t="shared" si="106"/>
        <v>Online</v>
      </c>
      <c r="S995" t="str">
        <v>Net Banking</v>
      </c>
      <c r="T995" t="str">
        <v>Accessories</v>
      </c>
      <c r="U995" t="str">
        <f t="shared" si="107"/>
        <v>VALID</v>
      </c>
      <c r="V995" t="str">
        <f t="shared" si="108"/>
        <v>NORMAL</v>
      </c>
      <c r="W995" t="str">
        <f t="shared" si="109"/>
        <v>Valid</v>
      </c>
      <c r="X995">
        <f t="shared" si="111"/>
        <v>2900.28</v>
      </c>
      <c r="Y995">
        <f t="shared" si="110"/>
        <v>2668.2576000000004</v>
      </c>
    </row>
    <row r="996" spans="1:25" x14ac:dyDescent="0.3">
      <c r="A996" t="s">
        <v>1343</v>
      </c>
      <c r="B996" s="1">
        <v>45437</v>
      </c>
      <c r="C996" t="s">
        <v>125</v>
      </c>
      <c r="D996" t="s">
        <v>18</v>
      </c>
      <c r="E996" t="s">
        <v>19</v>
      </c>
      <c r="F996" t="s">
        <v>20</v>
      </c>
      <c r="G996" t="s">
        <v>56</v>
      </c>
      <c r="H996" t="s">
        <v>123</v>
      </c>
      <c r="I996">
        <v>4</v>
      </c>
      <c r="J996">
        <v>857.61</v>
      </c>
      <c r="K996">
        <v>0.1</v>
      </c>
      <c r="L996">
        <v>3087.4</v>
      </c>
      <c r="M996" t="s">
        <v>48</v>
      </c>
      <c r="N996" t="s">
        <v>58</v>
      </c>
      <c r="O996" t="s">
        <v>65</v>
      </c>
      <c r="P996" t="s">
        <v>111</v>
      </c>
      <c r="Q996" t="str">
        <f t="shared" si="105"/>
        <v>Completed</v>
      </c>
      <c r="R996" t="str">
        <f t="shared" si="106"/>
        <v>Marketplace</v>
      </c>
      <c r="S996" t="str">
        <v>Credit Card</v>
      </c>
      <c r="T996" t="str">
        <v>Accessories</v>
      </c>
      <c r="U996" t="str">
        <f t="shared" si="107"/>
        <v>VALID</v>
      </c>
      <c r="V996" t="str">
        <f t="shared" si="108"/>
        <v>NORMAL</v>
      </c>
      <c r="W996" t="str">
        <f t="shared" si="109"/>
        <v>Valid</v>
      </c>
      <c r="X996">
        <f t="shared" si="111"/>
        <v>3430.44</v>
      </c>
      <c r="Y996">
        <f t="shared" si="110"/>
        <v>3087.3960000000002</v>
      </c>
    </row>
    <row r="997" spans="1:25" x14ac:dyDescent="0.3">
      <c r="A997" t="s">
        <v>1344</v>
      </c>
      <c r="B997" s="1">
        <v>45963</v>
      </c>
      <c r="C997" t="s">
        <v>776</v>
      </c>
      <c r="D997" t="s">
        <v>176</v>
      </c>
      <c r="E997" t="s">
        <v>177</v>
      </c>
      <c r="F997" t="s">
        <v>31</v>
      </c>
      <c r="G997" t="s">
        <v>32</v>
      </c>
      <c r="H997" t="s">
        <v>75</v>
      </c>
      <c r="I997">
        <v>4</v>
      </c>
      <c r="J997">
        <v>2165.34</v>
      </c>
      <c r="K997">
        <v>0.2</v>
      </c>
      <c r="L997">
        <v>6929.09</v>
      </c>
      <c r="M997" t="s">
        <v>48</v>
      </c>
      <c r="N997" t="s">
        <v>34</v>
      </c>
      <c r="O997" t="s">
        <v>35</v>
      </c>
      <c r="P997" t="s">
        <v>116</v>
      </c>
      <c r="Q997" t="str">
        <f t="shared" si="105"/>
        <v>Cancelled</v>
      </c>
      <c r="R997" t="str">
        <f t="shared" si="106"/>
        <v>Marketplace</v>
      </c>
      <c r="S997" t="str">
        <v>Cash On Delivery</v>
      </c>
      <c r="T997" t="str">
        <v>Electronics</v>
      </c>
      <c r="U997" t="str">
        <f t="shared" si="107"/>
        <v>VALID</v>
      </c>
      <c r="V997" t="str">
        <f t="shared" si="108"/>
        <v>NORMAL</v>
      </c>
      <c r="W997" t="str">
        <f t="shared" si="109"/>
        <v>Valid</v>
      </c>
      <c r="X997">
        <f t="shared" si="111"/>
        <v>8661.36</v>
      </c>
      <c r="Y997">
        <f t="shared" si="110"/>
        <v>6929.0880000000006</v>
      </c>
    </row>
    <row r="998" spans="1:25" x14ac:dyDescent="0.3">
      <c r="A998" t="s">
        <v>1345</v>
      </c>
      <c r="B998" s="1">
        <v>45817</v>
      </c>
      <c r="C998" t="s">
        <v>445</v>
      </c>
      <c r="D998" t="s">
        <v>96</v>
      </c>
      <c r="E998" t="s">
        <v>97</v>
      </c>
      <c r="F998" t="s">
        <v>31</v>
      </c>
      <c r="G998" t="s">
        <v>81</v>
      </c>
      <c r="H998" t="s">
        <v>87</v>
      </c>
      <c r="I998">
        <v>1</v>
      </c>
      <c r="J998">
        <v>1185.3399999999999</v>
      </c>
      <c r="K998">
        <v>0.2</v>
      </c>
      <c r="L998">
        <v>948.27</v>
      </c>
      <c r="M998" t="s">
        <v>23</v>
      </c>
      <c r="N998" t="s">
        <v>24</v>
      </c>
      <c r="O998" t="s">
        <v>65</v>
      </c>
      <c r="P998" t="s">
        <v>26</v>
      </c>
      <c r="Q998" t="str">
        <f t="shared" si="105"/>
        <v>Completed</v>
      </c>
      <c r="R998" t="str">
        <f t="shared" si="106"/>
        <v>Online</v>
      </c>
      <c r="S998" t="str">
        <v>Debit Card</v>
      </c>
      <c r="T998" t="str">
        <v>Electronics</v>
      </c>
      <c r="U998" t="str">
        <f t="shared" si="107"/>
        <v>VALID</v>
      </c>
      <c r="V998" t="str">
        <f t="shared" si="108"/>
        <v>NORMAL</v>
      </c>
      <c r="W998" t="str">
        <f t="shared" si="109"/>
        <v>Valid</v>
      </c>
      <c r="X998">
        <f t="shared" si="111"/>
        <v>1185.3399999999999</v>
      </c>
      <c r="Y998">
        <f t="shared" si="110"/>
        <v>948.27199999999993</v>
      </c>
    </row>
    <row r="999" spans="1:25" x14ac:dyDescent="0.3">
      <c r="A999" t="s">
        <v>1346</v>
      </c>
      <c r="B999" s="1">
        <v>45982</v>
      </c>
      <c r="C999" t="s">
        <v>817</v>
      </c>
      <c r="D999" t="s">
        <v>96</v>
      </c>
      <c r="E999" t="s">
        <v>97</v>
      </c>
      <c r="F999" t="s">
        <v>31</v>
      </c>
      <c r="G999" t="s">
        <v>56</v>
      </c>
      <c r="H999" t="s">
        <v>57</v>
      </c>
      <c r="I999">
        <v>5</v>
      </c>
      <c r="J999">
        <v>1245.1099999999999</v>
      </c>
      <c r="K999">
        <v>0.2</v>
      </c>
      <c r="L999">
        <v>4980.4399999999996</v>
      </c>
      <c r="M999" t="s">
        <v>48</v>
      </c>
      <c r="N999" t="s">
        <v>34</v>
      </c>
      <c r="O999" t="s">
        <v>25</v>
      </c>
      <c r="P999" t="s">
        <v>42</v>
      </c>
      <c r="Q999" t="str">
        <f t="shared" si="105"/>
        <v>Returned</v>
      </c>
      <c r="R999" t="str">
        <f t="shared" si="106"/>
        <v>Marketplace</v>
      </c>
      <c r="S999" t="str">
        <v>Cash On Delivery</v>
      </c>
      <c r="T999" t="str">
        <v>Electronics</v>
      </c>
      <c r="U999" t="str">
        <f t="shared" si="107"/>
        <v>VALID</v>
      </c>
      <c r="V999" t="str">
        <f t="shared" si="108"/>
        <v>NORMAL</v>
      </c>
      <c r="W999" t="str">
        <f t="shared" si="109"/>
        <v>Valid</v>
      </c>
      <c r="X999">
        <f t="shared" si="111"/>
        <v>6225.5499999999993</v>
      </c>
      <c r="Y999">
        <f t="shared" si="110"/>
        <v>4980.4399999999996</v>
      </c>
    </row>
    <row r="1000" spans="1:25" x14ac:dyDescent="0.3">
      <c r="A1000" t="s">
        <v>1347</v>
      </c>
      <c r="B1000" s="1">
        <v>45304</v>
      </c>
      <c r="C1000" t="s">
        <v>453</v>
      </c>
      <c r="D1000" t="s">
        <v>176</v>
      </c>
      <c r="E1000" t="s">
        <v>177</v>
      </c>
      <c r="F1000" t="s">
        <v>31</v>
      </c>
      <c r="G1000" t="s">
        <v>56</v>
      </c>
      <c r="H1000" t="s">
        <v>101</v>
      </c>
      <c r="I1000">
        <v>1</v>
      </c>
      <c r="J1000">
        <v>2115.87</v>
      </c>
      <c r="K1000">
        <v>0.03</v>
      </c>
      <c r="L1000">
        <v>2052.39</v>
      </c>
      <c r="M1000" t="s">
        <v>76</v>
      </c>
      <c r="N1000" t="s">
        <v>58</v>
      </c>
      <c r="O1000" t="s">
        <v>25</v>
      </c>
      <c r="P1000" t="s">
        <v>116</v>
      </c>
      <c r="Q1000" t="str">
        <f t="shared" si="105"/>
        <v>Returned</v>
      </c>
      <c r="R1000" t="str">
        <f t="shared" si="106"/>
        <v>Store</v>
      </c>
      <c r="S1000" t="str">
        <v>Credit Card</v>
      </c>
      <c r="T1000" t="str">
        <v>Electronics</v>
      </c>
      <c r="U1000" t="str">
        <f t="shared" si="107"/>
        <v>VALID</v>
      </c>
      <c r="V1000" t="str">
        <f t="shared" si="108"/>
        <v>NORMAL</v>
      </c>
      <c r="W1000" t="str">
        <f t="shared" si="109"/>
        <v>Valid</v>
      </c>
      <c r="X1000">
        <f t="shared" si="111"/>
        <v>2115.87</v>
      </c>
      <c r="Y1000">
        <f t="shared" si="110"/>
        <v>2052.3939</v>
      </c>
    </row>
    <row r="1001" spans="1:25" x14ac:dyDescent="0.3">
      <c r="A1001" t="s">
        <v>1348</v>
      </c>
      <c r="B1001" s="1">
        <v>45438</v>
      </c>
      <c r="C1001" t="s">
        <v>348</v>
      </c>
      <c r="D1001" t="s">
        <v>131</v>
      </c>
      <c r="E1001" t="s">
        <v>132</v>
      </c>
      <c r="F1001" t="s">
        <v>40</v>
      </c>
      <c r="G1001" t="s">
        <v>32</v>
      </c>
      <c r="H1001" t="s">
        <v>33</v>
      </c>
      <c r="I1001">
        <v>1</v>
      </c>
      <c r="J1001">
        <v>9411.81</v>
      </c>
      <c r="K1001">
        <v>0</v>
      </c>
      <c r="L1001">
        <v>9411.81</v>
      </c>
      <c r="M1001" t="s">
        <v>23</v>
      </c>
      <c r="N1001" t="s">
        <v>58</v>
      </c>
      <c r="O1001" t="s">
        <v>65</v>
      </c>
      <c r="P1001" t="s">
        <v>116</v>
      </c>
      <c r="Q1001" t="str">
        <f t="shared" si="105"/>
        <v>Completed</v>
      </c>
      <c r="R1001" t="str">
        <f t="shared" si="106"/>
        <v>Online</v>
      </c>
      <c r="S1001" t="str">
        <v>Credit Card</v>
      </c>
      <c r="T1001" t="str">
        <v>Furniture</v>
      </c>
      <c r="U1001" t="str">
        <f t="shared" si="107"/>
        <v>VALID</v>
      </c>
      <c r="V1001" t="str">
        <f t="shared" si="108"/>
        <v>NORMAL</v>
      </c>
      <c r="W1001" t="str">
        <f t="shared" si="109"/>
        <v>Valid</v>
      </c>
      <c r="X1001">
        <f t="shared" si="111"/>
        <v>9411.81</v>
      </c>
      <c r="Y1001">
        <f t="shared" si="110"/>
        <v>9411.81</v>
      </c>
    </row>
    <row r="1002" spans="1:25" x14ac:dyDescent="0.3">
      <c r="A1002" t="s">
        <v>1349</v>
      </c>
      <c r="B1002" s="1">
        <v>45906</v>
      </c>
      <c r="C1002" t="s">
        <v>535</v>
      </c>
      <c r="D1002" t="s">
        <v>62</v>
      </c>
      <c r="E1002" t="s">
        <v>63</v>
      </c>
      <c r="F1002" t="s">
        <v>31</v>
      </c>
      <c r="G1002" t="s">
        <v>81</v>
      </c>
      <c r="H1002" t="s">
        <v>135</v>
      </c>
      <c r="I1002">
        <v>2</v>
      </c>
      <c r="J1002">
        <v>2969.1</v>
      </c>
      <c r="K1002">
        <v>0.03</v>
      </c>
      <c r="L1002">
        <v>5760.05</v>
      </c>
      <c r="M1002" t="s">
        <v>48</v>
      </c>
      <c r="N1002" t="s">
        <v>71</v>
      </c>
      <c r="O1002" t="s">
        <v>65</v>
      </c>
      <c r="P1002" t="s">
        <v>102</v>
      </c>
      <c r="Q1002" t="str">
        <f t="shared" si="105"/>
        <v>Completed</v>
      </c>
      <c r="R1002" t="str">
        <f t="shared" si="106"/>
        <v>Marketplace</v>
      </c>
      <c r="S1002" t="str">
        <v>Upi</v>
      </c>
      <c r="T1002" t="str">
        <v>Electronics</v>
      </c>
      <c r="U1002" t="str">
        <f t="shared" si="107"/>
        <v>VALID</v>
      </c>
      <c r="V1002" t="str">
        <f t="shared" si="108"/>
        <v>NORMAL</v>
      </c>
      <c r="W1002" t="str">
        <f t="shared" si="109"/>
        <v>Valid</v>
      </c>
      <c r="X1002">
        <f t="shared" si="111"/>
        <v>5938.2</v>
      </c>
      <c r="Y1002">
        <f t="shared" si="110"/>
        <v>5760.0540000000001</v>
      </c>
    </row>
    <row r="1003" spans="1:25" x14ac:dyDescent="0.3">
      <c r="A1003" t="s">
        <v>1350</v>
      </c>
      <c r="B1003" s="1">
        <v>46752</v>
      </c>
      <c r="C1003" t="s">
        <v>480</v>
      </c>
      <c r="D1003" t="s">
        <v>79</v>
      </c>
      <c r="E1003" t="s">
        <v>80</v>
      </c>
      <c r="F1003" t="s">
        <v>31</v>
      </c>
      <c r="G1003" t="s">
        <v>81</v>
      </c>
      <c r="H1003" t="s">
        <v>135</v>
      </c>
      <c r="I1003">
        <v>4</v>
      </c>
      <c r="J1003">
        <v>12650.71</v>
      </c>
      <c r="K1003">
        <v>0.1</v>
      </c>
      <c r="L1003">
        <v>45542.559999999998</v>
      </c>
      <c r="M1003" t="s">
        <v>23</v>
      </c>
      <c r="N1003" t="s">
        <v>71</v>
      </c>
      <c r="O1003" t="s">
        <v>35</v>
      </c>
      <c r="P1003" t="s">
        <v>50</v>
      </c>
      <c r="Q1003" t="str">
        <f t="shared" si="105"/>
        <v>Cancelled</v>
      </c>
      <c r="R1003" t="str">
        <f t="shared" si="106"/>
        <v>Online</v>
      </c>
      <c r="S1003" t="str">
        <v>Upi</v>
      </c>
      <c r="T1003" t="str">
        <v>Electronics</v>
      </c>
      <c r="U1003" t="str">
        <f t="shared" si="107"/>
        <v>VALID</v>
      </c>
      <c r="V1003" t="str">
        <f t="shared" si="108"/>
        <v>NORMAL</v>
      </c>
      <c r="W1003" t="str">
        <f t="shared" si="109"/>
        <v>Valid</v>
      </c>
      <c r="X1003">
        <f t="shared" si="111"/>
        <v>50602.84</v>
      </c>
      <c r="Y1003">
        <f t="shared" si="110"/>
        <v>45542.555999999997</v>
      </c>
    </row>
    <row r="1004" spans="1:25" x14ac:dyDescent="0.3">
      <c r="A1004" t="s">
        <v>1351</v>
      </c>
      <c r="B1004" s="1">
        <v>45479</v>
      </c>
      <c r="C1004" t="s">
        <v>339</v>
      </c>
      <c r="D1004" t="s">
        <v>18</v>
      </c>
      <c r="E1004" t="s">
        <v>19</v>
      </c>
      <c r="F1004" t="s">
        <v>20</v>
      </c>
      <c r="G1004" t="s">
        <v>81</v>
      </c>
      <c r="H1004" t="s">
        <v>135</v>
      </c>
      <c r="I1004">
        <v>1</v>
      </c>
      <c r="J1004">
        <v>881.5</v>
      </c>
      <c r="K1004">
        <v>0</v>
      </c>
      <c r="L1004">
        <v>881.5</v>
      </c>
      <c r="M1004" t="s">
        <v>76</v>
      </c>
      <c r="N1004" t="s">
        <v>49</v>
      </c>
      <c r="O1004" t="s">
        <v>65</v>
      </c>
      <c r="P1004" t="s">
        <v>42</v>
      </c>
      <c r="Q1004" t="str">
        <f t="shared" si="105"/>
        <v>Completed</v>
      </c>
      <c r="R1004" t="str">
        <f t="shared" si="106"/>
        <v>Store</v>
      </c>
      <c r="S1004" t="str">
        <v>Net Banking</v>
      </c>
      <c r="T1004" t="str">
        <v>Accessories</v>
      </c>
      <c r="U1004" t="str">
        <f t="shared" si="107"/>
        <v>VALID</v>
      </c>
      <c r="V1004" t="str">
        <f t="shared" si="108"/>
        <v>NORMAL</v>
      </c>
      <c r="W1004" t="str">
        <f t="shared" si="109"/>
        <v>Valid</v>
      </c>
      <c r="X1004">
        <f t="shared" si="111"/>
        <v>881.5</v>
      </c>
      <c r="Y1004">
        <f t="shared" si="110"/>
        <v>881.5</v>
      </c>
    </row>
    <row r="1005" spans="1:25" x14ac:dyDescent="0.3">
      <c r="A1005" t="s">
        <v>1352</v>
      </c>
      <c r="B1005" s="1">
        <v>45569</v>
      </c>
      <c r="C1005" t="s">
        <v>345</v>
      </c>
      <c r="D1005" t="s">
        <v>170</v>
      </c>
      <c r="E1005" t="s">
        <v>171</v>
      </c>
      <c r="F1005" t="s">
        <v>31</v>
      </c>
      <c r="G1005" t="s">
        <v>32</v>
      </c>
      <c r="H1005" t="s">
        <v>68</v>
      </c>
      <c r="I1005">
        <v>2</v>
      </c>
      <c r="J1005">
        <v>60262.36</v>
      </c>
      <c r="K1005">
        <v>0.08</v>
      </c>
      <c r="L1005">
        <v>110882.74</v>
      </c>
      <c r="M1005" t="s">
        <v>23</v>
      </c>
      <c r="N1005" t="s">
        <v>58</v>
      </c>
      <c r="O1005" t="s">
        <v>65</v>
      </c>
      <c r="P1005" t="s">
        <v>102</v>
      </c>
      <c r="Q1005" t="str">
        <f t="shared" si="105"/>
        <v>Completed</v>
      </c>
      <c r="R1005" t="str">
        <f t="shared" si="106"/>
        <v>Online</v>
      </c>
      <c r="S1005" t="str">
        <v>Credit Card</v>
      </c>
      <c r="T1005" t="str">
        <v>Electronics</v>
      </c>
      <c r="U1005" t="str">
        <f t="shared" si="107"/>
        <v>VALID</v>
      </c>
      <c r="V1005" t="str">
        <f t="shared" si="108"/>
        <v>NORMAL</v>
      </c>
      <c r="W1005" t="str">
        <f t="shared" si="109"/>
        <v>Valid</v>
      </c>
      <c r="X1005">
        <f t="shared" si="111"/>
        <v>120524.72</v>
      </c>
      <c r="Y1005">
        <f t="shared" si="110"/>
        <v>110882.7424</v>
      </c>
    </row>
    <row r="1006" spans="1:25" x14ac:dyDescent="0.3">
      <c r="A1006" t="s">
        <v>1353</v>
      </c>
      <c r="B1006" s="1">
        <v>45464</v>
      </c>
      <c r="C1006" t="s">
        <v>137</v>
      </c>
      <c r="D1006" t="s">
        <v>131</v>
      </c>
      <c r="E1006" t="s">
        <v>132</v>
      </c>
      <c r="F1006" t="s">
        <v>40</v>
      </c>
      <c r="G1006" t="s">
        <v>56</v>
      </c>
      <c r="H1006" t="s">
        <v>123</v>
      </c>
      <c r="I1006">
        <v>1</v>
      </c>
      <c r="J1006">
        <v>8867.08</v>
      </c>
      <c r="K1006">
        <v>0</v>
      </c>
      <c r="L1006">
        <v>8867.08</v>
      </c>
      <c r="M1006" t="s">
        <v>23</v>
      </c>
      <c r="N1006" t="s">
        <v>24</v>
      </c>
      <c r="O1006" t="s">
        <v>25</v>
      </c>
      <c r="P1006" t="s">
        <v>42</v>
      </c>
      <c r="Q1006" t="str">
        <f t="shared" si="105"/>
        <v>Returned</v>
      </c>
      <c r="R1006" t="str">
        <f t="shared" si="106"/>
        <v>Online</v>
      </c>
      <c r="S1006" t="str">
        <v>Debit Card</v>
      </c>
      <c r="T1006" t="str">
        <v>Furniture</v>
      </c>
      <c r="U1006" t="str">
        <f t="shared" si="107"/>
        <v>VALID</v>
      </c>
      <c r="V1006" t="str">
        <f t="shared" si="108"/>
        <v>NORMAL</v>
      </c>
      <c r="W1006" t="str">
        <f t="shared" si="109"/>
        <v>Valid</v>
      </c>
      <c r="X1006">
        <f t="shared" si="111"/>
        <v>8867.08</v>
      </c>
      <c r="Y1006">
        <f t="shared" si="110"/>
        <v>8867.08</v>
      </c>
    </row>
    <row r="1007" spans="1:25" x14ac:dyDescent="0.3">
      <c r="A1007" t="s">
        <v>1354</v>
      </c>
      <c r="B1007" s="1">
        <v>45934</v>
      </c>
      <c r="C1007" t="s">
        <v>61</v>
      </c>
      <c r="D1007" t="s">
        <v>18</v>
      </c>
      <c r="E1007" t="s">
        <v>19</v>
      </c>
      <c r="F1007" t="s">
        <v>20</v>
      </c>
      <c r="G1007" t="s">
        <v>81</v>
      </c>
      <c r="H1007" t="s">
        <v>98</v>
      </c>
      <c r="I1007">
        <v>3</v>
      </c>
      <c r="J1007">
        <v>805.34</v>
      </c>
      <c r="K1007">
        <v>0.08</v>
      </c>
      <c r="L1007">
        <v>2222.7399999999998</v>
      </c>
      <c r="M1007" t="s">
        <v>48</v>
      </c>
      <c r="N1007" t="s">
        <v>24</v>
      </c>
      <c r="O1007" t="s">
        <v>65</v>
      </c>
      <c r="P1007" t="s">
        <v>116</v>
      </c>
      <c r="Q1007" t="str">
        <f t="shared" si="105"/>
        <v>Completed</v>
      </c>
      <c r="R1007" t="str">
        <f t="shared" si="106"/>
        <v>Marketplace</v>
      </c>
      <c r="S1007" t="str">
        <v>Debit Card</v>
      </c>
      <c r="T1007" t="str">
        <v>Accessories</v>
      </c>
      <c r="U1007" t="str">
        <f t="shared" si="107"/>
        <v>VALID</v>
      </c>
      <c r="V1007" t="str">
        <f t="shared" si="108"/>
        <v>NORMAL</v>
      </c>
      <c r="W1007" t="str">
        <f t="shared" si="109"/>
        <v>Valid</v>
      </c>
      <c r="X1007">
        <f t="shared" si="111"/>
        <v>2416.02</v>
      </c>
      <c r="Y1007">
        <f t="shared" si="110"/>
        <v>2222.7384000000002</v>
      </c>
    </row>
    <row r="1008" spans="1:25" x14ac:dyDescent="0.3">
      <c r="A1008" t="s">
        <v>1355</v>
      </c>
      <c r="B1008" s="1">
        <v>46136</v>
      </c>
      <c r="C1008" t="s">
        <v>355</v>
      </c>
      <c r="D1008" t="s">
        <v>18</v>
      </c>
      <c r="E1008" t="s">
        <v>19</v>
      </c>
      <c r="F1008" t="s">
        <v>20</v>
      </c>
      <c r="G1008" t="s">
        <v>56</v>
      </c>
      <c r="H1008" t="s">
        <v>101</v>
      </c>
      <c r="I1008">
        <v>5</v>
      </c>
      <c r="J1008">
        <v>907.53</v>
      </c>
      <c r="K1008">
        <v>0.03</v>
      </c>
      <c r="L1008">
        <v>4401.5200000000004</v>
      </c>
      <c r="M1008" t="s">
        <v>76</v>
      </c>
      <c r="N1008" t="s">
        <v>49</v>
      </c>
      <c r="O1008" t="s">
        <v>65</v>
      </c>
      <c r="P1008" t="s">
        <v>72</v>
      </c>
      <c r="Q1008" t="str">
        <f t="shared" si="105"/>
        <v>Completed</v>
      </c>
      <c r="R1008" t="str">
        <f t="shared" si="106"/>
        <v>Store</v>
      </c>
      <c r="S1008" t="str">
        <v>Net Banking</v>
      </c>
      <c r="T1008" t="str">
        <v>Accessories</v>
      </c>
      <c r="U1008" t="str">
        <f t="shared" si="107"/>
        <v>VALID</v>
      </c>
      <c r="V1008" t="str">
        <f t="shared" si="108"/>
        <v>NORMAL</v>
      </c>
      <c r="W1008" t="str">
        <f t="shared" si="109"/>
        <v>Valid</v>
      </c>
      <c r="X1008">
        <f t="shared" si="111"/>
        <v>4537.6499999999996</v>
      </c>
      <c r="Y1008">
        <f t="shared" si="110"/>
        <v>4401.5204999999996</v>
      </c>
    </row>
    <row r="1009" spans="1:25" x14ac:dyDescent="0.3">
      <c r="A1009" t="s">
        <v>1356</v>
      </c>
      <c r="B1009" s="1">
        <v>46063</v>
      </c>
      <c r="C1009" t="s">
        <v>466</v>
      </c>
      <c r="D1009" t="s">
        <v>89</v>
      </c>
      <c r="E1009" t="s">
        <v>90</v>
      </c>
      <c r="F1009" t="s">
        <v>20</v>
      </c>
      <c r="G1009" t="s">
        <v>81</v>
      </c>
      <c r="H1009" t="s">
        <v>87</v>
      </c>
      <c r="I1009">
        <v>1</v>
      </c>
      <c r="J1009">
        <v>724.82</v>
      </c>
      <c r="K1009">
        <v>0.08</v>
      </c>
      <c r="L1009">
        <v>666.83</v>
      </c>
      <c r="M1009" t="s">
        <v>23</v>
      </c>
      <c r="N1009" t="s">
        <v>34</v>
      </c>
      <c r="O1009" t="s">
        <v>65</v>
      </c>
      <c r="P1009" t="s">
        <v>50</v>
      </c>
      <c r="Q1009" t="str">
        <f t="shared" si="105"/>
        <v>Completed</v>
      </c>
      <c r="R1009" t="str">
        <f t="shared" si="106"/>
        <v>Online</v>
      </c>
      <c r="S1009" t="str">
        <v>Cash On Delivery</v>
      </c>
      <c r="T1009" t="str">
        <v>Accessories</v>
      </c>
      <c r="U1009" t="str">
        <f t="shared" si="107"/>
        <v>VALID</v>
      </c>
      <c r="V1009" t="str">
        <f t="shared" si="108"/>
        <v>NORMAL</v>
      </c>
      <c r="W1009" t="str">
        <f t="shared" si="109"/>
        <v>Valid</v>
      </c>
      <c r="X1009">
        <f t="shared" si="111"/>
        <v>724.82</v>
      </c>
      <c r="Y1009">
        <f t="shared" si="110"/>
        <v>666.83440000000007</v>
      </c>
    </row>
    <row r="1010" spans="1:25" x14ac:dyDescent="0.3">
      <c r="A1010" t="s">
        <v>1357</v>
      </c>
      <c r="B1010" s="1">
        <v>45368</v>
      </c>
      <c r="C1010" t="s">
        <v>935</v>
      </c>
      <c r="D1010" t="s">
        <v>38</v>
      </c>
      <c r="E1010" t="s">
        <v>39</v>
      </c>
      <c r="F1010" t="s">
        <v>40</v>
      </c>
      <c r="G1010" t="s">
        <v>32</v>
      </c>
      <c r="H1010" t="s">
        <v>33</v>
      </c>
      <c r="I1010">
        <v>1</v>
      </c>
      <c r="J1010">
        <v>1569.53</v>
      </c>
      <c r="K1010">
        <v>0.15</v>
      </c>
      <c r="L1010">
        <v>1334.1</v>
      </c>
      <c r="M1010" t="s">
        <v>48</v>
      </c>
      <c r="N1010" t="s">
        <v>49</v>
      </c>
      <c r="O1010" t="s">
        <v>65</v>
      </c>
      <c r="P1010" t="s">
        <v>116</v>
      </c>
      <c r="Q1010" t="str">
        <f t="shared" si="105"/>
        <v>Completed</v>
      </c>
      <c r="R1010" t="str">
        <f t="shared" si="106"/>
        <v>Marketplace</v>
      </c>
      <c r="S1010" t="str">
        <v>Net Banking</v>
      </c>
      <c r="T1010" t="str">
        <v>Furniture</v>
      </c>
      <c r="U1010" t="str">
        <f t="shared" si="107"/>
        <v>VALID</v>
      </c>
      <c r="V1010" t="str">
        <f t="shared" si="108"/>
        <v>NORMAL</v>
      </c>
      <c r="W1010" t="str">
        <f t="shared" si="109"/>
        <v>Valid</v>
      </c>
      <c r="X1010">
        <f t="shared" si="111"/>
        <v>1569.53</v>
      </c>
      <c r="Y1010">
        <f t="shared" si="110"/>
        <v>1334.1005</v>
      </c>
    </row>
    <row r="1011" spans="1:25" x14ac:dyDescent="0.3">
      <c r="A1011" t="s">
        <v>1358</v>
      </c>
      <c r="B1011" s="1">
        <v>46090</v>
      </c>
      <c r="C1011" t="s">
        <v>350</v>
      </c>
      <c r="D1011" t="s">
        <v>176</v>
      </c>
      <c r="E1011" t="s">
        <v>177</v>
      </c>
      <c r="F1011" t="s">
        <v>31</v>
      </c>
      <c r="G1011" t="s">
        <v>81</v>
      </c>
      <c r="H1011" t="s">
        <v>98</v>
      </c>
      <c r="I1011">
        <v>1</v>
      </c>
      <c r="J1011">
        <v>2148.16</v>
      </c>
      <c r="K1011">
        <v>0.08</v>
      </c>
      <c r="L1011">
        <v>1976.31</v>
      </c>
      <c r="M1011" t="s">
        <v>76</v>
      </c>
      <c r="N1011" t="s">
        <v>34</v>
      </c>
      <c r="O1011" t="s">
        <v>65</v>
      </c>
      <c r="P1011" t="s">
        <v>59</v>
      </c>
      <c r="Q1011" t="str">
        <f t="shared" si="105"/>
        <v>Completed</v>
      </c>
      <c r="R1011" t="str">
        <f t="shared" si="106"/>
        <v>Store</v>
      </c>
      <c r="S1011" t="str">
        <v>Cash On Delivery</v>
      </c>
      <c r="T1011" t="str">
        <v>Electronics</v>
      </c>
      <c r="U1011" t="str">
        <f t="shared" si="107"/>
        <v>VALID</v>
      </c>
      <c r="V1011" t="str">
        <f t="shared" si="108"/>
        <v>NORMAL</v>
      </c>
      <c r="W1011" t="str">
        <f t="shared" si="109"/>
        <v>Valid</v>
      </c>
      <c r="X1011">
        <f t="shared" si="111"/>
        <v>2148.16</v>
      </c>
      <c r="Y1011">
        <f t="shared" si="110"/>
        <v>1976.3071999999997</v>
      </c>
    </row>
    <row r="1012" spans="1:25" x14ac:dyDescent="0.3">
      <c r="A1012" t="s">
        <v>1359</v>
      </c>
      <c r="B1012" s="1">
        <v>46141</v>
      </c>
      <c r="C1012" t="s">
        <v>28</v>
      </c>
      <c r="D1012" t="s">
        <v>29</v>
      </c>
      <c r="E1012" t="s">
        <v>30</v>
      </c>
      <c r="F1012" t="s">
        <v>31</v>
      </c>
      <c r="G1012" t="s">
        <v>21</v>
      </c>
      <c r="H1012" t="s">
        <v>41</v>
      </c>
      <c r="I1012">
        <v>3</v>
      </c>
      <c r="J1012">
        <v>3259.69</v>
      </c>
      <c r="K1012">
        <v>0.15</v>
      </c>
      <c r="L1012">
        <v>8312.2099999999991</v>
      </c>
      <c r="M1012" t="s">
        <v>48</v>
      </c>
      <c r="N1012" t="s">
        <v>58</v>
      </c>
      <c r="O1012" t="s">
        <v>35</v>
      </c>
      <c r="P1012" t="s">
        <v>72</v>
      </c>
      <c r="Q1012" t="str">
        <f t="shared" si="105"/>
        <v>Cancelled</v>
      </c>
      <c r="R1012" t="str">
        <f t="shared" si="106"/>
        <v>Marketplace</v>
      </c>
      <c r="S1012" t="str">
        <v>Credit Card</v>
      </c>
      <c r="T1012" t="str">
        <v>Electronics</v>
      </c>
      <c r="U1012" t="str">
        <f t="shared" si="107"/>
        <v>VALID</v>
      </c>
      <c r="V1012" t="str">
        <f t="shared" si="108"/>
        <v>NORMAL</v>
      </c>
      <c r="W1012" t="str">
        <f t="shared" si="109"/>
        <v>Valid</v>
      </c>
      <c r="X1012">
        <f t="shared" si="111"/>
        <v>9779.07</v>
      </c>
      <c r="Y1012">
        <f t="shared" si="110"/>
        <v>8312.209499999999</v>
      </c>
    </row>
    <row r="1013" spans="1:25" x14ac:dyDescent="0.3">
      <c r="A1013" t="s">
        <v>1360</v>
      </c>
      <c r="B1013" s="1">
        <v>45777</v>
      </c>
      <c r="C1013" t="s">
        <v>37</v>
      </c>
      <c r="D1013" t="s">
        <v>62</v>
      </c>
      <c r="E1013" t="s">
        <v>63</v>
      </c>
      <c r="F1013" t="s">
        <v>31</v>
      </c>
      <c r="G1013" t="s">
        <v>21</v>
      </c>
      <c r="H1013" t="s">
        <v>126</v>
      </c>
      <c r="I1013">
        <v>2</v>
      </c>
      <c r="J1013">
        <v>2770.04</v>
      </c>
      <c r="K1013">
        <v>0.1</v>
      </c>
      <c r="L1013">
        <v>4986.07</v>
      </c>
      <c r="M1013" t="s">
        <v>23</v>
      </c>
      <c r="N1013" t="s">
        <v>24</v>
      </c>
      <c r="O1013" t="s">
        <v>25</v>
      </c>
      <c r="P1013" t="s">
        <v>111</v>
      </c>
      <c r="Q1013" t="str">
        <f t="shared" si="105"/>
        <v>Returned</v>
      </c>
      <c r="R1013" t="str">
        <f t="shared" si="106"/>
        <v>Online</v>
      </c>
      <c r="S1013" t="str">
        <v>Debit Card</v>
      </c>
      <c r="T1013" t="str">
        <v>Electronics</v>
      </c>
      <c r="U1013" t="str">
        <f t="shared" si="107"/>
        <v>VALID</v>
      </c>
      <c r="V1013" t="str">
        <f t="shared" si="108"/>
        <v>NORMAL</v>
      </c>
      <c r="W1013" t="str">
        <f t="shared" si="109"/>
        <v>Valid</v>
      </c>
      <c r="X1013">
        <f t="shared" si="111"/>
        <v>5540.08</v>
      </c>
      <c r="Y1013">
        <f t="shared" si="110"/>
        <v>4986.0720000000001</v>
      </c>
    </row>
    <row r="1014" spans="1:25" x14ac:dyDescent="0.3">
      <c r="A1014" t="s">
        <v>1361</v>
      </c>
      <c r="B1014" s="1">
        <v>45669</v>
      </c>
      <c r="C1014" t="s">
        <v>685</v>
      </c>
      <c r="D1014" t="s">
        <v>89</v>
      </c>
      <c r="E1014" t="s">
        <v>90</v>
      </c>
      <c r="F1014" t="s">
        <v>20</v>
      </c>
      <c r="G1014" t="s">
        <v>81</v>
      </c>
      <c r="H1014" t="s">
        <v>82</v>
      </c>
      <c r="I1014">
        <v>5</v>
      </c>
      <c r="J1014">
        <v>711.4</v>
      </c>
      <c r="K1014">
        <v>0.05</v>
      </c>
      <c r="L1014">
        <v>3379.15</v>
      </c>
      <c r="M1014" t="s">
        <v>48</v>
      </c>
      <c r="N1014" t="s">
        <v>58</v>
      </c>
      <c r="O1014" t="s">
        <v>65</v>
      </c>
      <c r="P1014" t="s">
        <v>42</v>
      </c>
      <c r="Q1014" t="str">
        <f t="shared" si="105"/>
        <v>Completed</v>
      </c>
      <c r="R1014" t="str">
        <f t="shared" si="106"/>
        <v>Marketplace</v>
      </c>
      <c r="S1014" t="str">
        <v>Credit Card</v>
      </c>
      <c r="T1014" t="str">
        <v>Accessories</v>
      </c>
      <c r="U1014" t="str">
        <f t="shared" si="107"/>
        <v>VALID</v>
      </c>
      <c r="V1014" t="str">
        <f t="shared" si="108"/>
        <v>NORMAL</v>
      </c>
      <c r="W1014" t="str">
        <f t="shared" si="109"/>
        <v>Valid</v>
      </c>
      <c r="X1014">
        <f t="shared" si="111"/>
        <v>3557</v>
      </c>
      <c r="Y1014">
        <f t="shared" si="110"/>
        <v>3379.15</v>
      </c>
    </row>
    <row r="1015" spans="1:25" x14ac:dyDescent="0.3">
      <c r="A1015" t="s">
        <v>1362</v>
      </c>
      <c r="B1015" s="1">
        <v>45728</v>
      </c>
      <c r="C1015" t="s">
        <v>253</v>
      </c>
      <c r="D1015" t="s">
        <v>18</v>
      </c>
      <c r="E1015" t="s">
        <v>19</v>
      </c>
      <c r="F1015" t="s">
        <v>20</v>
      </c>
      <c r="G1015" t="s">
        <v>56</v>
      </c>
      <c r="H1015" t="s">
        <v>57</v>
      </c>
      <c r="I1015">
        <v>3</v>
      </c>
      <c r="J1015">
        <v>913.48</v>
      </c>
      <c r="K1015">
        <v>0</v>
      </c>
      <c r="L1015">
        <v>2740.44</v>
      </c>
      <c r="M1015" t="s">
        <v>23</v>
      </c>
      <c r="N1015" t="s">
        <v>24</v>
      </c>
      <c r="O1015" t="s">
        <v>35</v>
      </c>
      <c r="P1015" t="s">
        <v>42</v>
      </c>
      <c r="Q1015" t="str">
        <f t="shared" si="105"/>
        <v>Cancelled</v>
      </c>
      <c r="R1015" t="str">
        <f t="shared" si="106"/>
        <v>Online</v>
      </c>
      <c r="S1015" t="str">
        <v>Debit Card</v>
      </c>
      <c r="T1015" t="str">
        <v>Accessories</v>
      </c>
      <c r="U1015" t="str">
        <f t="shared" si="107"/>
        <v>VALID</v>
      </c>
      <c r="V1015" t="str">
        <f t="shared" si="108"/>
        <v>NORMAL</v>
      </c>
      <c r="W1015" t="str">
        <f t="shared" si="109"/>
        <v>Valid</v>
      </c>
      <c r="X1015">
        <f t="shared" si="111"/>
        <v>2740.44</v>
      </c>
      <c r="Y1015">
        <f t="shared" si="110"/>
        <v>2740.44</v>
      </c>
    </row>
    <row r="1016" spans="1:25" x14ac:dyDescent="0.3">
      <c r="A1016" t="s">
        <v>1363</v>
      </c>
      <c r="B1016" s="1">
        <v>45970</v>
      </c>
      <c r="C1016" t="s">
        <v>243</v>
      </c>
      <c r="D1016" t="s">
        <v>29</v>
      </c>
      <c r="E1016" t="s">
        <v>30</v>
      </c>
      <c r="F1016" t="s">
        <v>31</v>
      </c>
      <c r="G1016" t="s">
        <v>56</v>
      </c>
      <c r="H1016" t="s">
        <v>57</v>
      </c>
      <c r="I1016">
        <v>3</v>
      </c>
      <c r="J1016">
        <v>3455.75</v>
      </c>
      <c r="K1016">
        <v>0.05</v>
      </c>
      <c r="L1016">
        <v>9848.89</v>
      </c>
      <c r="M1016" t="s">
        <v>76</v>
      </c>
      <c r="N1016" t="s">
        <v>49</v>
      </c>
      <c r="O1016" t="s">
        <v>65</v>
      </c>
      <c r="P1016" t="s">
        <v>102</v>
      </c>
      <c r="Q1016" t="str">
        <f t="shared" si="105"/>
        <v>Completed</v>
      </c>
      <c r="R1016" t="str">
        <f t="shared" si="106"/>
        <v>Store</v>
      </c>
      <c r="S1016" t="str">
        <v>Net Banking</v>
      </c>
      <c r="T1016" t="str">
        <v>Electronics</v>
      </c>
      <c r="U1016" t="str">
        <f t="shared" si="107"/>
        <v>VALID</v>
      </c>
      <c r="V1016" t="str">
        <f t="shared" si="108"/>
        <v>NORMAL</v>
      </c>
      <c r="W1016" t="str">
        <f t="shared" si="109"/>
        <v>Valid</v>
      </c>
      <c r="X1016">
        <f t="shared" si="111"/>
        <v>10367.25</v>
      </c>
      <c r="Y1016">
        <f t="shared" si="110"/>
        <v>9848.8875000000007</v>
      </c>
    </row>
    <row r="1017" spans="1:25" x14ac:dyDescent="0.3">
      <c r="A1017" t="s">
        <v>1364</v>
      </c>
      <c r="B1017" s="1">
        <v>45535</v>
      </c>
      <c r="C1017" t="s">
        <v>200</v>
      </c>
      <c r="D1017" t="s">
        <v>121</v>
      </c>
      <c r="E1017" t="s">
        <v>122</v>
      </c>
      <c r="F1017" t="s">
        <v>55</v>
      </c>
      <c r="G1017" t="s">
        <v>81</v>
      </c>
      <c r="H1017" t="s">
        <v>98</v>
      </c>
      <c r="I1017">
        <v>1</v>
      </c>
      <c r="J1017">
        <v>415.25</v>
      </c>
      <c r="K1017">
        <v>0.05</v>
      </c>
      <c r="L1017">
        <v>394.49</v>
      </c>
      <c r="M1017" t="s">
        <v>48</v>
      </c>
      <c r="N1017" t="s">
        <v>58</v>
      </c>
      <c r="O1017" t="s">
        <v>65</v>
      </c>
      <c r="P1017" t="s">
        <v>50</v>
      </c>
      <c r="Q1017" t="str">
        <f t="shared" si="105"/>
        <v>Completed</v>
      </c>
      <c r="R1017" t="str">
        <f t="shared" si="106"/>
        <v>Marketplace</v>
      </c>
      <c r="S1017" t="str">
        <v>Credit Card</v>
      </c>
      <c r="T1017" t="str">
        <v>Stationery</v>
      </c>
      <c r="U1017" t="str">
        <f t="shared" si="107"/>
        <v>VALID</v>
      </c>
      <c r="V1017" t="str">
        <f t="shared" si="108"/>
        <v>NORMAL</v>
      </c>
      <c r="W1017" t="str">
        <f t="shared" si="109"/>
        <v>Valid</v>
      </c>
      <c r="X1017">
        <f t="shared" si="111"/>
        <v>415.25</v>
      </c>
      <c r="Y1017">
        <f t="shared" si="110"/>
        <v>394.48750000000001</v>
      </c>
    </row>
    <row r="1018" spans="1:25" x14ac:dyDescent="0.3">
      <c r="A1018" t="s">
        <v>1365</v>
      </c>
      <c r="B1018" s="1">
        <v>46043</v>
      </c>
      <c r="C1018" t="s">
        <v>272</v>
      </c>
      <c r="D1018" t="s">
        <v>29</v>
      </c>
      <c r="E1018" t="s">
        <v>30</v>
      </c>
      <c r="F1018" t="s">
        <v>31</v>
      </c>
      <c r="G1018" t="s">
        <v>81</v>
      </c>
      <c r="H1018" t="s">
        <v>82</v>
      </c>
      <c r="I1018">
        <v>1</v>
      </c>
      <c r="J1018">
        <v>3057.21</v>
      </c>
      <c r="K1018">
        <v>0.1</v>
      </c>
      <c r="L1018">
        <v>2751.49</v>
      </c>
      <c r="M1018" t="s">
        <v>23</v>
      </c>
      <c r="N1018" t="s">
        <v>58</v>
      </c>
      <c r="O1018" t="s">
        <v>65</v>
      </c>
      <c r="P1018" t="s">
        <v>59</v>
      </c>
      <c r="Q1018" t="str">
        <f t="shared" si="105"/>
        <v>Completed</v>
      </c>
      <c r="R1018" t="str">
        <f t="shared" si="106"/>
        <v>Online</v>
      </c>
      <c r="S1018" t="str">
        <v>Credit Card</v>
      </c>
      <c r="T1018" t="str">
        <v>Electronics</v>
      </c>
      <c r="U1018" t="str">
        <f t="shared" si="107"/>
        <v>VALID</v>
      </c>
      <c r="V1018" t="str">
        <f t="shared" si="108"/>
        <v>NORMAL</v>
      </c>
      <c r="W1018" t="str">
        <f t="shared" si="109"/>
        <v>Valid</v>
      </c>
      <c r="X1018">
        <f t="shared" si="111"/>
        <v>3057.21</v>
      </c>
      <c r="Y1018">
        <f t="shared" si="110"/>
        <v>2751.489</v>
      </c>
    </row>
    <row r="1019" spans="1:25" x14ac:dyDescent="0.3">
      <c r="A1019" t="s">
        <v>1366</v>
      </c>
      <c r="B1019" s="1">
        <v>45944</v>
      </c>
      <c r="C1019" t="s">
        <v>1211</v>
      </c>
      <c r="D1019" t="s">
        <v>121</v>
      </c>
      <c r="E1019" t="s">
        <v>122</v>
      </c>
      <c r="F1019" t="s">
        <v>55</v>
      </c>
      <c r="G1019" t="s">
        <v>56</v>
      </c>
      <c r="H1019" t="s">
        <v>57</v>
      </c>
      <c r="I1019">
        <v>3</v>
      </c>
      <c r="J1019">
        <v>422.04</v>
      </c>
      <c r="K1019">
        <v>0.08</v>
      </c>
      <c r="L1019">
        <v>1164.83</v>
      </c>
      <c r="M1019" t="s">
        <v>48</v>
      </c>
      <c r="N1019" t="s">
        <v>71</v>
      </c>
      <c r="O1019" t="s">
        <v>65</v>
      </c>
      <c r="P1019" t="s">
        <v>59</v>
      </c>
      <c r="Q1019" t="str">
        <f t="shared" si="105"/>
        <v>Completed</v>
      </c>
      <c r="R1019" t="str">
        <f t="shared" si="106"/>
        <v>Marketplace</v>
      </c>
      <c r="S1019" t="str">
        <v>Upi</v>
      </c>
      <c r="T1019" t="str">
        <v>Stationery</v>
      </c>
      <c r="U1019" t="str">
        <f t="shared" si="107"/>
        <v>VALID</v>
      </c>
      <c r="V1019" t="str">
        <f t="shared" si="108"/>
        <v>NORMAL</v>
      </c>
      <c r="W1019" t="str">
        <f t="shared" si="109"/>
        <v>Valid</v>
      </c>
      <c r="X1019">
        <f t="shared" si="111"/>
        <v>1266.1200000000001</v>
      </c>
      <c r="Y1019">
        <f t="shared" si="110"/>
        <v>1164.8304000000001</v>
      </c>
    </row>
    <row r="1020" spans="1:25" x14ac:dyDescent="0.3">
      <c r="A1020" t="s">
        <v>1367</v>
      </c>
      <c r="B1020" s="1">
        <v>45457</v>
      </c>
      <c r="C1020" t="s">
        <v>125</v>
      </c>
      <c r="D1020" t="s">
        <v>38</v>
      </c>
      <c r="E1020" t="s">
        <v>39</v>
      </c>
      <c r="F1020" t="s">
        <v>40</v>
      </c>
      <c r="G1020" t="s">
        <v>32</v>
      </c>
      <c r="H1020" t="s">
        <v>33</v>
      </c>
      <c r="I1020">
        <v>2</v>
      </c>
      <c r="J1020">
        <v>1678.98</v>
      </c>
      <c r="K1020">
        <v>0</v>
      </c>
      <c r="L1020">
        <v>3357.96</v>
      </c>
      <c r="M1020" t="s">
        <v>23</v>
      </c>
      <c r="N1020" t="s">
        <v>58</v>
      </c>
      <c r="O1020" t="s">
        <v>65</v>
      </c>
      <c r="P1020" t="s">
        <v>72</v>
      </c>
      <c r="Q1020" t="str">
        <f t="shared" si="105"/>
        <v>Completed</v>
      </c>
      <c r="R1020" t="str">
        <f t="shared" si="106"/>
        <v>Online</v>
      </c>
      <c r="S1020" t="str">
        <v>Credit Card</v>
      </c>
      <c r="T1020" t="str">
        <v>Furniture</v>
      </c>
      <c r="U1020" t="str">
        <f t="shared" si="107"/>
        <v>VALID</v>
      </c>
      <c r="V1020" t="str">
        <f t="shared" si="108"/>
        <v>NORMAL</v>
      </c>
      <c r="W1020" t="str">
        <f t="shared" si="109"/>
        <v>Valid</v>
      </c>
      <c r="X1020">
        <f t="shared" si="111"/>
        <v>3357.96</v>
      </c>
      <c r="Y1020">
        <f t="shared" si="110"/>
        <v>3357.96</v>
      </c>
    </row>
    <row r="1021" spans="1:25" x14ac:dyDescent="0.3">
      <c r="A1021" t="s">
        <v>1368</v>
      </c>
      <c r="B1021" s="1">
        <v>45682</v>
      </c>
      <c r="C1021" t="s">
        <v>341</v>
      </c>
      <c r="D1021" t="s">
        <v>176</v>
      </c>
      <c r="E1021" t="s">
        <v>177</v>
      </c>
      <c r="F1021" t="s">
        <v>31</v>
      </c>
      <c r="G1021" t="s">
        <v>81</v>
      </c>
      <c r="H1021" t="s">
        <v>82</v>
      </c>
      <c r="I1021">
        <v>2</v>
      </c>
      <c r="J1021">
        <v>2249.92</v>
      </c>
      <c r="K1021">
        <v>0.2</v>
      </c>
      <c r="L1021">
        <v>3599.87</v>
      </c>
      <c r="M1021" t="s">
        <v>76</v>
      </c>
      <c r="N1021" t="s">
        <v>58</v>
      </c>
      <c r="O1021" t="s">
        <v>65</v>
      </c>
      <c r="P1021" t="s">
        <v>26</v>
      </c>
      <c r="Q1021" t="str">
        <f t="shared" si="105"/>
        <v>Completed</v>
      </c>
      <c r="R1021" t="str">
        <f t="shared" si="106"/>
        <v>Store</v>
      </c>
      <c r="S1021" t="str">
        <v>Credit Card</v>
      </c>
      <c r="T1021" t="str">
        <v>Electronics</v>
      </c>
      <c r="U1021" t="str">
        <f t="shared" si="107"/>
        <v>VALID</v>
      </c>
      <c r="V1021" t="str">
        <f t="shared" si="108"/>
        <v>NORMAL</v>
      </c>
      <c r="W1021" t="str">
        <f t="shared" si="109"/>
        <v>Valid</v>
      </c>
      <c r="X1021">
        <f t="shared" si="111"/>
        <v>4499.84</v>
      </c>
      <c r="Y1021">
        <f t="shared" si="110"/>
        <v>3599.8720000000003</v>
      </c>
    </row>
    <row r="1022" spans="1:25" x14ac:dyDescent="0.3">
      <c r="A1022" t="s">
        <v>1369</v>
      </c>
      <c r="B1022" s="1">
        <v>45896</v>
      </c>
      <c r="C1022" t="s">
        <v>343</v>
      </c>
      <c r="D1022" t="s">
        <v>29</v>
      </c>
      <c r="E1022" t="s">
        <v>30</v>
      </c>
      <c r="F1022" t="s">
        <v>31</v>
      </c>
      <c r="G1022" t="s">
        <v>21</v>
      </c>
      <c r="H1022" t="s">
        <v>22</v>
      </c>
      <c r="I1022">
        <v>1</v>
      </c>
      <c r="J1022">
        <v>3240.66</v>
      </c>
      <c r="K1022">
        <v>0.1</v>
      </c>
      <c r="L1022">
        <v>2916.59</v>
      </c>
      <c r="M1022" t="s">
        <v>48</v>
      </c>
      <c r="N1022" t="s">
        <v>24</v>
      </c>
      <c r="O1022" t="s">
        <v>65</v>
      </c>
      <c r="P1022" t="s">
        <v>59</v>
      </c>
      <c r="Q1022" t="str">
        <f t="shared" si="105"/>
        <v>Completed</v>
      </c>
      <c r="R1022" t="str">
        <f t="shared" si="106"/>
        <v>Marketplace</v>
      </c>
      <c r="S1022" t="str">
        <v>Debit Card</v>
      </c>
      <c r="T1022" t="str">
        <v>Electronics</v>
      </c>
      <c r="U1022" t="str">
        <f t="shared" si="107"/>
        <v>VALID</v>
      </c>
      <c r="V1022" t="str">
        <f t="shared" si="108"/>
        <v>NORMAL</v>
      </c>
      <c r="W1022" t="str">
        <f t="shared" si="109"/>
        <v>Valid</v>
      </c>
      <c r="X1022">
        <f t="shared" si="111"/>
        <v>3240.66</v>
      </c>
      <c r="Y1022">
        <f t="shared" si="110"/>
        <v>2916.5940000000001</v>
      </c>
    </row>
    <row r="1023" spans="1:25" x14ac:dyDescent="0.3">
      <c r="A1023" t="s">
        <v>1370</v>
      </c>
      <c r="B1023" s="1">
        <v>45403</v>
      </c>
      <c r="C1023" t="s">
        <v>607</v>
      </c>
      <c r="D1023" t="s">
        <v>62</v>
      </c>
      <c r="E1023" t="s">
        <v>63</v>
      </c>
      <c r="F1023" t="s">
        <v>31</v>
      </c>
      <c r="G1023" t="s">
        <v>21</v>
      </c>
      <c r="H1023" t="s">
        <v>22</v>
      </c>
      <c r="I1023">
        <v>2</v>
      </c>
      <c r="J1023">
        <v>2748.94</v>
      </c>
      <c r="K1023">
        <v>0.75</v>
      </c>
      <c r="L1023">
        <v>4673.2</v>
      </c>
      <c r="M1023" t="s">
        <v>48</v>
      </c>
      <c r="N1023" t="s">
        <v>34</v>
      </c>
      <c r="O1023" t="s">
        <v>65</v>
      </c>
      <c r="P1023" t="s">
        <v>50</v>
      </c>
      <c r="Q1023" t="str">
        <f t="shared" si="105"/>
        <v>Completed</v>
      </c>
      <c r="R1023" t="str">
        <f t="shared" si="106"/>
        <v>Marketplace</v>
      </c>
      <c r="S1023" t="str">
        <v>Cash On Delivery</v>
      </c>
      <c r="T1023" t="str">
        <v>Electronics</v>
      </c>
      <c r="U1023" t="str">
        <f t="shared" si="107"/>
        <v>VALID</v>
      </c>
      <c r="V1023" t="str">
        <f t="shared" si="108"/>
        <v>NORMAL</v>
      </c>
      <c r="W1023" t="str">
        <f t="shared" si="109"/>
        <v>Valid</v>
      </c>
      <c r="X1023">
        <f t="shared" si="111"/>
        <v>5497.88</v>
      </c>
      <c r="Y1023">
        <f t="shared" si="110"/>
        <v>1374.4700000000003</v>
      </c>
    </row>
    <row r="1024" spans="1:25" x14ac:dyDescent="0.3">
      <c r="A1024" t="s">
        <v>1371</v>
      </c>
      <c r="B1024" s="1">
        <v>45975</v>
      </c>
      <c r="C1024" t="s">
        <v>422</v>
      </c>
      <c r="D1024" t="s">
        <v>105</v>
      </c>
      <c r="E1024" t="s">
        <v>106</v>
      </c>
      <c r="F1024" t="s">
        <v>40</v>
      </c>
      <c r="G1024" t="s">
        <v>21</v>
      </c>
      <c r="H1024" t="s">
        <v>93</v>
      </c>
      <c r="I1024">
        <v>4</v>
      </c>
      <c r="J1024">
        <v>6706.94</v>
      </c>
      <c r="K1024">
        <v>0</v>
      </c>
      <c r="L1024">
        <v>26827.759999999998</v>
      </c>
      <c r="M1024" t="s">
        <v>23</v>
      </c>
      <c r="N1024" t="s">
        <v>34</v>
      </c>
      <c r="O1024" t="s">
        <v>25</v>
      </c>
      <c r="P1024" t="s">
        <v>50</v>
      </c>
      <c r="Q1024" t="str">
        <f t="shared" si="105"/>
        <v>Returned</v>
      </c>
      <c r="R1024" t="str">
        <f t="shared" si="106"/>
        <v>Online</v>
      </c>
      <c r="S1024" t="str">
        <v>Cash On Delivery</v>
      </c>
      <c r="T1024" t="str">
        <v>Furniture</v>
      </c>
      <c r="U1024" t="str">
        <f t="shared" si="107"/>
        <v>VALID</v>
      </c>
      <c r="V1024" t="str">
        <f t="shared" si="108"/>
        <v>NORMAL</v>
      </c>
      <c r="W1024" t="str">
        <f t="shared" si="109"/>
        <v>Valid</v>
      </c>
      <c r="X1024">
        <f t="shared" si="111"/>
        <v>26827.759999999998</v>
      </c>
      <c r="Y1024">
        <f t="shared" si="110"/>
        <v>26827.759999999998</v>
      </c>
    </row>
    <row r="1025" spans="1:25" x14ac:dyDescent="0.3">
      <c r="A1025" t="s">
        <v>1372</v>
      </c>
      <c r="B1025" s="1">
        <v>45575</v>
      </c>
      <c r="C1025" t="s">
        <v>28</v>
      </c>
      <c r="D1025" t="s">
        <v>18</v>
      </c>
      <c r="E1025" t="s">
        <v>19</v>
      </c>
      <c r="F1025" t="s">
        <v>20</v>
      </c>
      <c r="G1025" t="s">
        <v>21</v>
      </c>
      <c r="H1025" t="s">
        <v>126</v>
      </c>
      <c r="I1025">
        <v>3</v>
      </c>
      <c r="J1025">
        <v>873.05</v>
      </c>
      <c r="K1025">
        <v>0.2</v>
      </c>
      <c r="L1025">
        <v>2095.3200000000002</v>
      </c>
      <c r="M1025" t="s">
        <v>23</v>
      </c>
      <c r="N1025" t="s">
        <v>24</v>
      </c>
      <c r="O1025" t="s">
        <v>25</v>
      </c>
      <c r="P1025" t="s">
        <v>59</v>
      </c>
      <c r="Q1025" t="str">
        <f t="shared" si="105"/>
        <v>Returned</v>
      </c>
      <c r="R1025" t="str">
        <f t="shared" si="106"/>
        <v>Online</v>
      </c>
      <c r="S1025" t="str">
        <v>Debit Card</v>
      </c>
      <c r="T1025" t="str">
        <v>Accessories</v>
      </c>
      <c r="U1025" t="str">
        <f t="shared" si="107"/>
        <v>VALID</v>
      </c>
      <c r="V1025" t="str">
        <f t="shared" si="108"/>
        <v>NORMAL</v>
      </c>
      <c r="W1025" t="str">
        <f t="shared" si="109"/>
        <v>Valid</v>
      </c>
      <c r="X1025">
        <f t="shared" si="111"/>
        <v>2619.1499999999996</v>
      </c>
      <c r="Y1025">
        <f t="shared" si="110"/>
        <v>2095.3199999999997</v>
      </c>
    </row>
    <row r="1026" spans="1:25" x14ac:dyDescent="0.3">
      <c r="A1026" t="s">
        <v>1373</v>
      </c>
      <c r="B1026" s="1">
        <v>45413</v>
      </c>
      <c r="C1026" t="s">
        <v>511</v>
      </c>
      <c r="D1026" t="s">
        <v>85</v>
      </c>
      <c r="E1026" t="s">
        <v>86</v>
      </c>
      <c r="F1026" t="s">
        <v>20</v>
      </c>
      <c r="G1026" t="s">
        <v>32</v>
      </c>
      <c r="I1026">
        <v>5</v>
      </c>
      <c r="J1026">
        <v>1778.18</v>
      </c>
      <c r="K1026">
        <v>0.08</v>
      </c>
      <c r="L1026">
        <v>8179.63</v>
      </c>
      <c r="M1026" t="s">
        <v>23</v>
      </c>
      <c r="N1026" t="s">
        <v>49</v>
      </c>
      <c r="O1026" t="s">
        <v>25</v>
      </c>
      <c r="P1026" t="s">
        <v>42</v>
      </c>
      <c r="Q1026" t="str">
        <f t="shared" si="105"/>
        <v>Returned</v>
      </c>
      <c r="R1026" t="str">
        <f t="shared" si="106"/>
        <v>Online</v>
      </c>
      <c r="S1026" t="str">
        <v>Net Banking</v>
      </c>
      <c r="T1026" t="str">
        <v>Accessories</v>
      </c>
      <c r="U1026" t="str">
        <f t="shared" si="107"/>
        <v>VALID</v>
      </c>
      <c r="V1026" t="str">
        <f t="shared" si="108"/>
        <v>NORMAL</v>
      </c>
      <c r="W1026" t="str">
        <f t="shared" si="109"/>
        <v>Valid</v>
      </c>
      <c r="X1026">
        <f t="shared" si="111"/>
        <v>8890.9</v>
      </c>
      <c r="Y1026">
        <f t="shared" si="110"/>
        <v>8179.6279999999997</v>
      </c>
    </row>
    <row r="1027" spans="1:25" x14ac:dyDescent="0.3">
      <c r="A1027" t="s">
        <v>1374</v>
      </c>
      <c r="B1027" s="1">
        <v>45415</v>
      </c>
      <c r="C1027" t="s">
        <v>445</v>
      </c>
      <c r="D1027" t="s">
        <v>38</v>
      </c>
      <c r="E1027" t="s">
        <v>39</v>
      </c>
      <c r="F1027" t="s">
        <v>40</v>
      </c>
      <c r="G1027" t="s">
        <v>32</v>
      </c>
      <c r="H1027" t="s">
        <v>47</v>
      </c>
      <c r="I1027">
        <v>5</v>
      </c>
      <c r="J1027">
        <v>1655.2</v>
      </c>
      <c r="K1027">
        <v>0.03</v>
      </c>
      <c r="L1027">
        <v>8027.72</v>
      </c>
      <c r="M1027" t="s">
        <v>48</v>
      </c>
      <c r="N1027" t="s">
        <v>24</v>
      </c>
      <c r="O1027" t="s">
        <v>65</v>
      </c>
      <c r="P1027" t="s">
        <v>50</v>
      </c>
      <c r="Q1027" t="str">
        <f t="shared" ref="Q1027:Q1090" si="112">PROPER(O1027)</f>
        <v>Completed</v>
      </c>
      <c r="R1027" t="str">
        <f t="shared" ref="R1027:R1090" si="113">PROPER(M1027)</f>
        <v>Marketplace</v>
      </c>
      <c r="S1027" t="str">
        <v>Debit Card</v>
      </c>
      <c r="T1027" t="str">
        <v>Furniture</v>
      </c>
      <c r="U1027" t="str">
        <f t="shared" ref="U1027:U1090" si="114">IF(I1027&lt;=0,"INVALID","VALID")</f>
        <v>VALID</v>
      </c>
      <c r="V1027" t="str">
        <f t="shared" ref="V1027:V1090" si="115">IF(I1027&gt;100,"REVIEW","NORMAL")</f>
        <v>NORMAL</v>
      </c>
      <c r="W1027" t="str">
        <f t="shared" ref="W1027:W1090" si="116">IF(OR(K1027&lt;0,K1027&gt;1),"Invalid","Valid")</f>
        <v>Valid</v>
      </c>
      <c r="X1027">
        <f t="shared" si="111"/>
        <v>8276</v>
      </c>
      <c r="Y1027">
        <f t="shared" ref="Y1027:Y1090" si="117">I1027*J1027-(I1027*J1027*K1027)</f>
        <v>8027.72</v>
      </c>
    </row>
    <row r="1028" spans="1:25" x14ac:dyDescent="0.3">
      <c r="A1028" t="s">
        <v>1375</v>
      </c>
      <c r="B1028" s="1">
        <v>46100</v>
      </c>
      <c r="C1028" t="s">
        <v>672</v>
      </c>
      <c r="D1028" t="s">
        <v>38</v>
      </c>
      <c r="E1028" t="s">
        <v>39</v>
      </c>
      <c r="F1028" t="s">
        <v>40</v>
      </c>
      <c r="G1028" t="s">
        <v>81</v>
      </c>
      <c r="H1028" t="s">
        <v>87</v>
      </c>
      <c r="I1028">
        <v>2</v>
      </c>
      <c r="J1028">
        <v>1602.56</v>
      </c>
      <c r="K1028">
        <v>0.03</v>
      </c>
      <c r="L1028">
        <v>3108.97</v>
      </c>
      <c r="M1028" t="s">
        <v>76</v>
      </c>
      <c r="N1028" t="s">
        <v>49</v>
      </c>
      <c r="O1028" t="s">
        <v>35</v>
      </c>
      <c r="P1028" t="s">
        <v>72</v>
      </c>
      <c r="Q1028" t="str">
        <f t="shared" si="112"/>
        <v>Cancelled</v>
      </c>
      <c r="R1028" t="str">
        <f t="shared" si="113"/>
        <v>Store</v>
      </c>
      <c r="S1028" t="str">
        <v>Net Banking</v>
      </c>
      <c r="T1028" t="str">
        <v>Furniture</v>
      </c>
      <c r="U1028" t="str">
        <f t="shared" si="114"/>
        <v>VALID</v>
      </c>
      <c r="V1028" t="str">
        <f t="shared" si="115"/>
        <v>NORMAL</v>
      </c>
      <c r="W1028" t="str">
        <f t="shared" si="116"/>
        <v>Valid</v>
      </c>
      <c r="X1028">
        <f t="shared" ref="X1028:X1091" si="118">I1028*J1028</f>
        <v>3205.12</v>
      </c>
      <c r="Y1028">
        <f t="shared" si="117"/>
        <v>3108.9663999999998</v>
      </c>
    </row>
    <row r="1029" spans="1:25" x14ac:dyDescent="0.3">
      <c r="A1029" t="s">
        <v>1376</v>
      </c>
      <c r="B1029" s="1">
        <v>45417</v>
      </c>
      <c r="C1029" t="s">
        <v>291</v>
      </c>
      <c r="D1029" t="s">
        <v>105</v>
      </c>
      <c r="E1029" t="s">
        <v>106</v>
      </c>
      <c r="F1029" t="s">
        <v>40</v>
      </c>
      <c r="G1029" t="s">
        <v>56</v>
      </c>
      <c r="H1029" t="s">
        <v>123</v>
      </c>
      <c r="I1029">
        <v>5</v>
      </c>
      <c r="J1029">
        <v>6665.54</v>
      </c>
      <c r="K1029">
        <v>0.2</v>
      </c>
      <c r="L1029">
        <v>26662.16</v>
      </c>
      <c r="M1029" t="s">
        <v>76</v>
      </c>
      <c r="N1029" t="s">
        <v>49</v>
      </c>
      <c r="O1029" t="s">
        <v>65</v>
      </c>
      <c r="P1029" t="s">
        <v>102</v>
      </c>
      <c r="Q1029" t="str">
        <f t="shared" si="112"/>
        <v>Completed</v>
      </c>
      <c r="R1029" t="str">
        <f t="shared" si="113"/>
        <v>Store</v>
      </c>
      <c r="S1029" t="str">
        <v>Net Banking</v>
      </c>
      <c r="T1029" t="str">
        <v>Furniture</v>
      </c>
      <c r="U1029" t="str">
        <f t="shared" si="114"/>
        <v>VALID</v>
      </c>
      <c r="V1029" t="str">
        <f t="shared" si="115"/>
        <v>NORMAL</v>
      </c>
      <c r="W1029" t="str">
        <f t="shared" si="116"/>
        <v>Valid</v>
      </c>
      <c r="X1029">
        <f t="shared" si="118"/>
        <v>33327.699999999997</v>
      </c>
      <c r="Y1029">
        <f t="shared" si="117"/>
        <v>26662.159999999996</v>
      </c>
    </row>
    <row r="1030" spans="1:25" x14ac:dyDescent="0.3">
      <c r="A1030" t="s">
        <v>1377</v>
      </c>
      <c r="B1030" s="1">
        <v>45741</v>
      </c>
      <c r="C1030" t="s">
        <v>574</v>
      </c>
      <c r="D1030" t="s">
        <v>85</v>
      </c>
      <c r="E1030" t="s">
        <v>86</v>
      </c>
      <c r="F1030" t="s">
        <v>20</v>
      </c>
      <c r="G1030" t="s">
        <v>81</v>
      </c>
      <c r="H1030" t="s">
        <v>98</v>
      </c>
      <c r="I1030">
        <v>5</v>
      </c>
      <c r="J1030">
        <v>1757.61</v>
      </c>
      <c r="K1030">
        <v>0.08</v>
      </c>
      <c r="L1030">
        <v>8085.01</v>
      </c>
      <c r="M1030" t="s">
        <v>48</v>
      </c>
      <c r="O1030" t="s">
        <v>25</v>
      </c>
      <c r="P1030" t="s">
        <v>42</v>
      </c>
      <c r="Q1030" t="str">
        <f t="shared" si="112"/>
        <v>Returned</v>
      </c>
      <c r="R1030" t="str">
        <f t="shared" si="113"/>
        <v>Marketplace</v>
      </c>
      <c r="S1030" t="str">
        <v/>
      </c>
      <c r="T1030" t="str">
        <v>Accessories</v>
      </c>
      <c r="U1030" t="str">
        <f t="shared" si="114"/>
        <v>VALID</v>
      </c>
      <c r="V1030" t="str">
        <f t="shared" si="115"/>
        <v>NORMAL</v>
      </c>
      <c r="W1030" t="str">
        <f t="shared" si="116"/>
        <v>Valid</v>
      </c>
      <c r="X1030">
        <f t="shared" si="118"/>
        <v>8788.0499999999993</v>
      </c>
      <c r="Y1030">
        <f t="shared" si="117"/>
        <v>8085.0059999999994</v>
      </c>
    </row>
    <row r="1031" spans="1:25" x14ac:dyDescent="0.3">
      <c r="A1031" t="s">
        <v>1378</v>
      </c>
      <c r="B1031" s="1">
        <v>45800</v>
      </c>
      <c r="C1031" t="s">
        <v>247</v>
      </c>
      <c r="D1031" t="s">
        <v>121</v>
      </c>
      <c r="E1031" t="s">
        <v>122</v>
      </c>
      <c r="F1031" t="s">
        <v>55</v>
      </c>
      <c r="G1031" t="s">
        <v>56</v>
      </c>
      <c r="H1031" t="s">
        <v>57</v>
      </c>
      <c r="I1031">
        <v>3</v>
      </c>
      <c r="J1031">
        <v>418.23</v>
      </c>
      <c r="K1031">
        <v>0.08</v>
      </c>
      <c r="L1031">
        <v>1154.31</v>
      </c>
      <c r="M1031" t="s">
        <v>48</v>
      </c>
      <c r="N1031" t="s">
        <v>34</v>
      </c>
      <c r="O1031" t="s">
        <v>65</v>
      </c>
      <c r="P1031" t="s">
        <v>59</v>
      </c>
      <c r="Q1031" t="str">
        <f t="shared" si="112"/>
        <v>Completed</v>
      </c>
      <c r="R1031" t="str">
        <f t="shared" si="113"/>
        <v>Marketplace</v>
      </c>
      <c r="S1031" t="str">
        <v>Cash On Delivery</v>
      </c>
      <c r="T1031" t="str">
        <v>Stationery</v>
      </c>
      <c r="U1031" t="str">
        <f t="shared" si="114"/>
        <v>VALID</v>
      </c>
      <c r="V1031" t="str">
        <f t="shared" si="115"/>
        <v>NORMAL</v>
      </c>
      <c r="W1031" t="str">
        <f t="shared" si="116"/>
        <v>Valid</v>
      </c>
      <c r="X1031">
        <f t="shared" si="118"/>
        <v>1254.69</v>
      </c>
      <c r="Y1031">
        <f t="shared" si="117"/>
        <v>1154.3148000000001</v>
      </c>
    </row>
    <row r="1032" spans="1:25" x14ac:dyDescent="0.3">
      <c r="A1032" t="s">
        <v>1379</v>
      </c>
      <c r="B1032" s="1">
        <v>45315</v>
      </c>
      <c r="C1032" t="s">
        <v>587</v>
      </c>
      <c r="D1032" t="s">
        <v>131</v>
      </c>
      <c r="E1032" t="s">
        <v>132</v>
      </c>
      <c r="F1032" t="s">
        <v>40</v>
      </c>
      <c r="G1032" t="s">
        <v>21</v>
      </c>
      <c r="H1032" t="s">
        <v>126</v>
      </c>
      <c r="I1032">
        <v>2</v>
      </c>
      <c r="J1032">
        <v>9837.1200000000008</v>
      </c>
      <c r="K1032">
        <v>0.08</v>
      </c>
      <c r="L1032">
        <v>18100.3</v>
      </c>
      <c r="M1032" t="s">
        <v>76</v>
      </c>
      <c r="N1032" t="s">
        <v>34</v>
      </c>
      <c r="O1032" t="s">
        <v>65</v>
      </c>
      <c r="P1032" t="s">
        <v>42</v>
      </c>
      <c r="Q1032" t="str">
        <f t="shared" si="112"/>
        <v>Completed</v>
      </c>
      <c r="R1032" t="str">
        <f t="shared" si="113"/>
        <v>Store</v>
      </c>
      <c r="S1032" t="str">
        <v>Cash On Delivery</v>
      </c>
      <c r="T1032" t="str">
        <v>Furniture</v>
      </c>
      <c r="U1032" t="str">
        <f t="shared" si="114"/>
        <v>VALID</v>
      </c>
      <c r="V1032" t="str">
        <f t="shared" si="115"/>
        <v>NORMAL</v>
      </c>
      <c r="W1032" t="str">
        <f t="shared" si="116"/>
        <v>Valid</v>
      </c>
      <c r="X1032">
        <f t="shared" si="118"/>
        <v>19674.240000000002</v>
      </c>
      <c r="Y1032">
        <f t="shared" si="117"/>
        <v>18100.300800000001</v>
      </c>
    </row>
    <row r="1033" spans="1:25" x14ac:dyDescent="0.3">
      <c r="A1033" t="s">
        <v>1380</v>
      </c>
      <c r="B1033" s="1">
        <v>45860</v>
      </c>
      <c r="C1033" t="s">
        <v>490</v>
      </c>
      <c r="D1033" t="s">
        <v>53</v>
      </c>
      <c r="E1033" t="s">
        <v>54</v>
      </c>
      <c r="F1033" t="s">
        <v>55</v>
      </c>
      <c r="G1033" t="s">
        <v>32</v>
      </c>
      <c r="H1033" t="s">
        <v>33</v>
      </c>
      <c r="I1033">
        <v>1</v>
      </c>
      <c r="J1033">
        <v>218.54</v>
      </c>
      <c r="K1033">
        <v>0</v>
      </c>
      <c r="L1033">
        <v>218.54</v>
      </c>
      <c r="M1033" t="s">
        <v>76</v>
      </c>
      <c r="N1033" t="s">
        <v>71</v>
      </c>
      <c r="O1033" t="s">
        <v>65</v>
      </c>
      <c r="P1033" t="s">
        <v>116</v>
      </c>
      <c r="Q1033" t="str">
        <f t="shared" si="112"/>
        <v>Completed</v>
      </c>
      <c r="R1033" t="str">
        <f t="shared" si="113"/>
        <v>Store</v>
      </c>
      <c r="S1033" t="str">
        <v>Upi</v>
      </c>
      <c r="T1033" t="str">
        <v>Stationery</v>
      </c>
      <c r="U1033" t="str">
        <f t="shared" si="114"/>
        <v>VALID</v>
      </c>
      <c r="V1033" t="str">
        <f t="shared" si="115"/>
        <v>NORMAL</v>
      </c>
      <c r="W1033" t="str">
        <f t="shared" si="116"/>
        <v>Valid</v>
      </c>
      <c r="X1033">
        <f t="shared" si="118"/>
        <v>218.54</v>
      </c>
      <c r="Y1033">
        <f t="shared" si="117"/>
        <v>218.54</v>
      </c>
    </row>
    <row r="1034" spans="1:25" x14ac:dyDescent="0.3">
      <c r="A1034" t="s">
        <v>1381</v>
      </c>
      <c r="B1034" s="1">
        <v>45824</v>
      </c>
      <c r="C1034" t="s">
        <v>52</v>
      </c>
      <c r="D1034" t="s">
        <v>176</v>
      </c>
      <c r="E1034" t="s">
        <v>177</v>
      </c>
      <c r="F1034" t="s">
        <v>31</v>
      </c>
      <c r="G1034" t="s">
        <v>56</v>
      </c>
      <c r="H1034" t="s">
        <v>57</v>
      </c>
      <c r="I1034">
        <v>1</v>
      </c>
      <c r="J1034">
        <v>2325.4299999999998</v>
      </c>
      <c r="K1034">
        <v>0.03</v>
      </c>
      <c r="L1034">
        <v>2255.67</v>
      </c>
      <c r="M1034" t="s">
        <v>23</v>
      </c>
      <c r="N1034" t="s">
        <v>71</v>
      </c>
      <c r="O1034" t="s">
        <v>65</v>
      </c>
      <c r="P1034" t="s">
        <v>72</v>
      </c>
      <c r="Q1034" t="str">
        <f t="shared" si="112"/>
        <v>Completed</v>
      </c>
      <c r="R1034" t="str">
        <f t="shared" si="113"/>
        <v>Online</v>
      </c>
      <c r="S1034" t="str">
        <v>Upi</v>
      </c>
      <c r="T1034" t="str">
        <v>Electronics</v>
      </c>
      <c r="U1034" t="str">
        <f t="shared" si="114"/>
        <v>VALID</v>
      </c>
      <c r="V1034" t="str">
        <f t="shared" si="115"/>
        <v>NORMAL</v>
      </c>
      <c r="W1034" t="str">
        <f t="shared" si="116"/>
        <v>Valid</v>
      </c>
      <c r="X1034">
        <f t="shared" si="118"/>
        <v>2325.4299999999998</v>
      </c>
      <c r="Y1034">
        <f t="shared" si="117"/>
        <v>2255.6670999999997</v>
      </c>
    </row>
    <row r="1035" spans="1:25" x14ac:dyDescent="0.3">
      <c r="A1035" t="s">
        <v>1382</v>
      </c>
      <c r="B1035" s="1">
        <v>45863</v>
      </c>
      <c r="C1035" t="s">
        <v>169</v>
      </c>
      <c r="D1035" t="s">
        <v>105</v>
      </c>
      <c r="E1035" t="s">
        <v>106</v>
      </c>
      <c r="F1035" t="s">
        <v>40</v>
      </c>
      <c r="G1035" t="s">
        <v>32</v>
      </c>
      <c r="H1035" t="s">
        <v>75</v>
      </c>
      <c r="I1035">
        <v>4</v>
      </c>
      <c r="J1035">
        <v>7592.34</v>
      </c>
      <c r="K1035">
        <v>0.15</v>
      </c>
      <c r="L1035">
        <v>25813.96</v>
      </c>
      <c r="M1035" t="s">
        <v>76</v>
      </c>
      <c r="N1035" t="s">
        <v>24</v>
      </c>
      <c r="O1035" t="s">
        <v>25</v>
      </c>
      <c r="P1035" t="s">
        <v>59</v>
      </c>
      <c r="Q1035" t="str">
        <f t="shared" si="112"/>
        <v>Returned</v>
      </c>
      <c r="R1035" t="str">
        <f t="shared" si="113"/>
        <v>Store</v>
      </c>
      <c r="S1035" t="str">
        <v>Debit Card</v>
      </c>
      <c r="T1035" t="str">
        <v>Furniture</v>
      </c>
      <c r="U1035" t="str">
        <f t="shared" si="114"/>
        <v>VALID</v>
      </c>
      <c r="V1035" t="str">
        <f t="shared" si="115"/>
        <v>NORMAL</v>
      </c>
      <c r="W1035" t="str">
        <f t="shared" si="116"/>
        <v>Valid</v>
      </c>
      <c r="X1035">
        <f t="shared" si="118"/>
        <v>30369.360000000001</v>
      </c>
      <c r="Y1035">
        <f t="shared" si="117"/>
        <v>25813.956000000002</v>
      </c>
    </row>
    <row r="1036" spans="1:25" x14ac:dyDescent="0.3">
      <c r="A1036" t="s">
        <v>1383</v>
      </c>
      <c r="B1036" s="1">
        <v>45311</v>
      </c>
      <c r="C1036" t="s">
        <v>441</v>
      </c>
      <c r="D1036" t="s">
        <v>105</v>
      </c>
      <c r="E1036" t="s">
        <v>106</v>
      </c>
      <c r="F1036" t="s">
        <v>40</v>
      </c>
      <c r="G1036" t="s">
        <v>56</v>
      </c>
      <c r="H1036" t="s">
        <v>64</v>
      </c>
      <c r="I1036">
        <v>3</v>
      </c>
      <c r="J1036">
        <v>7112.4</v>
      </c>
      <c r="K1036">
        <v>0</v>
      </c>
      <c r="L1036">
        <v>21337.200000000001</v>
      </c>
      <c r="M1036" t="s">
        <v>76</v>
      </c>
      <c r="N1036" t="s">
        <v>58</v>
      </c>
      <c r="O1036" t="s">
        <v>65</v>
      </c>
      <c r="P1036" t="s">
        <v>42</v>
      </c>
      <c r="Q1036" t="str">
        <f t="shared" si="112"/>
        <v>Completed</v>
      </c>
      <c r="R1036" t="str">
        <f t="shared" si="113"/>
        <v>Store</v>
      </c>
      <c r="S1036" t="str">
        <v>Credit Card</v>
      </c>
      <c r="T1036" t="str">
        <v>Furniture</v>
      </c>
      <c r="U1036" t="str">
        <f t="shared" si="114"/>
        <v>VALID</v>
      </c>
      <c r="V1036" t="str">
        <f t="shared" si="115"/>
        <v>NORMAL</v>
      </c>
      <c r="W1036" t="str">
        <f t="shared" si="116"/>
        <v>Valid</v>
      </c>
      <c r="X1036">
        <f t="shared" si="118"/>
        <v>21337.199999999997</v>
      </c>
      <c r="Y1036">
        <f t="shared" si="117"/>
        <v>21337.199999999997</v>
      </c>
    </row>
    <row r="1037" spans="1:25" x14ac:dyDescent="0.3">
      <c r="A1037" t="s">
        <v>1384</v>
      </c>
      <c r="B1037" s="1">
        <v>45542</v>
      </c>
      <c r="C1037" t="s">
        <v>695</v>
      </c>
      <c r="D1037" t="s">
        <v>45</v>
      </c>
      <c r="E1037" t="s">
        <v>46</v>
      </c>
      <c r="F1037" t="s">
        <v>31</v>
      </c>
      <c r="G1037" t="s">
        <v>32</v>
      </c>
      <c r="H1037" t="s">
        <v>75</v>
      </c>
      <c r="I1037">
        <v>1</v>
      </c>
      <c r="J1037">
        <v>1888.18</v>
      </c>
      <c r="K1037">
        <v>0.1</v>
      </c>
      <c r="L1037">
        <v>1699.36</v>
      </c>
      <c r="M1037" t="s">
        <v>48</v>
      </c>
      <c r="N1037" t="s">
        <v>34</v>
      </c>
      <c r="O1037" t="s">
        <v>65</v>
      </c>
      <c r="P1037" t="s">
        <v>111</v>
      </c>
      <c r="Q1037" t="str">
        <f t="shared" si="112"/>
        <v>Completed</v>
      </c>
      <c r="R1037" t="str">
        <f t="shared" si="113"/>
        <v>Marketplace</v>
      </c>
      <c r="S1037" t="str">
        <v>Cash On Delivery</v>
      </c>
      <c r="T1037" t="str">
        <v>Electronics</v>
      </c>
      <c r="U1037" t="str">
        <f t="shared" si="114"/>
        <v>VALID</v>
      </c>
      <c r="V1037" t="str">
        <f t="shared" si="115"/>
        <v>NORMAL</v>
      </c>
      <c r="W1037" t="str">
        <f t="shared" si="116"/>
        <v>Valid</v>
      </c>
      <c r="X1037">
        <f t="shared" si="118"/>
        <v>1888.18</v>
      </c>
      <c r="Y1037">
        <f t="shared" si="117"/>
        <v>1699.3620000000001</v>
      </c>
    </row>
    <row r="1038" spans="1:25" x14ac:dyDescent="0.3">
      <c r="A1038" t="s">
        <v>1385</v>
      </c>
      <c r="B1038" s="1">
        <v>45713</v>
      </c>
      <c r="C1038" t="s">
        <v>204</v>
      </c>
      <c r="D1038" t="s">
        <v>96</v>
      </c>
      <c r="E1038" t="s">
        <v>97</v>
      </c>
      <c r="F1038" t="s">
        <v>31</v>
      </c>
      <c r="G1038" t="s">
        <v>21</v>
      </c>
      <c r="H1038" t="s">
        <v>22</v>
      </c>
      <c r="I1038">
        <v>5</v>
      </c>
      <c r="J1038">
        <v>1218.5899999999999</v>
      </c>
      <c r="K1038">
        <v>0</v>
      </c>
      <c r="L1038">
        <v>6092.95</v>
      </c>
      <c r="M1038" t="s">
        <v>48</v>
      </c>
      <c r="N1038" t="s">
        <v>58</v>
      </c>
      <c r="O1038" t="s">
        <v>65</v>
      </c>
      <c r="P1038" t="s">
        <v>42</v>
      </c>
      <c r="Q1038" t="str">
        <f t="shared" si="112"/>
        <v>Completed</v>
      </c>
      <c r="R1038" t="str">
        <f t="shared" si="113"/>
        <v>Marketplace</v>
      </c>
      <c r="S1038" t="str">
        <v>Credit Card</v>
      </c>
      <c r="T1038" t="str">
        <v>Electronics</v>
      </c>
      <c r="U1038" t="str">
        <f t="shared" si="114"/>
        <v>VALID</v>
      </c>
      <c r="V1038" t="str">
        <f t="shared" si="115"/>
        <v>NORMAL</v>
      </c>
      <c r="W1038" t="str">
        <f t="shared" si="116"/>
        <v>Valid</v>
      </c>
      <c r="X1038">
        <f t="shared" si="118"/>
        <v>6092.95</v>
      </c>
      <c r="Y1038">
        <f t="shared" si="117"/>
        <v>6092.95</v>
      </c>
    </row>
    <row r="1039" spans="1:25" x14ac:dyDescent="0.3">
      <c r="A1039" t="s">
        <v>1386</v>
      </c>
      <c r="B1039" s="1">
        <v>45837</v>
      </c>
      <c r="C1039" t="s">
        <v>161</v>
      </c>
      <c r="D1039" t="s">
        <v>45</v>
      </c>
      <c r="E1039" t="s">
        <v>46</v>
      </c>
      <c r="F1039" t="s">
        <v>31</v>
      </c>
      <c r="G1039" t="s">
        <v>56</v>
      </c>
      <c r="H1039" t="s">
        <v>64</v>
      </c>
      <c r="I1039">
        <v>2</v>
      </c>
      <c r="J1039">
        <v>1658.44</v>
      </c>
      <c r="K1039">
        <v>0</v>
      </c>
      <c r="L1039">
        <v>3316.88</v>
      </c>
      <c r="M1039" t="s">
        <v>76</v>
      </c>
      <c r="N1039" t="s">
        <v>71</v>
      </c>
      <c r="O1039" t="s">
        <v>65</v>
      </c>
      <c r="P1039" t="s">
        <v>116</v>
      </c>
      <c r="Q1039" t="str">
        <f t="shared" si="112"/>
        <v>Completed</v>
      </c>
      <c r="R1039" t="str">
        <f t="shared" si="113"/>
        <v>Store</v>
      </c>
      <c r="S1039" t="str">
        <v>Upi</v>
      </c>
      <c r="T1039" t="str">
        <v>Electronics</v>
      </c>
      <c r="U1039" t="str">
        <f t="shared" si="114"/>
        <v>VALID</v>
      </c>
      <c r="V1039" t="str">
        <f t="shared" si="115"/>
        <v>NORMAL</v>
      </c>
      <c r="W1039" t="str">
        <f t="shared" si="116"/>
        <v>Valid</v>
      </c>
      <c r="X1039">
        <f t="shared" si="118"/>
        <v>3316.88</v>
      </c>
      <c r="Y1039">
        <f t="shared" si="117"/>
        <v>3316.88</v>
      </c>
    </row>
    <row r="1040" spans="1:25" x14ac:dyDescent="0.3">
      <c r="A1040" t="s">
        <v>1387</v>
      </c>
      <c r="B1040" s="1">
        <v>45371</v>
      </c>
      <c r="C1040" t="s">
        <v>424</v>
      </c>
      <c r="D1040" t="s">
        <v>53</v>
      </c>
      <c r="E1040" t="s">
        <v>54</v>
      </c>
      <c r="F1040" t="s">
        <v>55</v>
      </c>
      <c r="G1040" t="s">
        <v>32</v>
      </c>
      <c r="H1040" t="s">
        <v>33</v>
      </c>
      <c r="I1040">
        <v>3</v>
      </c>
      <c r="J1040">
        <v>202.99</v>
      </c>
      <c r="K1040">
        <v>0</v>
      </c>
      <c r="L1040">
        <v>608.97</v>
      </c>
      <c r="M1040" t="s">
        <v>23</v>
      </c>
      <c r="N1040" t="s">
        <v>71</v>
      </c>
      <c r="O1040" t="s">
        <v>35</v>
      </c>
      <c r="P1040" t="s">
        <v>116</v>
      </c>
      <c r="Q1040" t="str">
        <f t="shared" si="112"/>
        <v>Cancelled</v>
      </c>
      <c r="R1040" t="str">
        <f t="shared" si="113"/>
        <v>Online</v>
      </c>
      <c r="S1040" t="str">
        <v>Upi</v>
      </c>
      <c r="T1040" t="str">
        <v>Stationery</v>
      </c>
      <c r="U1040" t="str">
        <f t="shared" si="114"/>
        <v>VALID</v>
      </c>
      <c r="V1040" t="str">
        <f t="shared" si="115"/>
        <v>NORMAL</v>
      </c>
      <c r="W1040" t="str">
        <f t="shared" si="116"/>
        <v>Valid</v>
      </c>
      <c r="X1040">
        <f t="shared" si="118"/>
        <v>608.97</v>
      </c>
      <c r="Y1040">
        <f t="shared" si="117"/>
        <v>608.97</v>
      </c>
    </row>
    <row r="1041" spans="1:25" x14ac:dyDescent="0.3">
      <c r="A1041" t="s">
        <v>1388</v>
      </c>
      <c r="B1041" s="1">
        <v>46121</v>
      </c>
      <c r="C1041" t="s">
        <v>293</v>
      </c>
      <c r="D1041" t="s">
        <v>53</v>
      </c>
      <c r="E1041" t="s">
        <v>54</v>
      </c>
      <c r="F1041" t="s">
        <v>55</v>
      </c>
      <c r="G1041" t="s">
        <v>56</v>
      </c>
      <c r="H1041" t="s">
        <v>57</v>
      </c>
      <c r="I1041">
        <v>5</v>
      </c>
      <c r="J1041">
        <v>230.52</v>
      </c>
      <c r="K1041">
        <v>0</v>
      </c>
      <c r="L1041">
        <v>1152.5999999999999</v>
      </c>
      <c r="M1041" t="s">
        <v>23</v>
      </c>
      <c r="N1041" t="s">
        <v>24</v>
      </c>
      <c r="O1041" t="s">
        <v>25</v>
      </c>
      <c r="P1041" t="s">
        <v>50</v>
      </c>
      <c r="Q1041" t="str">
        <f t="shared" si="112"/>
        <v>Returned</v>
      </c>
      <c r="R1041" t="str">
        <f t="shared" si="113"/>
        <v>Online</v>
      </c>
      <c r="S1041" t="str">
        <v>Debit Card</v>
      </c>
      <c r="T1041" t="str">
        <v>Stationery</v>
      </c>
      <c r="U1041" t="str">
        <f t="shared" si="114"/>
        <v>VALID</v>
      </c>
      <c r="V1041" t="str">
        <f t="shared" si="115"/>
        <v>NORMAL</v>
      </c>
      <c r="W1041" t="str">
        <f t="shared" si="116"/>
        <v>Valid</v>
      </c>
      <c r="X1041">
        <f t="shared" si="118"/>
        <v>1152.6000000000001</v>
      </c>
      <c r="Y1041">
        <f t="shared" si="117"/>
        <v>1152.6000000000001</v>
      </c>
    </row>
    <row r="1042" spans="1:25" x14ac:dyDescent="0.3">
      <c r="A1042" t="s">
        <v>1389</v>
      </c>
      <c r="B1042" s="1">
        <v>46174</v>
      </c>
      <c r="C1042" t="s">
        <v>1063</v>
      </c>
      <c r="D1042" t="s">
        <v>170</v>
      </c>
      <c r="E1042" t="s">
        <v>171</v>
      </c>
      <c r="F1042" t="s">
        <v>31</v>
      </c>
      <c r="G1042" t="s">
        <v>56</v>
      </c>
      <c r="H1042" t="s">
        <v>101</v>
      </c>
      <c r="I1042">
        <v>3</v>
      </c>
      <c r="J1042">
        <v>66850.039999999994</v>
      </c>
      <c r="K1042">
        <v>0.1</v>
      </c>
      <c r="L1042">
        <v>180495.11</v>
      </c>
      <c r="M1042" t="s">
        <v>23</v>
      </c>
      <c r="N1042" t="s">
        <v>34</v>
      </c>
      <c r="O1042" t="s">
        <v>65</v>
      </c>
      <c r="P1042" t="s">
        <v>72</v>
      </c>
      <c r="Q1042" t="str">
        <f t="shared" si="112"/>
        <v>Completed</v>
      </c>
      <c r="R1042" t="str">
        <f t="shared" si="113"/>
        <v>Online</v>
      </c>
      <c r="S1042" t="str">
        <v>Cash On Delivery</v>
      </c>
      <c r="T1042" t="str">
        <v>Electronics</v>
      </c>
      <c r="U1042" t="str">
        <f t="shared" si="114"/>
        <v>VALID</v>
      </c>
      <c r="V1042" t="str">
        <f t="shared" si="115"/>
        <v>NORMAL</v>
      </c>
      <c r="W1042" t="str">
        <f t="shared" si="116"/>
        <v>Valid</v>
      </c>
      <c r="X1042">
        <f t="shared" si="118"/>
        <v>200550.12</v>
      </c>
      <c r="Y1042">
        <f t="shared" si="117"/>
        <v>180495.10800000001</v>
      </c>
    </row>
    <row r="1043" spans="1:25" x14ac:dyDescent="0.3">
      <c r="A1043" t="s">
        <v>1390</v>
      </c>
      <c r="B1043" s="1">
        <v>46050</v>
      </c>
      <c r="C1043" t="s">
        <v>462</v>
      </c>
      <c r="D1043" t="s">
        <v>105</v>
      </c>
      <c r="E1043" t="s">
        <v>106</v>
      </c>
      <c r="F1043" t="s">
        <v>40</v>
      </c>
      <c r="G1043" t="s">
        <v>56</v>
      </c>
      <c r="H1043" t="s">
        <v>123</v>
      </c>
      <c r="I1043">
        <v>3</v>
      </c>
      <c r="J1043">
        <v>7075.48</v>
      </c>
      <c r="K1043">
        <v>0.15</v>
      </c>
      <c r="L1043">
        <v>18042.47</v>
      </c>
      <c r="M1043" t="s">
        <v>23</v>
      </c>
      <c r="N1043" t="s">
        <v>24</v>
      </c>
      <c r="O1043" t="s">
        <v>25</v>
      </c>
      <c r="P1043" t="s">
        <v>59</v>
      </c>
      <c r="Q1043" t="str">
        <f t="shared" si="112"/>
        <v>Returned</v>
      </c>
      <c r="R1043" t="str">
        <f t="shared" si="113"/>
        <v>Online</v>
      </c>
      <c r="S1043" t="str">
        <v>Debit Card</v>
      </c>
      <c r="T1043" t="str">
        <v>Furniture</v>
      </c>
      <c r="U1043" t="str">
        <f t="shared" si="114"/>
        <v>VALID</v>
      </c>
      <c r="V1043" t="str">
        <f t="shared" si="115"/>
        <v>NORMAL</v>
      </c>
      <c r="W1043" t="str">
        <f t="shared" si="116"/>
        <v>Valid</v>
      </c>
      <c r="X1043">
        <f t="shared" si="118"/>
        <v>21226.44</v>
      </c>
      <c r="Y1043">
        <f t="shared" si="117"/>
        <v>18042.473999999998</v>
      </c>
    </row>
    <row r="1044" spans="1:25" x14ac:dyDescent="0.3">
      <c r="A1044" t="s">
        <v>1391</v>
      </c>
      <c r="B1044" s="1">
        <v>46123</v>
      </c>
      <c r="C1044" t="s">
        <v>963</v>
      </c>
      <c r="D1044" t="s">
        <v>89</v>
      </c>
      <c r="E1044" t="s">
        <v>90</v>
      </c>
      <c r="F1044" t="s">
        <v>20</v>
      </c>
      <c r="G1044" t="s">
        <v>81</v>
      </c>
      <c r="H1044" t="s">
        <v>98</v>
      </c>
      <c r="I1044">
        <v>3</v>
      </c>
      <c r="J1044">
        <v>688.23</v>
      </c>
      <c r="K1044">
        <v>0.08</v>
      </c>
      <c r="L1044">
        <v>1899.51</v>
      </c>
      <c r="M1044" t="s">
        <v>76</v>
      </c>
      <c r="N1044" t="s">
        <v>58</v>
      </c>
      <c r="O1044" t="s">
        <v>65</v>
      </c>
      <c r="P1044" t="s">
        <v>116</v>
      </c>
      <c r="Q1044" t="str">
        <f t="shared" si="112"/>
        <v>Completed</v>
      </c>
      <c r="R1044" t="str">
        <f t="shared" si="113"/>
        <v>Store</v>
      </c>
      <c r="S1044" t="str">
        <v>Credit Card</v>
      </c>
      <c r="T1044" t="str">
        <v>Accessories</v>
      </c>
      <c r="U1044" t="str">
        <f t="shared" si="114"/>
        <v>VALID</v>
      </c>
      <c r="V1044" t="str">
        <f t="shared" si="115"/>
        <v>NORMAL</v>
      </c>
      <c r="W1044" t="str">
        <f t="shared" si="116"/>
        <v>Valid</v>
      </c>
      <c r="X1044">
        <f t="shared" si="118"/>
        <v>2064.69</v>
      </c>
      <c r="Y1044">
        <f t="shared" si="117"/>
        <v>1899.5147999999999</v>
      </c>
    </row>
    <row r="1045" spans="1:25" x14ac:dyDescent="0.3">
      <c r="A1045" t="s">
        <v>1392</v>
      </c>
      <c r="B1045" s="1">
        <v>45951</v>
      </c>
      <c r="C1045" t="s">
        <v>293</v>
      </c>
      <c r="D1045" t="s">
        <v>131</v>
      </c>
      <c r="E1045" t="s">
        <v>132</v>
      </c>
      <c r="F1045" t="s">
        <v>40</v>
      </c>
      <c r="G1045" t="s">
        <v>56</v>
      </c>
      <c r="H1045" t="s">
        <v>64</v>
      </c>
      <c r="I1045">
        <v>1</v>
      </c>
      <c r="J1045">
        <v>9677.7999999999993</v>
      </c>
      <c r="K1045">
        <v>0.05</v>
      </c>
      <c r="L1045">
        <v>9193.91</v>
      </c>
      <c r="M1045" t="s">
        <v>76</v>
      </c>
      <c r="O1045" t="s">
        <v>65</v>
      </c>
      <c r="P1045" t="s">
        <v>116</v>
      </c>
      <c r="Q1045" t="str">
        <f t="shared" si="112"/>
        <v>Completed</v>
      </c>
      <c r="R1045" t="str">
        <f t="shared" si="113"/>
        <v>Store</v>
      </c>
      <c r="S1045" t="str">
        <v/>
      </c>
      <c r="T1045" t="str">
        <v>Furniture</v>
      </c>
      <c r="U1045" t="str">
        <f t="shared" si="114"/>
        <v>VALID</v>
      </c>
      <c r="V1045" t="str">
        <f t="shared" si="115"/>
        <v>NORMAL</v>
      </c>
      <c r="W1045" t="str">
        <f t="shared" si="116"/>
        <v>Valid</v>
      </c>
      <c r="X1045">
        <f t="shared" si="118"/>
        <v>9677.7999999999993</v>
      </c>
      <c r="Y1045">
        <f t="shared" si="117"/>
        <v>9193.91</v>
      </c>
    </row>
    <row r="1046" spans="1:25" x14ac:dyDescent="0.3">
      <c r="A1046" t="s">
        <v>1393</v>
      </c>
      <c r="B1046" s="1">
        <v>45378</v>
      </c>
      <c r="C1046" t="s">
        <v>480</v>
      </c>
      <c r="D1046" t="s">
        <v>121</v>
      </c>
      <c r="E1046" t="s">
        <v>122</v>
      </c>
      <c r="F1046" t="s">
        <v>55</v>
      </c>
      <c r="G1046" t="s">
        <v>21</v>
      </c>
      <c r="H1046" t="s">
        <v>93</v>
      </c>
      <c r="I1046">
        <v>4</v>
      </c>
      <c r="J1046">
        <v>474.93</v>
      </c>
      <c r="K1046">
        <v>0.1</v>
      </c>
      <c r="L1046">
        <v>1709.75</v>
      </c>
      <c r="M1046" t="s">
        <v>76</v>
      </c>
      <c r="N1046" t="s">
        <v>49</v>
      </c>
      <c r="O1046" t="s">
        <v>65</v>
      </c>
      <c r="P1046" t="s">
        <v>72</v>
      </c>
      <c r="Q1046" t="str">
        <f t="shared" si="112"/>
        <v>Completed</v>
      </c>
      <c r="R1046" t="str">
        <f t="shared" si="113"/>
        <v>Store</v>
      </c>
      <c r="S1046" t="str">
        <v>Net Banking</v>
      </c>
      <c r="T1046" t="str">
        <v>Stationery</v>
      </c>
      <c r="U1046" t="str">
        <f t="shared" si="114"/>
        <v>VALID</v>
      </c>
      <c r="V1046" t="str">
        <f t="shared" si="115"/>
        <v>NORMAL</v>
      </c>
      <c r="W1046" t="str">
        <f t="shared" si="116"/>
        <v>Valid</v>
      </c>
      <c r="X1046">
        <f t="shared" si="118"/>
        <v>1899.72</v>
      </c>
      <c r="Y1046">
        <f t="shared" si="117"/>
        <v>1709.748</v>
      </c>
    </row>
    <row r="1047" spans="1:25" x14ac:dyDescent="0.3">
      <c r="A1047" t="s">
        <v>1394</v>
      </c>
      <c r="B1047" s="1">
        <v>45943</v>
      </c>
      <c r="C1047" t="s">
        <v>1077</v>
      </c>
      <c r="D1047" t="s">
        <v>176</v>
      </c>
      <c r="E1047" t="s">
        <v>177</v>
      </c>
      <c r="F1047" t="s">
        <v>31</v>
      </c>
      <c r="G1047" t="s">
        <v>21</v>
      </c>
      <c r="H1047" t="s">
        <v>41</v>
      </c>
      <c r="I1047">
        <v>1</v>
      </c>
      <c r="J1047">
        <v>2219.54</v>
      </c>
      <c r="K1047">
        <v>0.1</v>
      </c>
      <c r="L1047">
        <v>1997.59</v>
      </c>
      <c r="M1047" t="s">
        <v>48</v>
      </c>
      <c r="N1047" t="s">
        <v>71</v>
      </c>
      <c r="O1047" t="s">
        <v>65</v>
      </c>
      <c r="P1047" t="s">
        <v>116</v>
      </c>
      <c r="Q1047" t="str">
        <f t="shared" si="112"/>
        <v>Completed</v>
      </c>
      <c r="R1047" t="str">
        <f t="shared" si="113"/>
        <v>Marketplace</v>
      </c>
      <c r="S1047" t="str">
        <v>Upi</v>
      </c>
      <c r="T1047" t="str">
        <v>Electronics</v>
      </c>
      <c r="U1047" t="str">
        <f t="shared" si="114"/>
        <v>VALID</v>
      </c>
      <c r="V1047" t="str">
        <f t="shared" si="115"/>
        <v>NORMAL</v>
      </c>
      <c r="W1047" t="str">
        <f t="shared" si="116"/>
        <v>Valid</v>
      </c>
      <c r="X1047">
        <f t="shared" si="118"/>
        <v>2219.54</v>
      </c>
      <c r="Y1047">
        <f t="shared" si="117"/>
        <v>1997.586</v>
      </c>
    </row>
    <row r="1048" spans="1:25" x14ac:dyDescent="0.3">
      <c r="A1048" t="s">
        <v>1395</v>
      </c>
      <c r="B1048" s="1">
        <v>46160</v>
      </c>
      <c r="C1048" t="s">
        <v>92</v>
      </c>
      <c r="D1048" t="s">
        <v>45</v>
      </c>
      <c r="E1048" t="s">
        <v>46</v>
      </c>
      <c r="F1048" t="s">
        <v>31</v>
      </c>
      <c r="G1048" t="s">
        <v>56</v>
      </c>
      <c r="H1048" t="s">
        <v>57</v>
      </c>
      <c r="I1048">
        <v>3</v>
      </c>
      <c r="J1048">
        <v>1798</v>
      </c>
      <c r="K1048">
        <v>0.05</v>
      </c>
      <c r="L1048">
        <v>5124.3</v>
      </c>
      <c r="M1048" t="s">
        <v>76</v>
      </c>
      <c r="N1048" t="s">
        <v>71</v>
      </c>
      <c r="O1048" t="s">
        <v>25</v>
      </c>
      <c r="P1048" t="s">
        <v>42</v>
      </c>
      <c r="Q1048" t="str">
        <f t="shared" si="112"/>
        <v>Returned</v>
      </c>
      <c r="R1048" t="str">
        <f t="shared" si="113"/>
        <v>Store</v>
      </c>
      <c r="S1048" t="str">
        <v>Upi</v>
      </c>
      <c r="T1048" t="str">
        <v>Electronics</v>
      </c>
      <c r="U1048" t="str">
        <f t="shared" si="114"/>
        <v>VALID</v>
      </c>
      <c r="V1048" t="str">
        <f t="shared" si="115"/>
        <v>NORMAL</v>
      </c>
      <c r="W1048" t="str">
        <f t="shared" si="116"/>
        <v>Valid</v>
      </c>
      <c r="X1048">
        <f t="shared" si="118"/>
        <v>5394</v>
      </c>
      <c r="Y1048">
        <f t="shared" si="117"/>
        <v>5124.3</v>
      </c>
    </row>
    <row r="1049" spans="1:25" x14ac:dyDescent="0.3">
      <c r="A1049" t="s">
        <v>1396</v>
      </c>
      <c r="B1049" s="1">
        <v>45996</v>
      </c>
      <c r="C1049" t="s">
        <v>78</v>
      </c>
      <c r="D1049" t="s">
        <v>18</v>
      </c>
      <c r="E1049" t="s">
        <v>19</v>
      </c>
      <c r="F1049" t="s">
        <v>20</v>
      </c>
      <c r="G1049" t="s">
        <v>21</v>
      </c>
      <c r="H1049" t="s">
        <v>41</v>
      </c>
      <c r="I1049">
        <v>1</v>
      </c>
      <c r="J1049">
        <v>839.71</v>
      </c>
      <c r="K1049">
        <v>0.2</v>
      </c>
      <c r="L1049">
        <v>671.77</v>
      </c>
      <c r="M1049" t="s">
        <v>48</v>
      </c>
      <c r="N1049" t="s">
        <v>71</v>
      </c>
      <c r="O1049" t="s">
        <v>65</v>
      </c>
      <c r="P1049" t="s">
        <v>42</v>
      </c>
      <c r="Q1049" t="str">
        <f t="shared" si="112"/>
        <v>Completed</v>
      </c>
      <c r="R1049" t="str">
        <f t="shared" si="113"/>
        <v>Marketplace</v>
      </c>
      <c r="S1049" t="str">
        <v>Upi</v>
      </c>
      <c r="T1049" t="str">
        <v>Accessories</v>
      </c>
      <c r="U1049" t="str">
        <f t="shared" si="114"/>
        <v>VALID</v>
      </c>
      <c r="V1049" t="str">
        <f t="shared" si="115"/>
        <v>NORMAL</v>
      </c>
      <c r="W1049" t="str">
        <f t="shared" si="116"/>
        <v>Valid</v>
      </c>
      <c r="X1049">
        <f t="shared" si="118"/>
        <v>839.71</v>
      </c>
      <c r="Y1049">
        <f t="shared" si="117"/>
        <v>671.76800000000003</v>
      </c>
    </row>
    <row r="1050" spans="1:25" x14ac:dyDescent="0.3">
      <c r="A1050" t="s">
        <v>1397</v>
      </c>
      <c r="B1050" s="1">
        <v>45363</v>
      </c>
      <c r="C1050" t="s">
        <v>28</v>
      </c>
      <c r="D1050" t="s">
        <v>105</v>
      </c>
      <c r="E1050" t="s">
        <v>106</v>
      </c>
      <c r="F1050" t="s">
        <v>40</v>
      </c>
      <c r="G1050" t="s">
        <v>81</v>
      </c>
      <c r="H1050" t="s">
        <v>135</v>
      </c>
      <c r="I1050">
        <v>1</v>
      </c>
      <c r="J1050">
        <v>6845.48</v>
      </c>
      <c r="K1050">
        <v>0.15</v>
      </c>
      <c r="L1050">
        <v>5818.66</v>
      </c>
      <c r="M1050" t="s">
        <v>76</v>
      </c>
      <c r="N1050" t="s">
        <v>24</v>
      </c>
      <c r="O1050" t="s">
        <v>65</v>
      </c>
      <c r="P1050" t="s">
        <v>72</v>
      </c>
      <c r="Q1050" t="str">
        <f t="shared" si="112"/>
        <v>Completed</v>
      </c>
      <c r="R1050" t="str">
        <f t="shared" si="113"/>
        <v>Store</v>
      </c>
      <c r="S1050" t="str">
        <v>Debit Card</v>
      </c>
      <c r="T1050" t="str">
        <v>Furniture</v>
      </c>
      <c r="U1050" t="str">
        <f t="shared" si="114"/>
        <v>VALID</v>
      </c>
      <c r="V1050" t="str">
        <f t="shared" si="115"/>
        <v>NORMAL</v>
      </c>
      <c r="W1050" t="str">
        <f t="shared" si="116"/>
        <v>Valid</v>
      </c>
      <c r="X1050">
        <f t="shared" si="118"/>
        <v>6845.48</v>
      </c>
      <c r="Y1050">
        <f t="shared" si="117"/>
        <v>5818.6579999999994</v>
      </c>
    </row>
    <row r="1051" spans="1:25" x14ac:dyDescent="0.3">
      <c r="A1051" t="s">
        <v>1398</v>
      </c>
      <c r="B1051" s="1">
        <v>45404</v>
      </c>
      <c r="C1051" t="s">
        <v>672</v>
      </c>
      <c r="D1051" t="s">
        <v>170</v>
      </c>
      <c r="E1051" t="s">
        <v>171</v>
      </c>
      <c r="F1051" t="s">
        <v>31</v>
      </c>
      <c r="G1051" t="s">
        <v>32</v>
      </c>
      <c r="H1051" t="s">
        <v>33</v>
      </c>
      <c r="I1051">
        <v>2</v>
      </c>
      <c r="J1051">
        <v>69539.09</v>
      </c>
      <c r="K1051">
        <v>0.1</v>
      </c>
      <c r="L1051">
        <v>125170.36</v>
      </c>
      <c r="M1051" t="s">
        <v>76</v>
      </c>
      <c r="N1051" t="s">
        <v>71</v>
      </c>
      <c r="O1051" t="s">
        <v>35</v>
      </c>
      <c r="Q1051" t="str">
        <f t="shared" si="112"/>
        <v>Cancelled</v>
      </c>
      <c r="R1051" t="str">
        <f t="shared" si="113"/>
        <v>Store</v>
      </c>
      <c r="S1051" t="str">
        <v>Upi</v>
      </c>
      <c r="T1051" t="str">
        <v>Electronics</v>
      </c>
      <c r="U1051" t="str">
        <f t="shared" si="114"/>
        <v>VALID</v>
      </c>
      <c r="V1051" t="str">
        <f t="shared" si="115"/>
        <v>NORMAL</v>
      </c>
      <c r="W1051" t="str">
        <f t="shared" si="116"/>
        <v>Valid</v>
      </c>
      <c r="X1051">
        <f t="shared" si="118"/>
        <v>139078.18</v>
      </c>
      <c r="Y1051">
        <f t="shared" si="117"/>
        <v>125170.36199999999</v>
      </c>
    </row>
    <row r="1052" spans="1:25" x14ac:dyDescent="0.3">
      <c r="A1052" t="s">
        <v>1399</v>
      </c>
      <c r="B1052" s="1">
        <v>45630</v>
      </c>
      <c r="C1052" t="s">
        <v>17</v>
      </c>
      <c r="D1052" t="s">
        <v>85</v>
      </c>
      <c r="E1052" t="s">
        <v>86</v>
      </c>
      <c r="F1052" t="s">
        <v>20</v>
      </c>
      <c r="G1052" t="s">
        <v>21</v>
      </c>
      <c r="H1052" t="s">
        <v>22</v>
      </c>
      <c r="I1052">
        <v>1</v>
      </c>
      <c r="J1052">
        <v>1834.55</v>
      </c>
      <c r="K1052">
        <v>0.1</v>
      </c>
      <c r="L1052">
        <v>1651.1</v>
      </c>
      <c r="M1052" t="s">
        <v>48</v>
      </c>
      <c r="N1052" t="s">
        <v>49</v>
      </c>
      <c r="O1052" t="s">
        <v>65</v>
      </c>
      <c r="P1052" t="s">
        <v>116</v>
      </c>
      <c r="Q1052" t="str">
        <f t="shared" si="112"/>
        <v>Completed</v>
      </c>
      <c r="R1052" t="str">
        <f t="shared" si="113"/>
        <v>Marketplace</v>
      </c>
      <c r="S1052" t="str">
        <v>Net Banking</v>
      </c>
      <c r="T1052" t="str">
        <v>Accessories</v>
      </c>
      <c r="U1052" t="str">
        <f t="shared" si="114"/>
        <v>VALID</v>
      </c>
      <c r="V1052" t="str">
        <f t="shared" si="115"/>
        <v>NORMAL</v>
      </c>
      <c r="W1052" t="str">
        <f t="shared" si="116"/>
        <v>Valid</v>
      </c>
      <c r="X1052">
        <f t="shared" si="118"/>
        <v>1834.55</v>
      </c>
      <c r="Y1052">
        <f t="shared" si="117"/>
        <v>1651.095</v>
      </c>
    </row>
    <row r="1053" spans="1:25" x14ac:dyDescent="0.3">
      <c r="A1053" t="s">
        <v>1400</v>
      </c>
      <c r="B1053" s="1">
        <v>45855</v>
      </c>
      <c r="C1053" t="s">
        <v>377</v>
      </c>
      <c r="D1053" t="s">
        <v>96</v>
      </c>
      <c r="E1053" t="s">
        <v>97</v>
      </c>
      <c r="F1053" t="s">
        <v>31</v>
      </c>
      <c r="G1053" t="s">
        <v>56</v>
      </c>
      <c r="H1053" t="s">
        <v>64</v>
      </c>
      <c r="I1053">
        <v>4</v>
      </c>
      <c r="J1053">
        <v>1180.94</v>
      </c>
      <c r="K1053">
        <v>0.2</v>
      </c>
      <c r="L1053">
        <v>3779.01</v>
      </c>
      <c r="M1053" t="s">
        <v>23</v>
      </c>
      <c r="N1053" t="s">
        <v>71</v>
      </c>
      <c r="O1053" t="s">
        <v>65</v>
      </c>
      <c r="P1053" t="s">
        <v>26</v>
      </c>
      <c r="Q1053" t="str">
        <f t="shared" si="112"/>
        <v>Completed</v>
      </c>
      <c r="R1053" t="str">
        <f t="shared" si="113"/>
        <v>Online</v>
      </c>
      <c r="S1053" t="str">
        <v>Upi</v>
      </c>
      <c r="T1053" t="str">
        <v>Electronics</v>
      </c>
      <c r="U1053" t="str">
        <f t="shared" si="114"/>
        <v>VALID</v>
      </c>
      <c r="V1053" t="str">
        <f t="shared" si="115"/>
        <v>NORMAL</v>
      </c>
      <c r="W1053" t="str">
        <f t="shared" si="116"/>
        <v>Valid</v>
      </c>
      <c r="X1053">
        <f t="shared" si="118"/>
        <v>4723.76</v>
      </c>
      <c r="Y1053">
        <f t="shared" si="117"/>
        <v>3779.0080000000003</v>
      </c>
    </row>
    <row r="1054" spans="1:25" x14ac:dyDescent="0.3">
      <c r="A1054" t="s">
        <v>1401</v>
      </c>
      <c r="B1054" s="1">
        <v>45609</v>
      </c>
      <c r="C1054" t="s">
        <v>988</v>
      </c>
      <c r="D1054" t="s">
        <v>89</v>
      </c>
      <c r="E1054" t="s">
        <v>90</v>
      </c>
      <c r="F1054" t="s">
        <v>20</v>
      </c>
      <c r="G1054" t="s">
        <v>32</v>
      </c>
      <c r="H1054" t="s">
        <v>68</v>
      </c>
      <c r="I1054">
        <v>5</v>
      </c>
      <c r="J1054">
        <v>754.95</v>
      </c>
      <c r="K1054">
        <v>0.15</v>
      </c>
      <c r="L1054">
        <v>3208.54</v>
      </c>
      <c r="M1054" t="s">
        <v>48</v>
      </c>
      <c r="N1054" t="s">
        <v>71</v>
      </c>
      <c r="O1054" t="s">
        <v>65</v>
      </c>
      <c r="P1054" t="s">
        <v>42</v>
      </c>
      <c r="Q1054" t="str">
        <f t="shared" si="112"/>
        <v>Completed</v>
      </c>
      <c r="R1054" t="str">
        <f t="shared" si="113"/>
        <v>Marketplace</v>
      </c>
      <c r="S1054" t="str">
        <v>Upi</v>
      </c>
      <c r="T1054" t="str">
        <v>Accessories</v>
      </c>
      <c r="U1054" t="str">
        <f t="shared" si="114"/>
        <v>VALID</v>
      </c>
      <c r="V1054" t="str">
        <f t="shared" si="115"/>
        <v>NORMAL</v>
      </c>
      <c r="W1054" t="str">
        <f t="shared" si="116"/>
        <v>Valid</v>
      </c>
      <c r="X1054">
        <f t="shared" si="118"/>
        <v>3774.75</v>
      </c>
      <c r="Y1054">
        <f t="shared" si="117"/>
        <v>3208.5374999999999</v>
      </c>
    </row>
    <row r="1055" spans="1:25" x14ac:dyDescent="0.3">
      <c r="A1055" t="s">
        <v>1402</v>
      </c>
      <c r="B1055" s="1">
        <v>45840</v>
      </c>
      <c r="C1055" t="s">
        <v>118</v>
      </c>
      <c r="D1055" t="s">
        <v>18</v>
      </c>
      <c r="E1055" t="s">
        <v>19</v>
      </c>
      <c r="F1055" t="s">
        <v>20</v>
      </c>
      <c r="G1055" t="s">
        <v>81</v>
      </c>
      <c r="H1055" t="s">
        <v>98</v>
      </c>
      <c r="I1055">
        <v>4</v>
      </c>
      <c r="J1055">
        <v>838.79</v>
      </c>
      <c r="K1055">
        <v>0.03</v>
      </c>
      <c r="L1055">
        <v>3254.51</v>
      </c>
      <c r="M1055" t="s">
        <v>76</v>
      </c>
      <c r="N1055" t="s">
        <v>34</v>
      </c>
      <c r="O1055" t="s">
        <v>65</v>
      </c>
      <c r="P1055" t="s">
        <v>102</v>
      </c>
      <c r="Q1055" t="str">
        <f t="shared" si="112"/>
        <v>Completed</v>
      </c>
      <c r="R1055" t="str">
        <f t="shared" si="113"/>
        <v>Store</v>
      </c>
      <c r="S1055" t="str">
        <v>Cash On Delivery</v>
      </c>
      <c r="T1055" t="str">
        <v>Accessories</v>
      </c>
      <c r="U1055" t="str">
        <f t="shared" si="114"/>
        <v>VALID</v>
      </c>
      <c r="V1055" t="str">
        <f t="shared" si="115"/>
        <v>NORMAL</v>
      </c>
      <c r="W1055" t="str">
        <f t="shared" si="116"/>
        <v>Valid</v>
      </c>
      <c r="X1055">
        <f t="shared" si="118"/>
        <v>3355.16</v>
      </c>
      <c r="Y1055">
        <f t="shared" si="117"/>
        <v>3254.5052000000001</v>
      </c>
    </row>
    <row r="1056" spans="1:25" x14ac:dyDescent="0.3">
      <c r="A1056" t="s">
        <v>1403</v>
      </c>
      <c r="B1056" s="1">
        <v>46052</v>
      </c>
      <c r="C1056" t="s">
        <v>528</v>
      </c>
      <c r="D1056" t="s">
        <v>105</v>
      </c>
      <c r="E1056" t="s">
        <v>106</v>
      </c>
      <c r="F1056" t="s">
        <v>40</v>
      </c>
      <c r="G1056" t="s">
        <v>21</v>
      </c>
      <c r="H1056" t="s">
        <v>22</v>
      </c>
      <c r="I1056">
        <v>4</v>
      </c>
      <c r="J1056">
        <v>6784.71</v>
      </c>
      <c r="K1056">
        <v>0.08</v>
      </c>
      <c r="L1056">
        <v>24967.73</v>
      </c>
      <c r="M1056" t="s">
        <v>76</v>
      </c>
      <c r="N1056" t="s">
        <v>49</v>
      </c>
      <c r="O1056" t="s">
        <v>65</v>
      </c>
      <c r="P1056" t="s">
        <v>50</v>
      </c>
      <c r="Q1056" t="str">
        <f t="shared" si="112"/>
        <v>Completed</v>
      </c>
      <c r="R1056" t="str">
        <f t="shared" si="113"/>
        <v>Store</v>
      </c>
      <c r="S1056" t="str">
        <v>Net Banking</v>
      </c>
      <c r="T1056" t="str">
        <v>Furniture</v>
      </c>
      <c r="U1056" t="str">
        <f t="shared" si="114"/>
        <v>VALID</v>
      </c>
      <c r="V1056" t="str">
        <f t="shared" si="115"/>
        <v>NORMAL</v>
      </c>
      <c r="W1056" t="str">
        <f t="shared" si="116"/>
        <v>Valid</v>
      </c>
      <c r="X1056">
        <f t="shared" si="118"/>
        <v>27138.84</v>
      </c>
      <c r="Y1056">
        <f t="shared" si="117"/>
        <v>24967.732800000002</v>
      </c>
    </row>
    <row r="1057" spans="1:25" x14ac:dyDescent="0.3">
      <c r="A1057" t="s">
        <v>1404</v>
      </c>
      <c r="B1057" s="1">
        <v>45591</v>
      </c>
      <c r="C1057" t="s">
        <v>67</v>
      </c>
      <c r="D1057" t="s">
        <v>85</v>
      </c>
      <c r="E1057" t="s">
        <v>86</v>
      </c>
      <c r="F1057" t="s">
        <v>20</v>
      </c>
      <c r="G1057" t="s">
        <v>81</v>
      </c>
      <c r="H1057" t="s">
        <v>135</v>
      </c>
      <c r="I1057">
        <v>2</v>
      </c>
      <c r="J1057">
        <v>1718.62</v>
      </c>
      <c r="K1057">
        <v>0</v>
      </c>
      <c r="L1057">
        <v>3437.24</v>
      </c>
      <c r="M1057" t="s">
        <v>76</v>
      </c>
      <c r="N1057" t="s">
        <v>71</v>
      </c>
      <c r="O1057" t="s">
        <v>413</v>
      </c>
      <c r="P1057" t="s">
        <v>42</v>
      </c>
      <c r="Q1057" t="str">
        <f t="shared" si="112"/>
        <v>Completed</v>
      </c>
      <c r="R1057" t="str">
        <f t="shared" si="113"/>
        <v>Store</v>
      </c>
      <c r="S1057" t="str">
        <v>Upi</v>
      </c>
      <c r="T1057" t="str">
        <v>Accessories</v>
      </c>
      <c r="U1057" t="str">
        <f t="shared" si="114"/>
        <v>VALID</v>
      </c>
      <c r="V1057" t="str">
        <f t="shared" si="115"/>
        <v>NORMAL</v>
      </c>
      <c r="W1057" t="str">
        <f t="shared" si="116"/>
        <v>Valid</v>
      </c>
      <c r="X1057">
        <f t="shared" si="118"/>
        <v>3437.24</v>
      </c>
      <c r="Y1057">
        <f t="shared" si="117"/>
        <v>3437.24</v>
      </c>
    </row>
    <row r="1058" spans="1:25" x14ac:dyDescent="0.3">
      <c r="A1058" t="s">
        <v>1405</v>
      </c>
      <c r="B1058" s="1">
        <v>45714</v>
      </c>
      <c r="C1058" t="s">
        <v>698</v>
      </c>
      <c r="D1058" t="s">
        <v>53</v>
      </c>
      <c r="E1058" t="s">
        <v>54</v>
      </c>
      <c r="F1058" t="s">
        <v>55</v>
      </c>
      <c r="G1058" t="s">
        <v>56</v>
      </c>
      <c r="H1058" t="s">
        <v>123</v>
      </c>
      <c r="I1058">
        <v>2</v>
      </c>
      <c r="J1058">
        <v>203.93</v>
      </c>
      <c r="K1058">
        <v>0.03</v>
      </c>
      <c r="L1058">
        <v>395.62</v>
      </c>
      <c r="M1058" t="s">
        <v>76</v>
      </c>
      <c r="N1058" t="s">
        <v>49</v>
      </c>
      <c r="O1058" t="s">
        <v>65</v>
      </c>
      <c r="P1058" t="s">
        <v>116</v>
      </c>
      <c r="Q1058" t="str">
        <f t="shared" si="112"/>
        <v>Completed</v>
      </c>
      <c r="R1058" t="str">
        <f t="shared" si="113"/>
        <v>Store</v>
      </c>
      <c r="S1058" t="str">
        <v>Net Banking</v>
      </c>
      <c r="T1058" t="str">
        <v>Stationery</v>
      </c>
      <c r="U1058" t="str">
        <f t="shared" si="114"/>
        <v>VALID</v>
      </c>
      <c r="V1058" t="str">
        <f t="shared" si="115"/>
        <v>NORMAL</v>
      </c>
      <c r="W1058" t="str">
        <f t="shared" si="116"/>
        <v>Valid</v>
      </c>
      <c r="X1058">
        <f t="shared" si="118"/>
        <v>407.86</v>
      </c>
      <c r="Y1058">
        <f t="shared" si="117"/>
        <v>395.62420000000003</v>
      </c>
    </row>
    <row r="1059" spans="1:25" x14ac:dyDescent="0.3">
      <c r="A1059" t="s">
        <v>1406</v>
      </c>
      <c r="B1059" s="1">
        <v>45913</v>
      </c>
      <c r="C1059" t="s">
        <v>447</v>
      </c>
      <c r="D1059" t="s">
        <v>105</v>
      </c>
      <c r="E1059" t="s">
        <v>106</v>
      </c>
      <c r="F1059" t="s">
        <v>40</v>
      </c>
      <c r="G1059" t="s">
        <v>21</v>
      </c>
      <c r="H1059" t="s">
        <v>22</v>
      </c>
      <c r="I1059">
        <v>2</v>
      </c>
      <c r="J1059">
        <v>7027.36</v>
      </c>
      <c r="K1059">
        <v>0.08</v>
      </c>
      <c r="L1059">
        <v>12930.34</v>
      </c>
      <c r="M1059" t="s">
        <v>76</v>
      </c>
      <c r="N1059" t="s">
        <v>24</v>
      </c>
      <c r="O1059" t="s">
        <v>25</v>
      </c>
      <c r="P1059" t="s">
        <v>72</v>
      </c>
      <c r="Q1059" t="str">
        <f t="shared" si="112"/>
        <v>Returned</v>
      </c>
      <c r="R1059" t="str">
        <f t="shared" si="113"/>
        <v>Store</v>
      </c>
      <c r="S1059" t="str">
        <v>Debit Card</v>
      </c>
      <c r="T1059" t="str">
        <v>Furniture</v>
      </c>
      <c r="U1059" t="str">
        <f t="shared" si="114"/>
        <v>VALID</v>
      </c>
      <c r="V1059" t="str">
        <f t="shared" si="115"/>
        <v>NORMAL</v>
      </c>
      <c r="W1059" t="str">
        <f t="shared" si="116"/>
        <v>Valid</v>
      </c>
      <c r="X1059">
        <f t="shared" si="118"/>
        <v>14054.72</v>
      </c>
      <c r="Y1059">
        <f t="shared" si="117"/>
        <v>12930.3424</v>
      </c>
    </row>
    <row r="1060" spans="1:25" x14ac:dyDescent="0.3">
      <c r="A1060" t="s">
        <v>1407</v>
      </c>
      <c r="B1060" s="1">
        <v>46111</v>
      </c>
      <c r="C1060" t="s">
        <v>350</v>
      </c>
      <c r="D1060" t="s">
        <v>131</v>
      </c>
      <c r="E1060" t="s">
        <v>132</v>
      </c>
      <c r="F1060" t="s">
        <v>40</v>
      </c>
      <c r="G1060" t="s">
        <v>21</v>
      </c>
      <c r="H1060" t="s">
        <v>41</v>
      </c>
      <c r="I1060">
        <v>4</v>
      </c>
      <c r="J1060">
        <v>8835.59</v>
      </c>
      <c r="K1060">
        <v>0.2</v>
      </c>
      <c r="L1060">
        <v>28273.89</v>
      </c>
      <c r="M1060" t="s">
        <v>76</v>
      </c>
      <c r="N1060" t="s">
        <v>24</v>
      </c>
      <c r="O1060" t="s">
        <v>65</v>
      </c>
      <c r="P1060" t="s">
        <v>72</v>
      </c>
      <c r="Q1060" t="str">
        <f t="shared" si="112"/>
        <v>Completed</v>
      </c>
      <c r="R1060" t="str">
        <f t="shared" si="113"/>
        <v>Store</v>
      </c>
      <c r="S1060" t="str">
        <v>Debit Card</v>
      </c>
      <c r="T1060" t="str">
        <v>Furniture</v>
      </c>
      <c r="U1060" t="str">
        <f t="shared" si="114"/>
        <v>VALID</v>
      </c>
      <c r="V1060" t="str">
        <f t="shared" si="115"/>
        <v>NORMAL</v>
      </c>
      <c r="W1060" t="str">
        <f t="shared" si="116"/>
        <v>Valid</v>
      </c>
      <c r="X1060">
        <f t="shared" si="118"/>
        <v>35342.36</v>
      </c>
      <c r="Y1060">
        <f t="shared" si="117"/>
        <v>28273.887999999999</v>
      </c>
    </row>
    <row r="1061" spans="1:25" x14ac:dyDescent="0.3">
      <c r="A1061" t="s">
        <v>1408</v>
      </c>
      <c r="B1061" s="1">
        <v>46023</v>
      </c>
      <c r="C1061" t="s">
        <v>988</v>
      </c>
      <c r="D1061" t="s">
        <v>29</v>
      </c>
      <c r="E1061" t="s">
        <v>30</v>
      </c>
      <c r="F1061" t="s">
        <v>31</v>
      </c>
      <c r="G1061" t="s">
        <v>32</v>
      </c>
      <c r="H1061" t="s">
        <v>33</v>
      </c>
      <c r="I1061">
        <v>4</v>
      </c>
      <c r="J1061">
        <v>3161.9</v>
      </c>
      <c r="K1061">
        <v>0.2</v>
      </c>
      <c r="L1061">
        <v>10118.08</v>
      </c>
      <c r="M1061" t="s">
        <v>48</v>
      </c>
      <c r="N1061" t="s">
        <v>49</v>
      </c>
      <c r="O1061" t="s">
        <v>65</v>
      </c>
      <c r="P1061" t="s">
        <v>26</v>
      </c>
      <c r="Q1061" t="str">
        <f t="shared" si="112"/>
        <v>Completed</v>
      </c>
      <c r="R1061" t="str">
        <f t="shared" si="113"/>
        <v>Marketplace</v>
      </c>
      <c r="S1061" t="str">
        <v>Net Banking</v>
      </c>
      <c r="T1061" t="str">
        <v>Electronics</v>
      </c>
      <c r="U1061" t="str">
        <f t="shared" si="114"/>
        <v>VALID</v>
      </c>
      <c r="V1061" t="str">
        <f t="shared" si="115"/>
        <v>NORMAL</v>
      </c>
      <c r="W1061" t="str">
        <f t="shared" si="116"/>
        <v>Valid</v>
      </c>
      <c r="X1061">
        <f t="shared" si="118"/>
        <v>12647.6</v>
      </c>
      <c r="Y1061">
        <f t="shared" si="117"/>
        <v>10118.08</v>
      </c>
    </row>
    <row r="1062" spans="1:25" x14ac:dyDescent="0.3">
      <c r="A1062" t="s">
        <v>1409</v>
      </c>
      <c r="B1062" s="1">
        <v>45544</v>
      </c>
      <c r="C1062" t="s">
        <v>776</v>
      </c>
      <c r="D1062" t="s">
        <v>176</v>
      </c>
      <c r="E1062" t="s">
        <v>177</v>
      </c>
      <c r="F1062" t="s">
        <v>31</v>
      </c>
      <c r="G1062" t="s">
        <v>56</v>
      </c>
      <c r="H1062" t="s">
        <v>64</v>
      </c>
      <c r="I1062">
        <v>2</v>
      </c>
      <c r="J1062">
        <v>2097.92</v>
      </c>
      <c r="K1062">
        <v>0.2</v>
      </c>
      <c r="L1062">
        <v>3356.67</v>
      </c>
      <c r="M1062" t="s">
        <v>23</v>
      </c>
      <c r="N1062" t="s">
        <v>71</v>
      </c>
      <c r="O1062" t="s">
        <v>65</v>
      </c>
      <c r="P1062" t="s">
        <v>111</v>
      </c>
      <c r="Q1062" t="str">
        <f t="shared" si="112"/>
        <v>Completed</v>
      </c>
      <c r="R1062" t="str">
        <f t="shared" si="113"/>
        <v>Online</v>
      </c>
      <c r="S1062" t="str">
        <v>Upi</v>
      </c>
      <c r="T1062" t="str">
        <v>Electronics</v>
      </c>
      <c r="U1062" t="str">
        <f t="shared" si="114"/>
        <v>VALID</v>
      </c>
      <c r="V1062" t="str">
        <f t="shared" si="115"/>
        <v>NORMAL</v>
      </c>
      <c r="W1062" t="str">
        <f t="shared" si="116"/>
        <v>Valid</v>
      </c>
      <c r="X1062">
        <f t="shared" si="118"/>
        <v>4195.84</v>
      </c>
      <c r="Y1062">
        <f t="shared" si="117"/>
        <v>3356.672</v>
      </c>
    </row>
    <row r="1063" spans="1:25" x14ac:dyDescent="0.3">
      <c r="A1063" t="s">
        <v>1410</v>
      </c>
      <c r="B1063" s="1">
        <v>46136</v>
      </c>
      <c r="C1063" t="s">
        <v>528</v>
      </c>
      <c r="D1063" t="s">
        <v>85</v>
      </c>
      <c r="E1063" t="s">
        <v>86</v>
      </c>
      <c r="F1063" t="s">
        <v>20</v>
      </c>
      <c r="G1063" t="s">
        <v>81</v>
      </c>
      <c r="H1063" t="s">
        <v>87</v>
      </c>
      <c r="I1063">
        <v>5</v>
      </c>
      <c r="J1063">
        <v>1928.87</v>
      </c>
      <c r="K1063">
        <v>0.1</v>
      </c>
      <c r="L1063">
        <v>8679.91</v>
      </c>
      <c r="M1063" t="s">
        <v>48</v>
      </c>
      <c r="N1063" t="s">
        <v>24</v>
      </c>
      <c r="O1063" t="s">
        <v>35</v>
      </c>
      <c r="P1063" t="s">
        <v>26</v>
      </c>
      <c r="Q1063" t="str">
        <f t="shared" si="112"/>
        <v>Cancelled</v>
      </c>
      <c r="R1063" t="str">
        <f t="shared" si="113"/>
        <v>Marketplace</v>
      </c>
      <c r="S1063" t="str">
        <v>Debit Card</v>
      </c>
      <c r="T1063" t="str">
        <v>Accessories</v>
      </c>
      <c r="U1063" t="str">
        <f t="shared" si="114"/>
        <v>VALID</v>
      </c>
      <c r="V1063" t="str">
        <f t="shared" si="115"/>
        <v>NORMAL</v>
      </c>
      <c r="W1063" t="str">
        <f t="shared" si="116"/>
        <v>Valid</v>
      </c>
      <c r="X1063">
        <f t="shared" si="118"/>
        <v>9644.3499999999985</v>
      </c>
      <c r="Y1063">
        <f t="shared" si="117"/>
        <v>8679.9149999999991</v>
      </c>
    </row>
    <row r="1064" spans="1:25" x14ac:dyDescent="0.3">
      <c r="A1064" t="s">
        <v>1411</v>
      </c>
      <c r="B1064" s="1">
        <v>46057</v>
      </c>
      <c r="C1064" t="s">
        <v>625</v>
      </c>
      <c r="D1064" t="s">
        <v>131</v>
      </c>
      <c r="E1064" t="s">
        <v>132</v>
      </c>
      <c r="F1064" t="s">
        <v>40</v>
      </c>
      <c r="G1064" t="s">
        <v>81</v>
      </c>
      <c r="H1064" t="s">
        <v>135</v>
      </c>
      <c r="I1064">
        <v>3</v>
      </c>
      <c r="J1064">
        <v>9872.94</v>
      </c>
      <c r="K1064">
        <v>0.1</v>
      </c>
      <c r="L1064">
        <v>26656.94</v>
      </c>
      <c r="M1064" t="s">
        <v>48</v>
      </c>
      <c r="N1064" t="s">
        <v>34</v>
      </c>
      <c r="O1064" t="s">
        <v>25</v>
      </c>
      <c r="P1064" t="s">
        <v>26</v>
      </c>
      <c r="Q1064" t="str">
        <f t="shared" si="112"/>
        <v>Returned</v>
      </c>
      <c r="R1064" t="str">
        <f t="shared" si="113"/>
        <v>Marketplace</v>
      </c>
      <c r="S1064" t="str">
        <v>Cash On Delivery</v>
      </c>
      <c r="T1064" t="str">
        <v>Furniture</v>
      </c>
      <c r="U1064" t="str">
        <f t="shared" si="114"/>
        <v>VALID</v>
      </c>
      <c r="V1064" t="str">
        <f t="shared" si="115"/>
        <v>NORMAL</v>
      </c>
      <c r="W1064" t="str">
        <f t="shared" si="116"/>
        <v>Valid</v>
      </c>
      <c r="X1064">
        <f t="shared" si="118"/>
        <v>29618.82</v>
      </c>
      <c r="Y1064">
        <f t="shared" si="117"/>
        <v>26656.937999999998</v>
      </c>
    </row>
    <row r="1065" spans="1:25" x14ac:dyDescent="0.3">
      <c r="A1065" t="s">
        <v>1412</v>
      </c>
      <c r="B1065" s="1">
        <v>45629</v>
      </c>
      <c r="C1065" t="s">
        <v>419</v>
      </c>
      <c r="D1065" t="s">
        <v>121</v>
      </c>
      <c r="E1065" t="s">
        <v>122</v>
      </c>
      <c r="F1065" t="s">
        <v>55</v>
      </c>
      <c r="G1065" t="s">
        <v>21</v>
      </c>
      <c r="H1065" t="s">
        <v>126</v>
      </c>
      <c r="I1065">
        <v>2</v>
      </c>
      <c r="J1065">
        <v>462</v>
      </c>
      <c r="L1065">
        <v>831.6</v>
      </c>
      <c r="M1065" t="s">
        <v>23</v>
      </c>
      <c r="N1065" t="s">
        <v>49</v>
      </c>
      <c r="O1065" t="s">
        <v>35</v>
      </c>
      <c r="P1065" t="s">
        <v>102</v>
      </c>
      <c r="Q1065" t="str">
        <f t="shared" si="112"/>
        <v>Cancelled</v>
      </c>
      <c r="R1065" t="str">
        <f t="shared" si="113"/>
        <v>Online</v>
      </c>
      <c r="S1065" t="str">
        <v>Net Banking</v>
      </c>
      <c r="T1065" t="str">
        <v>Stationery</v>
      </c>
      <c r="U1065" t="str">
        <f t="shared" si="114"/>
        <v>VALID</v>
      </c>
      <c r="V1065" t="str">
        <f t="shared" si="115"/>
        <v>NORMAL</v>
      </c>
      <c r="W1065" t="str">
        <f t="shared" si="116"/>
        <v>Valid</v>
      </c>
      <c r="X1065">
        <f t="shared" si="118"/>
        <v>924</v>
      </c>
      <c r="Y1065">
        <f t="shared" si="117"/>
        <v>924</v>
      </c>
    </row>
    <row r="1066" spans="1:25" x14ac:dyDescent="0.3">
      <c r="A1066" t="s">
        <v>1413</v>
      </c>
      <c r="B1066" s="1">
        <v>46133</v>
      </c>
      <c r="C1066" t="s">
        <v>738</v>
      </c>
      <c r="D1066" t="s">
        <v>105</v>
      </c>
      <c r="E1066" t="s">
        <v>106</v>
      </c>
      <c r="F1066" t="s">
        <v>40</v>
      </c>
      <c r="G1066" t="s">
        <v>81</v>
      </c>
      <c r="H1066" t="s">
        <v>82</v>
      </c>
      <c r="I1066">
        <v>4</v>
      </c>
      <c r="J1066">
        <v>7308.94</v>
      </c>
      <c r="K1066">
        <v>0</v>
      </c>
      <c r="L1066">
        <v>29235.759999999998</v>
      </c>
      <c r="M1066" t="s">
        <v>48</v>
      </c>
      <c r="N1066" t="s">
        <v>71</v>
      </c>
      <c r="O1066" t="s">
        <v>35</v>
      </c>
      <c r="P1066" t="s">
        <v>116</v>
      </c>
      <c r="Q1066" t="str">
        <f t="shared" si="112"/>
        <v>Cancelled</v>
      </c>
      <c r="R1066" t="str">
        <f t="shared" si="113"/>
        <v>Marketplace</v>
      </c>
      <c r="S1066" t="str">
        <v>Upi</v>
      </c>
      <c r="T1066" t="str">
        <v>Furniture</v>
      </c>
      <c r="U1066" t="str">
        <f t="shared" si="114"/>
        <v>VALID</v>
      </c>
      <c r="V1066" t="str">
        <f t="shared" si="115"/>
        <v>NORMAL</v>
      </c>
      <c r="W1066" t="str">
        <f t="shared" si="116"/>
        <v>Valid</v>
      </c>
      <c r="X1066">
        <f t="shared" si="118"/>
        <v>29235.759999999998</v>
      </c>
      <c r="Y1066">
        <f t="shared" si="117"/>
        <v>29235.759999999998</v>
      </c>
    </row>
    <row r="1067" spans="1:25" x14ac:dyDescent="0.3">
      <c r="A1067" t="s">
        <v>1414</v>
      </c>
      <c r="B1067" s="1">
        <v>45675</v>
      </c>
      <c r="C1067" t="s">
        <v>257</v>
      </c>
      <c r="D1067" t="s">
        <v>121</v>
      </c>
      <c r="E1067" t="s">
        <v>122</v>
      </c>
      <c r="F1067" t="s">
        <v>55</v>
      </c>
      <c r="G1067" t="s">
        <v>21</v>
      </c>
      <c r="H1067" t="s">
        <v>93</v>
      </c>
      <c r="I1067">
        <v>3</v>
      </c>
      <c r="J1067">
        <v>426.17</v>
      </c>
      <c r="K1067">
        <v>0.05</v>
      </c>
      <c r="L1067">
        <v>1214.58</v>
      </c>
      <c r="M1067" t="s">
        <v>76</v>
      </c>
      <c r="N1067" t="s">
        <v>34</v>
      </c>
      <c r="O1067" t="s">
        <v>65</v>
      </c>
      <c r="P1067" t="s">
        <v>42</v>
      </c>
      <c r="Q1067" t="str">
        <f t="shared" si="112"/>
        <v>Completed</v>
      </c>
      <c r="R1067" t="str">
        <f t="shared" si="113"/>
        <v>Store</v>
      </c>
      <c r="S1067" t="str">
        <v>Cash On Delivery</v>
      </c>
      <c r="T1067" t="str">
        <v>Stationery</v>
      </c>
      <c r="U1067" t="str">
        <f t="shared" si="114"/>
        <v>VALID</v>
      </c>
      <c r="V1067" t="str">
        <f t="shared" si="115"/>
        <v>NORMAL</v>
      </c>
      <c r="W1067" t="str">
        <f t="shared" si="116"/>
        <v>Valid</v>
      </c>
      <c r="X1067">
        <f t="shared" si="118"/>
        <v>1278.51</v>
      </c>
      <c r="Y1067">
        <f t="shared" si="117"/>
        <v>1214.5844999999999</v>
      </c>
    </row>
    <row r="1068" spans="1:25" x14ac:dyDescent="0.3">
      <c r="A1068" t="s">
        <v>1415</v>
      </c>
      <c r="B1068" s="1">
        <v>45336</v>
      </c>
      <c r="C1068" t="s">
        <v>190</v>
      </c>
      <c r="D1068" t="s">
        <v>89</v>
      </c>
      <c r="E1068" t="s">
        <v>90</v>
      </c>
      <c r="F1068" t="s">
        <v>20</v>
      </c>
      <c r="G1068" t="s">
        <v>21</v>
      </c>
      <c r="H1068" t="s">
        <v>93</v>
      </c>
      <c r="I1068">
        <v>2</v>
      </c>
      <c r="J1068">
        <v>708.28</v>
      </c>
      <c r="K1068">
        <v>0.05</v>
      </c>
      <c r="L1068">
        <v>1345.73</v>
      </c>
      <c r="M1068" t="s">
        <v>48</v>
      </c>
      <c r="N1068" t="s">
        <v>49</v>
      </c>
      <c r="O1068" t="s">
        <v>65</v>
      </c>
      <c r="P1068" t="s">
        <v>72</v>
      </c>
      <c r="Q1068" t="str">
        <f t="shared" si="112"/>
        <v>Completed</v>
      </c>
      <c r="R1068" t="str">
        <f t="shared" si="113"/>
        <v>Marketplace</v>
      </c>
      <c r="S1068" t="str">
        <v>Net Banking</v>
      </c>
      <c r="T1068" t="str">
        <v>Accessories</v>
      </c>
      <c r="U1068" t="str">
        <f t="shared" si="114"/>
        <v>VALID</v>
      </c>
      <c r="V1068" t="str">
        <f t="shared" si="115"/>
        <v>NORMAL</v>
      </c>
      <c r="W1068" t="str">
        <f t="shared" si="116"/>
        <v>Valid</v>
      </c>
      <c r="X1068">
        <f t="shared" si="118"/>
        <v>1416.56</v>
      </c>
      <c r="Y1068">
        <f t="shared" si="117"/>
        <v>1345.732</v>
      </c>
    </row>
    <row r="1069" spans="1:25" x14ac:dyDescent="0.3">
      <c r="A1069" t="s">
        <v>1416</v>
      </c>
      <c r="B1069" s="1">
        <v>45936</v>
      </c>
      <c r="C1069" t="s">
        <v>443</v>
      </c>
      <c r="D1069" t="s">
        <v>170</v>
      </c>
      <c r="E1069" t="s">
        <v>171</v>
      </c>
      <c r="F1069" t="s">
        <v>31</v>
      </c>
      <c r="G1069" t="s">
        <v>32</v>
      </c>
      <c r="H1069" t="s">
        <v>33</v>
      </c>
      <c r="I1069">
        <v>5</v>
      </c>
      <c r="J1069">
        <v>60505.63</v>
      </c>
      <c r="K1069">
        <v>0.08</v>
      </c>
      <c r="L1069">
        <v>278325.90000000002</v>
      </c>
      <c r="M1069" t="s">
        <v>23</v>
      </c>
      <c r="N1069" t="s">
        <v>49</v>
      </c>
      <c r="O1069" t="s">
        <v>25</v>
      </c>
      <c r="P1069" t="s">
        <v>59</v>
      </c>
      <c r="Q1069" t="str">
        <f t="shared" si="112"/>
        <v>Returned</v>
      </c>
      <c r="R1069" t="str">
        <f t="shared" si="113"/>
        <v>Online</v>
      </c>
      <c r="S1069" t="str">
        <v>Net Banking</v>
      </c>
      <c r="T1069" t="str">
        <v>Electronics</v>
      </c>
      <c r="U1069" t="str">
        <f t="shared" si="114"/>
        <v>VALID</v>
      </c>
      <c r="V1069" t="str">
        <f t="shared" si="115"/>
        <v>NORMAL</v>
      </c>
      <c r="W1069" t="str">
        <f t="shared" si="116"/>
        <v>Valid</v>
      </c>
      <c r="X1069">
        <f t="shared" si="118"/>
        <v>302528.14999999997</v>
      </c>
      <c r="Y1069">
        <f t="shared" si="117"/>
        <v>278325.89799999999</v>
      </c>
    </row>
    <row r="1070" spans="1:25" x14ac:dyDescent="0.3">
      <c r="A1070" t="s">
        <v>1417</v>
      </c>
      <c r="B1070" s="1">
        <v>45754</v>
      </c>
      <c r="C1070" t="s">
        <v>100</v>
      </c>
      <c r="D1070" t="s">
        <v>85</v>
      </c>
      <c r="E1070" t="s">
        <v>86</v>
      </c>
      <c r="F1070" t="s">
        <v>20</v>
      </c>
      <c r="G1070" t="s">
        <v>56</v>
      </c>
      <c r="H1070" t="s">
        <v>57</v>
      </c>
      <c r="I1070">
        <v>3</v>
      </c>
      <c r="J1070">
        <v>1878.88</v>
      </c>
      <c r="K1070">
        <v>0.2</v>
      </c>
      <c r="L1070">
        <v>4509.3100000000004</v>
      </c>
      <c r="M1070" t="s">
        <v>48</v>
      </c>
      <c r="N1070" t="s">
        <v>34</v>
      </c>
      <c r="O1070" t="s">
        <v>35</v>
      </c>
      <c r="P1070" t="s">
        <v>102</v>
      </c>
      <c r="Q1070" t="str">
        <f t="shared" si="112"/>
        <v>Cancelled</v>
      </c>
      <c r="R1070" t="str">
        <f t="shared" si="113"/>
        <v>Marketplace</v>
      </c>
      <c r="S1070" t="str">
        <v>Cash On Delivery</v>
      </c>
      <c r="T1070" t="str">
        <v>Accessories</v>
      </c>
      <c r="U1070" t="str">
        <f t="shared" si="114"/>
        <v>VALID</v>
      </c>
      <c r="V1070" t="str">
        <f t="shared" si="115"/>
        <v>NORMAL</v>
      </c>
      <c r="W1070" t="str">
        <f t="shared" si="116"/>
        <v>Valid</v>
      </c>
      <c r="X1070">
        <f t="shared" si="118"/>
        <v>5636.64</v>
      </c>
      <c r="Y1070">
        <f t="shared" si="117"/>
        <v>4509.3119999999999</v>
      </c>
    </row>
    <row r="1071" spans="1:25" x14ac:dyDescent="0.3">
      <c r="A1071" t="s">
        <v>1418</v>
      </c>
      <c r="B1071" s="1">
        <v>45944</v>
      </c>
      <c r="C1071" t="s">
        <v>334</v>
      </c>
      <c r="D1071" t="s">
        <v>38</v>
      </c>
      <c r="E1071" t="s">
        <v>39</v>
      </c>
      <c r="F1071" t="s">
        <v>40</v>
      </c>
      <c r="G1071" t="s">
        <v>32</v>
      </c>
      <c r="H1071" t="s">
        <v>68</v>
      </c>
      <c r="I1071">
        <v>5</v>
      </c>
      <c r="J1071">
        <v>1719.57</v>
      </c>
      <c r="K1071">
        <v>0.1</v>
      </c>
      <c r="L1071">
        <v>7738.07</v>
      </c>
      <c r="M1071" t="s">
        <v>48</v>
      </c>
      <c r="N1071" t="s">
        <v>49</v>
      </c>
      <c r="O1071" t="s">
        <v>65</v>
      </c>
      <c r="P1071" t="s">
        <v>26</v>
      </c>
      <c r="Q1071" t="str">
        <f t="shared" si="112"/>
        <v>Completed</v>
      </c>
      <c r="R1071" t="str">
        <f t="shared" si="113"/>
        <v>Marketplace</v>
      </c>
      <c r="S1071" t="str">
        <v>Net Banking</v>
      </c>
      <c r="T1071" t="str">
        <v>Furniture</v>
      </c>
      <c r="U1071" t="str">
        <f t="shared" si="114"/>
        <v>VALID</v>
      </c>
      <c r="V1071" t="str">
        <f t="shared" si="115"/>
        <v>NORMAL</v>
      </c>
      <c r="W1071" t="str">
        <f t="shared" si="116"/>
        <v>Valid</v>
      </c>
      <c r="X1071">
        <f t="shared" si="118"/>
        <v>8597.85</v>
      </c>
      <c r="Y1071">
        <f t="shared" si="117"/>
        <v>7738.0650000000005</v>
      </c>
    </row>
    <row r="1072" spans="1:25" x14ac:dyDescent="0.3">
      <c r="A1072" t="s">
        <v>1419</v>
      </c>
      <c r="B1072" s="1">
        <v>45321</v>
      </c>
      <c r="C1072" t="s">
        <v>365</v>
      </c>
      <c r="D1072" t="s">
        <v>53</v>
      </c>
      <c r="E1072" t="s">
        <v>54</v>
      </c>
      <c r="F1072" t="s">
        <v>55</v>
      </c>
      <c r="G1072" t="s">
        <v>56</v>
      </c>
      <c r="H1072" t="s">
        <v>64</v>
      </c>
      <c r="I1072">
        <v>2</v>
      </c>
      <c r="J1072">
        <v>215.24</v>
      </c>
      <c r="K1072">
        <v>0.2</v>
      </c>
      <c r="L1072">
        <v>344.38</v>
      </c>
      <c r="M1072" t="s">
        <v>48</v>
      </c>
      <c r="N1072" t="s">
        <v>58</v>
      </c>
      <c r="O1072" t="s">
        <v>65</v>
      </c>
      <c r="P1072" t="s">
        <v>42</v>
      </c>
      <c r="Q1072" t="str">
        <f t="shared" si="112"/>
        <v>Completed</v>
      </c>
      <c r="R1072" t="str">
        <f t="shared" si="113"/>
        <v>Marketplace</v>
      </c>
      <c r="S1072" t="str">
        <v>Credit Card</v>
      </c>
      <c r="T1072" t="str">
        <v>Stationery</v>
      </c>
      <c r="U1072" t="str">
        <f t="shared" si="114"/>
        <v>VALID</v>
      </c>
      <c r="V1072" t="str">
        <f t="shared" si="115"/>
        <v>NORMAL</v>
      </c>
      <c r="W1072" t="str">
        <f t="shared" si="116"/>
        <v>Valid</v>
      </c>
      <c r="X1072">
        <f t="shared" si="118"/>
        <v>430.48</v>
      </c>
      <c r="Y1072">
        <f t="shared" si="117"/>
        <v>344.38400000000001</v>
      </c>
    </row>
    <row r="1073" spans="1:25" x14ac:dyDescent="0.3">
      <c r="A1073" t="s">
        <v>1420</v>
      </c>
      <c r="B1073" s="1">
        <v>45452</v>
      </c>
      <c r="C1073" t="s">
        <v>411</v>
      </c>
      <c r="D1073" t="s">
        <v>18</v>
      </c>
      <c r="E1073" t="s">
        <v>19</v>
      </c>
      <c r="F1073" t="s">
        <v>20</v>
      </c>
      <c r="G1073" t="s">
        <v>21</v>
      </c>
      <c r="H1073" t="s">
        <v>126</v>
      </c>
      <c r="I1073">
        <v>3</v>
      </c>
      <c r="J1073">
        <v>795.04</v>
      </c>
      <c r="K1073">
        <v>0.05</v>
      </c>
      <c r="L1073">
        <v>2265.86</v>
      </c>
      <c r="M1073" t="s">
        <v>23</v>
      </c>
      <c r="N1073" t="s">
        <v>24</v>
      </c>
      <c r="O1073" t="s">
        <v>25</v>
      </c>
      <c r="P1073" t="s">
        <v>50</v>
      </c>
      <c r="Q1073" t="str">
        <f t="shared" si="112"/>
        <v>Returned</v>
      </c>
      <c r="R1073" t="str">
        <f t="shared" si="113"/>
        <v>Online</v>
      </c>
      <c r="S1073" t="str">
        <v>Debit Card</v>
      </c>
      <c r="T1073" t="str">
        <v>Accessories</v>
      </c>
      <c r="U1073" t="str">
        <f t="shared" si="114"/>
        <v>VALID</v>
      </c>
      <c r="V1073" t="str">
        <f t="shared" si="115"/>
        <v>NORMAL</v>
      </c>
      <c r="W1073" t="str">
        <f t="shared" si="116"/>
        <v>Valid</v>
      </c>
      <c r="X1073">
        <f t="shared" si="118"/>
        <v>2385.12</v>
      </c>
      <c r="Y1073">
        <f t="shared" si="117"/>
        <v>2265.864</v>
      </c>
    </row>
    <row r="1074" spans="1:25" x14ac:dyDescent="0.3">
      <c r="A1074" t="s">
        <v>1421</v>
      </c>
      <c r="B1074" s="1">
        <v>45769</v>
      </c>
      <c r="C1074" t="s">
        <v>196</v>
      </c>
      <c r="D1074" t="s">
        <v>85</v>
      </c>
      <c r="E1074" t="s">
        <v>86</v>
      </c>
      <c r="F1074" t="s">
        <v>20</v>
      </c>
      <c r="G1074" t="s">
        <v>32</v>
      </c>
      <c r="H1074" t="s">
        <v>75</v>
      </c>
      <c r="I1074">
        <v>3</v>
      </c>
      <c r="J1074">
        <v>1760.13</v>
      </c>
      <c r="K1074">
        <v>0.15</v>
      </c>
      <c r="L1074">
        <v>4488.33</v>
      </c>
      <c r="M1074" t="s">
        <v>23</v>
      </c>
      <c r="N1074" t="s">
        <v>34</v>
      </c>
      <c r="O1074" t="s">
        <v>25</v>
      </c>
      <c r="P1074" t="s">
        <v>42</v>
      </c>
      <c r="Q1074" t="str">
        <f t="shared" si="112"/>
        <v>Returned</v>
      </c>
      <c r="R1074" t="str">
        <f t="shared" si="113"/>
        <v>Online</v>
      </c>
      <c r="S1074" t="str">
        <v>Cash On Delivery</v>
      </c>
      <c r="T1074" t="str">
        <v>Accessories</v>
      </c>
      <c r="U1074" t="str">
        <f t="shared" si="114"/>
        <v>VALID</v>
      </c>
      <c r="V1074" t="str">
        <f t="shared" si="115"/>
        <v>NORMAL</v>
      </c>
      <c r="W1074" t="str">
        <f t="shared" si="116"/>
        <v>Valid</v>
      </c>
      <c r="X1074">
        <f t="shared" si="118"/>
        <v>5280.39</v>
      </c>
      <c r="Y1074">
        <f t="shared" si="117"/>
        <v>4488.3315000000002</v>
      </c>
    </row>
    <row r="1075" spans="1:25" x14ac:dyDescent="0.3">
      <c r="A1075" t="s">
        <v>1422</v>
      </c>
      <c r="B1075" s="1">
        <v>45803</v>
      </c>
      <c r="C1075" t="s">
        <v>245</v>
      </c>
      <c r="D1075" t="s">
        <v>38</v>
      </c>
      <c r="E1075" t="s">
        <v>39</v>
      </c>
      <c r="F1075" t="s">
        <v>40</v>
      </c>
      <c r="G1075" t="s">
        <v>81</v>
      </c>
      <c r="H1075" t="s">
        <v>135</v>
      </c>
      <c r="I1075">
        <v>4</v>
      </c>
      <c r="J1075">
        <v>1522.37</v>
      </c>
      <c r="K1075">
        <v>0.15</v>
      </c>
      <c r="L1075">
        <v>5176.0600000000004</v>
      </c>
      <c r="M1075" t="s">
        <v>23</v>
      </c>
      <c r="N1075" t="s">
        <v>49</v>
      </c>
      <c r="O1075" t="s">
        <v>65</v>
      </c>
      <c r="P1075" t="s">
        <v>102</v>
      </c>
      <c r="Q1075" t="str">
        <f t="shared" si="112"/>
        <v>Completed</v>
      </c>
      <c r="R1075" t="str">
        <f t="shared" si="113"/>
        <v>Online</v>
      </c>
      <c r="S1075" t="str">
        <v>Net Banking</v>
      </c>
      <c r="T1075" t="str">
        <v>Furniture</v>
      </c>
      <c r="U1075" t="str">
        <f t="shared" si="114"/>
        <v>VALID</v>
      </c>
      <c r="V1075" t="str">
        <f t="shared" si="115"/>
        <v>NORMAL</v>
      </c>
      <c r="W1075" t="str">
        <f t="shared" si="116"/>
        <v>Valid</v>
      </c>
      <c r="X1075">
        <f t="shared" si="118"/>
        <v>6089.48</v>
      </c>
      <c r="Y1075">
        <f t="shared" si="117"/>
        <v>5176.058</v>
      </c>
    </row>
    <row r="1076" spans="1:25" x14ac:dyDescent="0.3">
      <c r="A1076" t="s">
        <v>1423</v>
      </c>
      <c r="B1076" s="1">
        <v>45331</v>
      </c>
      <c r="C1076" t="s">
        <v>1195</v>
      </c>
      <c r="D1076" t="s">
        <v>89</v>
      </c>
      <c r="E1076" t="s">
        <v>90</v>
      </c>
      <c r="F1076" t="s">
        <v>20</v>
      </c>
      <c r="G1076" t="s">
        <v>21</v>
      </c>
      <c r="H1076" t="s">
        <v>41</v>
      </c>
      <c r="I1076">
        <v>2</v>
      </c>
      <c r="J1076">
        <v>679.49</v>
      </c>
      <c r="K1076">
        <v>0.05</v>
      </c>
      <c r="L1076">
        <v>1291.03</v>
      </c>
      <c r="M1076" t="s">
        <v>76</v>
      </c>
      <c r="N1076" t="s">
        <v>71</v>
      </c>
      <c r="O1076" t="s">
        <v>65</v>
      </c>
      <c r="P1076" t="s">
        <v>111</v>
      </c>
      <c r="Q1076" t="str">
        <f t="shared" si="112"/>
        <v>Completed</v>
      </c>
      <c r="R1076" t="str">
        <f t="shared" si="113"/>
        <v>Store</v>
      </c>
      <c r="S1076" t="str">
        <v>Upi</v>
      </c>
      <c r="T1076" t="str">
        <v>Accessories</v>
      </c>
      <c r="U1076" t="str">
        <f t="shared" si="114"/>
        <v>VALID</v>
      </c>
      <c r="V1076" t="str">
        <f t="shared" si="115"/>
        <v>NORMAL</v>
      </c>
      <c r="W1076" t="str">
        <f t="shared" si="116"/>
        <v>Valid</v>
      </c>
      <c r="X1076">
        <f t="shared" si="118"/>
        <v>1358.98</v>
      </c>
      <c r="Y1076">
        <f t="shared" si="117"/>
        <v>1291.0309999999999</v>
      </c>
    </row>
    <row r="1077" spans="1:25" x14ac:dyDescent="0.3">
      <c r="A1077" t="s">
        <v>1424</v>
      </c>
      <c r="B1077" s="1">
        <v>45341</v>
      </c>
      <c r="C1077" t="s">
        <v>715</v>
      </c>
      <c r="D1077" t="s">
        <v>96</v>
      </c>
      <c r="E1077" t="s">
        <v>97</v>
      </c>
      <c r="F1077" t="s">
        <v>31</v>
      </c>
      <c r="G1077" t="s">
        <v>81</v>
      </c>
      <c r="H1077" t="s">
        <v>87</v>
      </c>
      <c r="I1077">
        <v>3</v>
      </c>
      <c r="J1077">
        <v>1128.56</v>
      </c>
      <c r="K1077">
        <v>0</v>
      </c>
      <c r="L1077">
        <v>3385.68</v>
      </c>
      <c r="M1077" t="s">
        <v>48</v>
      </c>
      <c r="N1077" t="s">
        <v>34</v>
      </c>
      <c r="O1077" t="s">
        <v>65</v>
      </c>
      <c r="P1077" t="s">
        <v>116</v>
      </c>
      <c r="Q1077" t="str">
        <f t="shared" si="112"/>
        <v>Completed</v>
      </c>
      <c r="R1077" t="str">
        <f t="shared" si="113"/>
        <v>Marketplace</v>
      </c>
      <c r="S1077" t="str">
        <v>Cash On Delivery</v>
      </c>
      <c r="T1077" t="str">
        <v>Electronics</v>
      </c>
      <c r="U1077" t="str">
        <f t="shared" si="114"/>
        <v>VALID</v>
      </c>
      <c r="V1077" t="str">
        <f t="shared" si="115"/>
        <v>NORMAL</v>
      </c>
      <c r="W1077" t="str">
        <f t="shared" si="116"/>
        <v>Valid</v>
      </c>
      <c r="X1077">
        <f t="shared" si="118"/>
        <v>3385.68</v>
      </c>
      <c r="Y1077">
        <f t="shared" si="117"/>
        <v>3385.68</v>
      </c>
    </row>
    <row r="1078" spans="1:25" x14ac:dyDescent="0.3">
      <c r="A1078" t="s">
        <v>1425</v>
      </c>
      <c r="B1078" s="1">
        <v>45997</v>
      </c>
      <c r="C1078" t="s">
        <v>1069</v>
      </c>
      <c r="D1078" t="s">
        <v>18</v>
      </c>
      <c r="E1078" t="s">
        <v>19</v>
      </c>
      <c r="F1078" t="s">
        <v>20</v>
      </c>
      <c r="G1078" t="s">
        <v>81</v>
      </c>
      <c r="H1078" t="s">
        <v>135</v>
      </c>
      <c r="I1078">
        <v>5</v>
      </c>
      <c r="J1078">
        <v>835.23</v>
      </c>
      <c r="K1078">
        <v>0.2</v>
      </c>
      <c r="L1078">
        <v>3340.92</v>
      </c>
      <c r="M1078" t="s">
        <v>48</v>
      </c>
      <c r="N1078" t="s">
        <v>24</v>
      </c>
      <c r="O1078" t="s">
        <v>35</v>
      </c>
      <c r="P1078" t="s">
        <v>59</v>
      </c>
      <c r="Q1078" t="str">
        <f t="shared" si="112"/>
        <v>Cancelled</v>
      </c>
      <c r="R1078" t="str">
        <f t="shared" si="113"/>
        <v>Marketplace</v>
      </c>
      <c r="S1078" t="str">
        <v>Debit Card</v>
      </c>
      <c r="T1078" t="str">
        <v>Accessories</v>
      </c>
      <c r="U1078" t="str">
        <f t="shared" si="114"/>
        <v>VALID</v>
      </c>
      <c r="V1078" t="str">
        <f t="shared" si="115"/>
        <v>NORMAL</v>
      </c>
      <c r="W1078" t="str">
        <f t="shared" si="116"/>
        <v>Valid</v>
      </c>
      <c r="X1078">
        <f t="shared" si="118"/>
        <v>4176.1499999999996</v>
      </c>
      <c r="Y1078">
        <f t="shared" si="117"/>
        <v>3340.9199999999996</v>
      </c>
    </row>
    <row r="1079" spans="1:25" x14ac:dyDescent="0.3">
      <c r="A1079" t="s">
        <v>1426</v>
      </c>
      <c r="B1079" s="1">
        <v>45969</v>
      </c>
      <c r="C1079" t="s">
        <v>299</v>
      </c>
      <c r="D1079" t="s">
        <v>96</v>
      </c>
      <c r="E1079" t="s">
        <v>97</v>
      </c>
      <c r="F1079" t="s">
        <v>31</v>
      </c>
      <c r="G1079" t="s">
        <v>32</v>
      </c>
      <c r="H1079" t="s">
        <v>47</v>
      </c>
      <c r="I1079">
        <v>3</v>
      </c>
      <c r="J1079">
        <v>1205.49</v>
      </c>
      <c r="K1079">
        <v>0.1</v>
      </c>
      <c r="L1079">
        <v>3254.82</v>
      </c>
      <c r="M1079" t="s">
        <v>48</v>
      </c>
      <c r="N1079" t="s">
        <v>24</v>
      </c>
      <c r="O1079" t="s">
        <v>25</v>
      </c>
      <c r="P1079" t="s">
        <v>111</v>
      </c>
      <c r="Q1079" t="str">
        <f t="shared" si="112"/>
        <v>Returned</v>
      </c>
      <c r="R1079" t="str">
        <f t="shared" si="113"/>
        <v>Marketplace</v>
      </c>
      <c r="S1079" t="str">
        <v>Debit Card</v>
      </c>
      <c r="T1079" t="str">
        <v>Electronics</v>
      </c>
      <c r="U1079" t="str">
        <f t="shared" si="114"/>
        <v>VALID</v>
      </c>
      <c r="V1079" t="str">
        <f t="shared" si="115"/>
        <v>NORMAL</v>
      </c>
      <c r="W1079" t="str">
        <f t="shared" si="116"/>
        <v>Valid</v>
      </c>
      <c r="X1079">
        <f t="shared" si="118"/>
        <v>3616.4700000000003</v>
      </c>
      <c r="Y1079">
        <f t="shared" si="117"/>
        <v>3254.8230000000003</v>
      </c>
    </row>
    <row r="1080" spans="1:25" x14ac:dyDescent="0.3">
      <c r="A1080" t="s">
        <v>1427</v>
      </c>
      <c r="B1080" s="1">
        <v>45400</v>
      </c>
      <c r="C1080" t="s">
        <v>516</v>
      </c>
      <c r="D1080" t="s">
        <v>170</v>
      </c>
      <c r="E1080" t="s">
        <v>171</v>
      </c>
      <c r="F1080" t="s">
        <v>31</v>
      </c>
      <c r="G1080" t="s">
        <v>56</v>
      </c>
      <c r="H1080" t="s">
        <v>57</v>
      </c>
      <c r="I1080">
        <v>1</v>
      </c>
      <c r="J1080">
        <v>60565.56</v>
      </c>
      <c r="K1080">
        <v>0.1</v>
      </c>
      <c r="L1080">
        <v>54509</v>
      </c>
      <c r="M1080" t="s">
        <v>48</v>
      </c>
      <c r="N1080" t="s">
        <v>24</v>
      </c>
      <c r="O1080" t="s">
        <v>65</v>
      </c>
      <c r="P1080" t="s">
        <v>59</v>
      </c>
      <c r="Q1080" t="str">
        <f t="shared" si="112"/>
        <v>Completed</v>
      </c>
      <c r="R1080" t="str">
        <f t="shared" si="113"/>
        <v>Marketplace</v>
      </c>
      <c r="S1080" t="str">
        <v>Debit Card</v>
      </c>
      <c r="T1080" t="str">
        <v>Electronics</v>
      </c>
      <c r="U1080" t="str">
        <f t="shared" si="114"/>
        <v>VALID</v>
      </c>
      <c r="V1080" t="str">
        <f t="shared" si="115"/>
        <v>NORMAL</v>
      </c>
      <c r="W1080" t="str">
        <f t="shared" si="116"/>
        <v>Valid</v>
      </c>
      <c r="X1080">
        <f t="shared" si="118"/>
        <v>60565.56</v>
      </c>
      <c r="Y1080">
        <f t="shared" si="117"/>
        <v>54509.004000000001</v>
      </c>
    </row>
    <row r="1081" spans="1:25" x14ac:dyDescent="0.3">
      <c r="A1081" t="s">
        <v>1428</v>
      </c>
      <c r="B1081" s="1">
        <v>45946</v>
      </c>
      <c r="C1081" t="s">
        <v>169</v>
      </c>
      <c r="D1081" t="s">
        <v>18</v>
      </c>
      <c r="E1081" t="s">
        <v>19</v>
      </c>
      <c r="F1081" t="s">
        <v>20</v>
      </c>
      <c r="G1081" t="s">
        <v>81</v>
      </c>
      <c r="H1081" t="s">
        <v>98</v>
      </c>
      <c r="I1081">
        <v>5</v>
      </c>
      <c r="J1081">
        <v>833.89</v>
      </c>
      <c r="K1081">
        <v>0.2</v>
      </c>
      <c r="L1081">
        <v>3335.56</v>
      </c>
      <c r="M1081" t="s">
        <v>76</v>
      </c>
      <c r="N1081" t="s">
        <v>71</v>
      </c>
      <c r="O1081" t="s">
        <v>65</v>
      </c>
      <c r="P1081" t="s">
        <v>116</v>
      </c>
      <c r="Q1081" t="str">
        <f t="shared" si="112"/>
        <v>Completed</v>
      </c>
      <c r="R1081" t="str">
        <f t="shared" si="113"/>
        <v>Store</v>
      </c>
      <c r="S1081" t="str">
        <v>Upi</v>
      </c>
      <c r="T1081" t="str">
        <v>Accessories</v>
      </c>
      <c r="U1081" t="str">
        <f t="shared" si="114"/>
        <v>VALID</v>
      </c>
      <c r="V1081" t="str">
        <f t="shared" si="115"/>
        <v>NORMAL</v>
      </c>
      <c r="W1081" t="str">
        <f t="shared" si="116"/>
        <v>Valid</v>
      </c>
      <c r="X1081">
        <f t="shared" si="118"/>
        <v>4169.45</v>
      </c>
      <c r="Y1081">
        <f t="shared" si="117"/>
        <v>3335.56</v>
      </c>
    </row>
    <row r="1082" spans="1:25" x14ac:dyDescent="0.3">
      <c r="A1082" t="s">
        <v>1429</v>
      </c>
      <c r="B1082" s="1">
        <v>45757</v>
      </c>
      <c r="C1082" t="s">
        <v>627</v>
      </c>
      <c r="D1082" t="s">
        <v>89</v>
      </c>
      <c r="E1082" t="s">
        <v>90</v>
      </c>
      <c r="F1082" t="s">
        <v>20</v>
      </c>
      <c r="G1082" t="s">
        <v>21</v>
      </c>
      <c r="H1082" t="s">
        <v>126</v>
      </c>
      <c r="I1082">
        <v>5</v>
      </c>
      <c r="J1082">
        <v>698.06</v>
      </c>
      <c r="K1082">
        <v>0.15</v>
      </c>
      <c r="L1082">
        <v>2966.75</v>
      </c>
      <c r="M1082" t="s">
        <v>23</v>
      </c>
      <c r="N1082" t="s">
        <v>58</v>
      </c>
      <c r="O1082" t="s">
        <v>65</v>
      </c>
      <c r="P1082" t="s">
        <v>42</v>
      </c>
      <c r="Q1082" t="str">
        <f t="shared" si="112"/>
        <v>Completed</v>
      </c>
      <c r="R1082" t="str">
        <f t="shared" si="113"/>
        <v>Online</v>
      </c>
      <c r="S1082" t="str">
        <v>Credit Card</v>
      </c>
      <c r="T1082" t="str">
        <v>Accessories</v>
      </c>
      <c r="U1082" t="str">
        <f t="shared" si="114"/>
        <v>VALID</v>
      </c>
      <c r="V1082" t="str">
        <f t="shared" si="115"/>
        <v>NORMAL</v>
      </c>
      <c r="W1082" t="str">
        <f t="shared" si="116"/>
        <v>Valid</v>
      </c>
      <c r="X1082">
        <f t="shared" si="118"/>
        <v>3490.2999999999997</v>
      </c>
      <c r="Y1082">
        <f t="shared" si="117"/>
        <v>2966.7549999999997</v>
      </c>
    </row>
    <row r="1083" spans="1:25" x14ac:dyDescent="0.3">
      <c r="A1083" t="s">
        <v>1430</v>
      </c>
      <c r="B1083" s="1">
        <v>45838</v>
      </c>
      <c r="C1083" t="s">
        <v>439</v>
      </c>
      <c r="D1083" t="s">
        <v>96</v>
      </c>
      <c r="E1083" t="s">
        <v>97</v>
      </c>
      <c r="F1083" t="s">
        <v>31</v>
      </c>
      <c r="G1083" t="s">
        <v>260</v>
      </c>
      <c r="H1083" t="s">
        <v>64</v>
      </c>
      <c r="I1083">
        <v>4</v>
      </c>
      <c r="J1083">
        <v>1276.74</v>
      </c>
      <c r="K1083">
        <v>0.1</v>
      </c>
      <c r="L1083">
        <v>4596.26</v>
      </c>
      <c r="M1083" t="s">
        <v>76</v>
      </c>
      <c r="N1083" t="s">
        <v>58</v>
      </c>
      <c r="O1083" t="s">
        <v>65</v>
      </c>
      <c r="P1083" t="s">
        <v>50</v>
      </c>
      <c r="Q1083" t="str">
        <f t="shared" si="112"/>
        <v>Completed</v>
      </c>
      <c r="R1083" t="str">
        <f t="shared" si="113"/>
        <v>Store</v>
      </c>
      <c r="S1083" t="str">
        <v>Credit Card</v>
      </c>
      <c r="T1083" t="str">
        <v>Electronics</v>
      </c>
      <c r="U1083" t="str">
        <f t="shared" si="114"/>
        <v>VALID</v>
      </c>
      <c r="V1083" t="str">
        <f t="shared" si="115"/>
        <v>NORMAL</v>
      </c>
      <c r="W1083" t="str">
        <f t="shared" si="116"/>
        <v>Valid</v>
      </c>
      <c r="X1083">
        <f t="shared" si="118"/>
        <v>5106.96</v>
      </c>
      <c r="Y1083">
        <f t="shared" si="117"/>
        <v>4596.2640000000001</v>
      </c>
    </row>
    <row r="1084" spans="1:25" x14ac:dyDescent="0.3">
      <c r="A1084" t="s">
        <v>1431</v>
      </c>
      <c r="B1084" s="1">
        <v>45707</v>
      </c>
      <c r="C1084" t="s">
        <v>385</v>
      </c>
      <c r="D1084" t="s">
        <v>96</v>
      </c>
      <c r="E1084" t="s">
        <v>97</v>
      </c>
      <c r="F1084" t="s">
        <v>31</v>
      </c>
      <c r="G1084" t="s">
        <v>21</v>
      </c>
      <c r="H1084" t="s">
        <v>41</v>
      </c>
      <c r="I1084">
        <v>1</v>
      </c>
      <c r="J1084">
        <v>1123.72</v>
      </c>
      <c r="K1084">
        <v>0.08</v>
      </c>
      <c r="L1084">
        <v>1033.82</v>
      </c>
      <c r="M1084" t="s">
        <v>48</v>
      </c>
      <c r="N1084" t="s">
        <v>58</v>
      </c>
      <c r="O1084" t="s">
        <v>25</v>
      </c>
      <c r="P1084" t="s">
        <v>50</v>
      </c>
      <c r="Q1084" t="str">
        <f t="shared" si="112"/>
        <v>Returned</v>
      </c>
      <c r="R1084" t="str">
        <f t="shared" si="113"/>
        <v>Marketplace</v>
      </c>
      <c r="S1084" t="str">
        <v>Credit Card</v>
      </c>
      <c r="T1084" t="str">
        <v>Electronics</v>
      </c>
      <c r="U1084" t="str">
        <f t="shared" si="114"/>
        <v>VALID</v>
      </c>
      <c r="V1084" t="str">
        <f t="shared" si="115"/>
        <v>NORMAL</v>
      </c>
      <c r="W1084" t="str">
        <f t="shared" si="116"/>
        <v>Valid</v>
      </c>
      <c r="X1084">
        <f t="shared" si="118"/>
        <v>1123.72</v>
      </c>
      <c r="Y1084">
        <f t="shared" si="117"/>
        <v>1033.8224</v>
      </c>
    </row>
    <row r="1085" spans="1:25" x14ac:dyDescent="0.3">
      <c r="A1085" t="s">
        <v>1432</v>
      </c>
      <c r="B1085" s="1">
        <v>46137</v>
      </c>
      <c r="C1085" t="s">
        <v>309</v>
      </c>
      <c r="D1085" t="s">
        <v>96</v>
      </c>
      <c r="E1085" t="s">
        <v>97</v>
      </c>
      <c r="F1085" t="s">
        <v>31</v>
      </c>
      <c r="G1085" t="s">
        <v>21</v>
      </c>
      <c r="H1085" t="s">
        <v>22</v>
      </c>
      <c r="I1085">
        <v>1</v>
      </c>
      <c r="J1085">
        <v>1120.3800000000001</v>
      </c>
      <c r="K1085">
        <v>0.03</v>
      </c>
      <c r="L1085">
        <v>1086.77</v>
      </c>
      <c r="M1085" t="s">
        <v>23</v>
      </c>
      <c r="N1085" t="s">
        <v>34</v>
      </c>
      <c r="O1085" t="s">
        <v>25</v>
      </c>
      <c r="P1085" t="s">
        <v>102</v>
      </c>
      <c r="Q1085" t="str">
        <f t="shared" si="112"/>
        <v>Returned</v>
      </c>
      <c r="R1085" t="str">
        <f t="shared" si="113"/>
        <v>Online</v>
      </c>
      <c r="S1085" t="str">
        <v>Cash On Delivery</v>
      </c>
      <c r="T1085" t="str">
        <v>Electronics</v>
      </c>
      <c r="U1085" t="str">
        <f t="shared" si="114"/>
        <v>VALID</v>
      </c>
      <c r="V1085" t="str">
        <f t="shared" si="115"/>
        <v>NORMAL</v>
      </c>
      <c r="W1085" t="str">
        <f t="shared" si="116"/>
        <v>Valid</v>
      </c>
      <c r="X1085">
        <f t="shared" si="118"/>
        <v>1120.3800000000001</v>
      </c>
      <c r="Y1085">
        <f t="shared" si="117"/>
        <v>1086.7686000000001</v>
      </c>
    </row>
    <row r="1086" spans="1:25" x14ac:dyDescent="0.3">
      <c r="A1086" t="s">
        <v>1433</v>
      </c>
      <c r="B1086" s="1">
        <v>45432</v>
      </c>
      <c r="C1086" t="s">
        <v>1077</v>
      </c>
      <c r="D1086" t="s">
        <v>105</v>
      </c>
      <c r="E1086" t="s">
        <v>106</v>
      </c>
      <c r="F1086" t="s">
        <v>40</v>
      </c>
      <c r="G1086" t="s">
        <v>56</v>
      </c>
      <c r="H1086" t="s">
        <v>57</v>
      </c>
      <c r="I1086">
        <v>2</v>
      </c>
      <c r="J1086">
        <v>6960.02</v>
      </c>
      <c r="K1086">
        <v>0.05</v>
      </c>
      <c r="L1086">
        <v>13224.04</v>
      </c>
      <c r="M1086" t="s">
        <v>48</v>
      </c>
      <c r="N1086" t="s">
        <v>58</v>
      </c>
      <c r="O1086" t="s">
        <v>65</v>
      </c>
      <c r="P1086" t="s">
        <v>116</v>
      </c>
      <c r="Q1086" t="str">
        <f t="shared" si="112"/>
        <v>Completed</v>
      </c>
      <c r="R1086" t="str">
        <f t="shared" si="113"/>
        <v>Marketplace</v>
      </c>
      <c r="S1086" t="str">
        <v>Credit Card</v>
      </c>
      <c r="T1086" t="str">
        <v>Furniture</v>
      </c>
      <c r="U1086" t="str">
        <f t="shared" si="114"/>
        <v>VALID</v>
      </c>
      <c r="V1086" t="str">
        <f t="shared" si="115"/>
        <v>NORMAL</v>
      </c>
      <c r="W1086" t="str">
        <f t="shared" si="116"/>
        <v>Valid</v>
      </c>
      <c r="X1086">
        <f t="shared" si="118"/>
        <v>13920.04</v>
      </c>
      <c r="Y1086">
        <f t="shared" si="117"/>
        <v>13224.038</v>
      </c>
    </row>
    <row r="1087" spans="1:25" x14ac:dyDescent="0.3">
      <c r="A1087" t="s">
        <v>1434</v>
      </c>
      <c r="B1087" s="1">
        <v>45628</v>
      </c>
      <c r="C1087" t="s">
        <v>227</v>
      </c>
      <c r="D1087" t="s">
        <v>89</v>
      </c>
      <c r="E1087" t="s">
        <v>90</v>
      </c>
      <c r="F1087" t="s">
        <v>20</v>
      </c>
      <c r="G1087" t="s">
        <v>56</v>
      </c>
      <c r="H1087" t="s">
        <v>57</v>
      </c>
      <c r="I1087">
        <v>1</v>
      </c>
      <c r="J1087">
        <v>686.88</v>
      </c>
      <c r="K1087">
        <v>0</v>
      </c>
      <c r="L1087">
        <v>686.88</v>
      </c>
      <c r="M1087" t="s">
        <v>48</v>
      </c>
      <c r="N1087" t="s">
        <v>71</v>
      </c>
      <c r="O1087" t="s">
        <v>25</v>
      </c>
      <c r="P1087" t="s">
        <v>116</v>
      </c>
      <c r="Q1087" t="str">
        <f t="shared" si="112"/>
        <v>Returned</v>
      </c>
      <c r="R1087" t="str">
        <f t="shared" si="113"/>
        <v>Marketplace</v>
      </c>
      <c r="S1087" t="str">
        <v>Upi</v>
      </c>
      <c r="T1087" t="str">
        <v>Accessories</v>
      </c>
      <c r="U1087" t="str">
        <f t="shared" si="114"/>
        <v>VALID</v>
      </c>
      <c r="V1087" t="str">
        <f t="shared" si="115"/>
        <v>NORMAL</v>
      </c>
      <c r="W1087" t="str">
        <f t="shared" si="116"/>
        <v>Valid</v>
      </c>
      <c r="X1087">
        <f t="shared" si="118"/>
        <v>686.88</v>
      </c>
      <c r="Y1087">
        <f t="shared" si="117"/>
        <v>686.88</v>
      </c>
    </row>
    <row r="1088" spans="1:25" x14ac:dyDescent="0.3">
      <c r="A1088" t="s">
        <v>1435</v>
      </c>
      <c r="B1088" s="1">
        <v>45571</v>
      </c>
      <c r="C1088" t="s">
        <v>204</v>
      </c>
      <c r="D1088" t="s">
        <v>121</v>
      </c>
      <c r="E1088" t="s">
        <v>122</v>
      </c>
      <c r="F1088" t="s">
        <v>55</v>
      </c>
      <c r="G1088" t="s">
        <v>56</v>
      </c>
      <c r="H1088" t="s">
        <v>64</v>
      </c>
      <c r="I1088">
        <v>1</v>
      </c>
      <c r="J1088">
        <v>433.68</v>
      </c>
      <c r="K1088">
        <v>0.2</v>
      </c>
      <c r="L1088">
        <v>346.94</v>
      </c>
      <c r="M1088" t="s">
        <v>23</v>
      </c>
      <c r="N1088" t="s">
        <v>58</v>
      </c>
      <c r="O1088" t="s">
        <v>65</v>
      </c>
      <c r="P1088" t="s">
        <v>50</v>
      </c>
      <c r="Q1088" t="str">
        <f t="shared" si="112"/>
        <v>Completed</v>
      </c>
      <c r="R1088" t="str">
        <f t="shared" si="113"/>
        <v>Online</v>
      </c>
      <c r="S1088" t="str">
        <v>Credit Card</v>
      </c>
      <c r="T1088" t="str">
        <v>Stationery</v>
      </c>
      <c r="U1088" t="str">
        <f t="shared" si="114"/>
        <v>VALID</v>
      </c>
      <c r="V1088" t="str">
        <f t="shared" si="115"/>
        <v>NORMAL</v>
      </c>
      <c r="W1088" t="str">
        <f t="shared" si="116"/>
        <v>Valid</v>
      </c>
      <c r="X1088">
        <f t="shared" si="118"/>
        <v>433.68</v>
      </c>
      <c r="Y1088">
        <f t="shared" si="117"/>
        <v>346.94400000000002</v>
      </c>
    </row>
    <row r="1089" spans="1:25" x14ac:dyDescent="0.3">
      <c r="A1089" t="s">
        <v>1436</v>
      </c>
      <c r="B1089" s="1">
        <v>46030</v>
      </c>
      <c r="C1089" t="s">
        <v>204</v>
      </c>
      <c r="D1089" t="s">
        <v>62</v>
      </c>
      <c r="E1089" t="s">
        <v>63</v>
      </c>
      <c r="F1089" t="s">
        <v>31</v>
      </c>
      <c r="G1089" t="s">
        <v>21</v>
      </c>
      <c r="H1089" t="s">
        <v>126</v>
      </c>
      <c r="I1089">
        <v>3</v>
      </c>
      <c r="J1089">
        <v>2767.3</v>
      </c>
      <c r="K1089">
        <v>0.2</v>
      </c>
      <c r="L1089">
        <v>6641.52</v>
      </c>
      <c r="M1089" t="s">
        <v>23</v>
      </c>
      <c r="N1089" t="s">
        <v>49</v>
      </c>
      <c r="O1089" t="s">
        <v>35</v>
      </c>
      <c r="P1089" t="s">
        <v>50</v>
      </c>
      <c r="Q1089" t="str">
        <f t="shared" si="112"/>
        <v>Cancelled</v>
      </c>
      <c r="R1089" t="str">
        <f t="shared" si="113"/>
        <v>Online</v>
      </c>
      <c r="S1089" t="str">
        <v>Net Banking</v>
      </c>
      <c r="T1089" t="str">
        <v>Electronics</v>
      </c>
      <c r="U1089" t="str">
        <f t="shared" si="114"/>
        <v>VALID</v>
      </c>
      <c r="V1089" t="str">
        <f t="shared" si="115"/>
        <v>NORMAL</v>
      </c>
      <c r="W1089" t="str">
        <f t="shared" si="116"/>
        <v>Valid</v>
      </c>
      <c r="X1089">
        <f t="shared" si="118"/>
        <v>8301.9000000000015</v>
      </c>
      <c r="Y1089">
        <f t="shared" si="117"/>
        <v>6641.5200000000013</v>
      </c>
    </row>
    <row r="1090" spans="1:25" x14ac:dyDescent="0.3">
      <c r="A1090" t="s">
        <v>1437</v>
      </c>
      <c r="B1090" s="1">
        <v>45850</v>
      </c>
      <c r="C1090" t="s">
        <v>394</v>
      </c>
      <c r="D1090" t="s">
        <v>131</v>
      </c>
      <c r="E1090" t="s">
        <v>132</v>
      </c>
      <c r="F1090" t="s">
        <v>40</v>
      </c>
      <c r="G1090" t="s">
        <v>56</v>
      </c>
      <c r="H1090" t="s">
        <v>57</v>
      </c>
      <c r="I1090">
        <v>3</v>
      </c>
      <c r="J1090">
        <v>9441.9599999999991</v>
      </c>
      <c r="K1090">
        <v>0.03</v>
      </c>
      <c r="L1090">
        <v>27476.1</v>
      </c>
      <c r="M1090" t="s">
        <v>23</v>
      </c>
      <c r="N1090" t="s">
        <v>24</v>
      </c>
      <c r="O1090" t="s">
        <v>25</v>
      </c>
      <c r="P1090" t="s">
        <v>59</v>
      </c>
      <c r="Q1090" t="str">
        <f t="shared" si="112"/>
        <v>Returned</v>
      </c>
      <c r="R1090" t="str">
        <f t="shared" si="113"/>
        <v>Online</v>
      </c>
      <c r="S1090" t="str">
        <v>Debit Card</v>
      </c>
      <c r="T1090" t="str">
        <v>Furniture</v>
      </c>
      <c r="U1090" t="str">
        <f t="shared" si="114"/>
        <v>VALID</v>
      </c>
      <c r="V1090" t="str">
        <f t="shared" si="115"/>
        <v>NORMAL</v>
      </c>
      <c r="W1090" t="str">
        <f t="shared" si="116"/>
        <v>Valid</v>
      </c>
      <c r="X1090">
        <f t="shared" si="118"/>
        <v>28325.879999999997</v>
      </c>
      <c r="Y1090">
        <f t="shared" si="117"/>
        <v>27476.103599999999</v>
      </c>
    </row>
    <row r="1091" spans="1:25" x14ac:dyDescent="0.3">
      <c r="A1091" t="s">
        <v>1438</v>
      </c>
      <c r="B1091" s="1">
        <v>45397</v>
      </c>
      <c r="C1091" t="s">
        <v>166</v>
      </c>
      <c r="D1091" t="s">
        <v>131</v>
      </c>
      <c r="E1091" t="s">
        <v>132</v>
      </c>
      <c r="F1091" t="s">
        <v>40</v>
      </c>
      <c r="G1091" t="s">
        <v>32</v>
      </c>
      <c r="H1091" t="s">
        <v>47</v>
      </c>
      <c r="I1091">
        <v>4</v>
      </c>
      <c r="J1091">
        <v>10015.120000000001</v>
      </c>
      <c r="K1091">
        <v>0.15</v>
      </c>
      <c r="L1091">
        <v>34051.410000000003</v>
      </c>
      <c r="M1091" t="s">
        <v>48</v>
      </c>
      <c r="N1091" t="s">
        <v>58</v>
      </c>
      <c r="O1091" t="s">
        <v>25</v>
      </c>
      <c r="P1091" t="s">
        <v>26</v>
      </c>
      <c r="Q1091" t="str">
        <f t="shared" ref="Q1091:Q1154" si="119">PROPER(O1091)</f>
        <v>Returned</v>
      </c>
      <c r="R1091" t="str">
        <f t="shared" ref="R1091:R1154" si="120">PROPER(M1091)</f>
        <v>Marketplace</v>
      </c>
      <c r="S1091" t="str">
        <v>Credit Card</v>
      </c>
      <c r="T1091" t="str">
        <v>Furniture</v>
      </c>
      <c r="U1091" t="str">
        <f t="shared" ref="U1091:U1154" si="121">IF(I1091&lt;=0,"INVALID","VALID")</f>
        <v>VALID</v>
      </c>
      <c r="V1091" t="str">
        <f t="shared" ref="V1091:V1154" si="122">IF(I1091&gt;100,"REVIEW","NORMAL")</f>
        <v>NORMAL</v>
      </c>
      <c r="W1091" t="str">
        <f t="shared" ref="W1091:W1154" si="123">IF(OR(K1091&lt;0,K1091&gt;1),"Invalid","Valid")</f>
        <v>Valid</v>
      </c>
      <c r="X1091">
        <f t="shared" si="118"/>
        <v>40060.480000000003</v>
      </c>
      <c r="Y1091">
        <f t="shared" ref="Y1091:Y1154" si="124">I1091*J1091-(I1091*J1091*K1091)</f>
        <v>34051.408000000003</v>
      </c>
    </row>
    <row r="1092" spans="1:25" x14ac:dyDescent="0.3">
      <c r="A1092" t="s">
        <v>1439</v>
      </c>
      <c r="B1092" s="1">
        <v>45958</v>
      </c>
      <c r="C1092" t="s">
        <v>216</v>
      </c>
      <c r="D1092" t="s">
        <v>18</v>
      </c>
      <c r="E1092" t="s">
        <v>19</v>
      </c>
      <c r="F1092" t="s">
        <v>20</v>
      </c>
      <c r="G1092" t="s">
        <v>81</v>
      </c>
      <c r="H1092" t="s">
        <v>135</v>
      </c>
      <c r="I1092">
        <v>4</v>
      </c>
      <c r="J1092">
        <v>806.63</v>
      </c>
      <c r="K1092">
        <v>0.03</v>
      </c>
      <c r="L1092">
        <v>3129.72</v>
      </c>
      <c r="M1092" t="s">
        <v>592</v>
      </c>
      <c r="N1092" t="s">
        <v>58</v>
      </c>
      <c r="O1092" t="s">
        <v>65</v>
      </c>
      <c r="P1092" t="s">
        <v>26</v>
      </c>
      <c r="Q1092" t="str">
        <f t="shared" si="119"/>
        <v>Completed</v>
      </c>
      <c r="R1092" t="str">
        <f t="shared" si="120"/>
        <v>Online</v>
      </c>
      <c r="S1092" t="str">
        <v>Credit Card</v>
      </c>
      <c r="T1092" t="str">
        <v>Accessories</v>
      </c>
      <c r="U1092" t="str">
        <f t="shared" si="121"/>
        <v>VALID</v>
      </c>
      <c r="V1092" t="str">
        <f t="shared" si="122"/>
        <v>NORMAL</v>
      </c>
      <c r="W1092" t="str">
        <f t="shared" si="123"/>
        <v>Valid</v>
      </c>
      <c r="X1092">
        <f t="shared" ref="X1092:X1155" si="125">I1092*J1092</f>
        <v>3226.52</v>
      </c>
      <c r="Y1092">
        <f t="shared" si="124"/>
        <v>3129.7244000000001</v>
      </c>
    </row>
    <row r="1093" spans="1:25" x14ac:dyDescent="0.3">
      <c r="A1093" t="s">
        <v>1440</v>
      </c>
      <c r="B1093" s="1">
        <v>45815</v>
      </c>
      <c r="C1093" t="s">
        <v>460</v>
      </c>
      <c r="D1093" t="s">
        <v>85</v>
      </c>
      <c r="E1093" t="s">
        <v>86</v>
      </c>
      <c r="F1093" t="s">
        <v>20</v>
      </c>
      <c r="G1093" t="s">
        <v>32</v>
      </c>
      <c r="H1093" t="s">
        <v>33</v>
      </c>
      <c r="I1093">
        <v>3</v>
      </c>
      <c r="J1093">
        <v>1850.73</v>
      </c>
      <c r="K1093">
        <v>0.15</v>
      </c>
      <c r="L1093">
        <v>4719.3599999999997</v>
      </c>
      <c r="M1093" t="s">
        <v>76</v>
      </c>
      <c r="N1093" t="s">
        <v>24</v>
      </c>
      <c r="O1093" t="s">
        <v>65</v>
      </c>
      <c r="P1093" t="s">
        <v>42</v>
      </c>
      <c r="Q1093" t="str">
        <f t="shared" si="119"/>
        <v>Completed</v>
      </c>
      <c r="R1093" t="str">
        <f t="shared" si="120"/>
        <v>Store</v>
      </c>
      <c r="S1093" t="str">
        <v>Debit Card</v>
      </c>
      <c r="T1093" t="str">
        <v>Accessories</v>
      </c>
      <c r="U1093" t="str">
        <f t="shared" si="121"/>
        <v>VALID</v>
      </c>
      <c r="V1093" t="str">
        <f t="shared" si="122"/>
        <v>NORMAL</v>
      </c>
      <c r="W1093" t="str">
        <f t="shared" si="123"/>
        <v>Valid</v>
      </c>
      <c r="X1093">
        <f t="shared" si="125"/>
        <v>5552.1900000000005</v>
      </c>
      <c r="Y1093">
        <f t="shared" si="124"/>
        <v>4719.3615000000009</v>
      </c>
    </row>
    <row r="1094" spans="1:25" x14ac:dyDescent="0.3">
      <c r="A1094" t="s">
        <v>1441</v>
      </c>
      <c r="B1094" s="1">
        <v>45363</v>
      </c>
      <c r="C1094" t="s">
        <v>257</v>
      </c>
      <c r="D1094" t="s">
        <v>79</v>
      </c>
      <c r="E1094" t="s">
        <v>80</v>
      </c>
      <c r="F1094" t="s">
        <v>31</v>
      </c>
      <c r="G1094" t="s">
        <v>32</v>
      </c>
      <c r="H1094" t="s">
        <v>47</v>
      </c>
      <c r="I1094">
        <v>1</v>
      </c>
      <c r="J1094">
        <v>12012.23</v>
      </c>
      <c r="K1094">
        <v>0.15</v>
      </c>
      <c r="L1094">
        <v>10210.4</v>
      </c>
      <c r="M1094" t="s">
        <v>76</v>
      </c>
      <c r="N1094" t="s">
        <v>34</v>
      </c>
      <c r="O1094" t="s">
        <v>65</v>
      </c>
      <c r="P1094" t="s">
        <v>111</v>
      </c>
      <c r="Q1094" t="str">
        <f t="shared" si="119"/>
        <v>Completed</v>
      </c>
      <c r="R1094" t="str">
        <f t="shared" si="120"/>
        <v>Store</v>
      </c>
      <c r="S1094" t="str">
        <v>Cash On Delivery</v>
      </c>
      <c r="T1094" t="str">
        <v>Electronics</v>
      </c>
      <c r="U1094" t="str">
        <f t="shared" si="121"/>
        <v>VALID</v>
      </c>
      <c r="V1094" t="str">
        <f t="shared" si="122"/>
        <v>NORMAL</v>
      </c>
      <c r="W1094" t="str">
        <f t="shared" si="123"/>
        <v>Valid</v>
      </c>
      <c r="X1094">
        <f t="shared" si="125"/>
        <v>12012.23</v>
      </c>
      <c r="Y1094">
        <f t="shared" si="124"/>
        <v>10210.395499999999</v>
      </c>
    </row>
    <row r="1095" spans="1:25" x14ac:dyDescent="0.3">
      <c r="A1095" t="s">
        <v>1442</v>
      </c>
      <c r="B1095" s="1">
        <v>45538</v>
      </c>
      <c r="C1095" t="s">
        <v>935</v>
      </c>
      <c r="D1095" t="s">
        <v>105</v>
      </c>
      <c r="E1095" t="s">
        <v>106</v>
      </c>
      <c r="F1095" t="s">
        <v>40</v>
      </c>
      <c r="G1095" t="s">
        <v>81</v>
      </c>
      <c r="H1095" t="s">
        <v>87</v>
      </c>
      <c r="I1095">
        <v>5</v>
      </c>
      <c r="J1095">
        <v>7278.55</v>
      </c>
      <c r="K1095">
        <v>0.1</v>
      </c>
      <c r="L1095">
        <v>32753.48</v>
      </c>
      <c r="M1095" t="s">
        <v>76</v>
      </c>
      <c r="N1095" t="s">
        <v>71</v>
      </c>
      <c r="O1095" t="s">
        <v>25</v>
      </c>
      <c r="P1095" t="s">
        <v>102</v>
      </c>
      <c r="Q1095" t="str">
        <f t="shared" si="119"/>
        <v>Returned</v>
      </c>
      <c r="R1095" t="str">
        <f t="shared" si="120"/>
        <v>Store</v>
      </c>
      <c r="S1095" t="str">
        <v>Upi</v>
      </c>
      <c r="T1095" t="str">
        <v>Furniture</v>
      </c>
      <c r="U1095" t="str">
        <f t="shared" si="121"/>
        <v>VALID</v>
      </c>
      <c r="V1095" t="str">
        <f t="shared" si="122"/>
        <v>NORMAL</v>
      </c>
      <c r="W1095" t="str">
        <f t="shared" si="123"/>
        <v>Valid</v>
      </c>
      <c r="X1095">
        <f t="shared" si="125"/>
        <v>36392.75</v>
      </c>
      <c r="Y1095">
        <f t="shared" si="124"/>
        <v>32753.474999999999</v>
      </c>
    </row>
    <row r="1096" spans="1:25" x14ac:dyDescent="0.3">
      <c r="A1096" t="s">
        <v>1443</v>
      </c>
      <c r="B1096" s="1">
        <v>45805</v>
      </c>
      <c r="C1096" t="s">
        <v>184</v>
      </c>
      <c r="D1096" t="s">
        <v>85</v>
      </c>
      <c r="E1096" t="s">
        <v>86</v>
      </c>
      <c r="F1096" t="s">
        <v>20</v>
      </c>
      <c r="G1096" t="s">
        <v>21</v>
      </c>
      <c r="H1096" t="s">
        <v>126</v>
      </c>
      <c r="I1096">
        <v>4</v>
      </c>
      <c r="J1096">
        <v>1888.28</v>
      </c>
      <c r="K1096">
        <v>0</v>
      </c>
      <c r="L1096">
        <v>7553.12</v>
      </c>
      <c r="M1096" t="s">
        <v>48</v>
      </c>
      <c r="N1096" t="s">
        <v>24</v>
      </c>
      <c r="O1096" t="s">
        <v>65</v>
      </c>
      <c r="P1096" t="s">
        <v>59</v>
      </c>
      <c r="Q1096" t="str">
        <f t="shared" si="119"/>
        <v>Completed</v>
      </c>
      <c r="R1096" t="str">
        <f t="shared" si="120"/>
        <v>Marketplace</v>
      </c>
      <c r="S1096" t="str">
        <v>Debit Card</v>
      </c>
      <c r="T1096" t="str">
        <v>Accessories</v>
      </c>
      <c r="U1096" t="str">
        <f t="shared" si="121"/>
        <v>VALID</v>
      </c>
      <c r="V1096" t="str">
        <f t="shared" si="122"/>
        <v>NORMAL</v>
      </c>
      <c r="W1096" t="str">
        <f t="shared" si="123"/>
        <v>Valid</v>
      </c>
      <c r="X1096">
        <f t="shared" si="125"/>
        <v>7553.12</v>
      </c>
      <c r="Y1096">
        <f t="shared" si="124"/>
        <v>7553.12</v>
      </c>
    </row>
    <row r="1097" spans="1:25" x14ac:dyDescent="0.3">
      <c r="A1097" t="s">
        <v>1444</v>
      </c>
      <c r="B1097" s="1">
        <v>45921</v>
      </c>
      <c r="C1097" t="s">
        <v>1269</v>
      </c>
      <c r="D1097" t="s">
        <v>62</v>
      </c>
      <c r="E1097" t="s">
        <v>63</v>
      </c>
      <c r="F1097" t="s">
        <v>31</v>
      </c>
      <c r="G1097" t="s">
        <v>81</v>
      </c>
      <c r="H1097" t="s">
        <v>98</v>
      </c>
      <c r="I1097">
        <v>2</v>
      </c>
      <c r="J1097">
        <v>2754.82</v>
      </c>
      <c r="K1097">
        <v>0.1</v>
      </c>
      <c r="L1097">
        <v>4958.68</v>
      </c>
      <c r="M1097" t="s">
        <v>23</v>
      </c>
      <c r="N1097" t="s">
        <v>34</v>
      </c>
      <c r="O1097" t="s">
        <v>65</v>
      </c>
      <c r="P1097" t="s">
        <v>111</v>
      </c>
      <c r="Q1097" t="str">
        <f t="shared" si="119"/>
        <v>Completed</v>
      </c>
      <c r="R1097" t="str">
        <f t="shared" si="120"/>
        <v>Online</v>
      </c>
      <c r="S1097" t="str">
        <v>Cash On Delivery</v>
      </c>
      <c r="T1097" t="str">
        <v>Electronics</v>
      </c>
      <c r="U1097" t="str">
        <f t="shared" si="121"/>
        <v>VALID</v>
      </c>
      <c r="V1097" t="str">
        <f t="shared" si="122"/>
        <v>NORMAL</v>
      </c>
      <c r="W1097" t="str">
        <f t="shared" si="123"/>
        <v>Valid</v>
      </c>
      <c r="X1097">
        <f t="shared" si="125"/>
        <v>5509.64</v>
      </c>
      <c r="Y1097">
        <f t="shared" si="124"/>
        <v>4958.6760000000004</v>
      </c>
    </row>
    <row r="1098" spans="1:25" x14ac:dyDescent="0.3">
      <c r="A1098" t="s">
        <v>1445</v>
      </c>
      <c r="B1098" s="1">
        <v>45490</v>
      </c>
      <c r="C1098" t="s">
        <v>227</v>
      </c>
      <c r="D1098" t="s">
        <v>131</v>
      </c>
      <c r="E1098" t="s">
        <v>132</v>
      </c>
      <c r="F1098" t="s">
        <v>40</v>
      </c>
      <c r="G1098" t="s">
        <v>32</v>
      </c>
      <c r="H1098" t="s">
        <v>47</v>
      </c>
      <c r="I1098">
        <v>5</v>
      </c>
      <c r="J1098">
        <v>9437.44</v>
      </c>
      <c r="K1098">
        <v>0.2</v>
      </c>
      <c r="L1098">
        <v>37749.760000000002</v>
      </c>
      <c r="M1098" t="s">
        <v>48</v>
      </c>
      <c r="N1098" t="s">
        <v>24</v>
      </c>
      <c r="O1098" t="s">
        <v>65</v>
      </c>
      <c r="P1098" t="s">
        <v>102</v>
      </c>
      <c r="Q1098" t="str">
        <f t="shared" si="119"/>
        <v>Completed</v>
      </c>
      <c r="R1098" t="str">
        <f t="shared" si="120"/>
        <v>Marketplace</v>
      </c>
      <c r="S1098" t="str">
        <v>Debit Card</v>
      </c>
      <c r="T1098" t="str">
        <v>Furniture</v>
      </c>
      <c r="U1098" t="str">
        <f t="shared" si="121"/>
        <v>VALID</v>
      </c>
      <c r="V1098" t="str">
        <f t="shared" si="122"/>
        <v>NORMAL</v>
      </c>
      <c r="W1098" t="str">
        <f t="shared" si="123"/>
        <v>Valid</v>
      </c>
      <c r="X1098">
        <f t="shared" si="125"/>
        <v>47187.200000000004</v>
      </c>
      <c r="Y1098">
        <f t="shared" si="124"/>
        <v>37749.760000000002</v>
      </c>
    </row>
    <row r="1099" spans="1:25" x14ac:dyDescent="0.3">
      <c r="A1099" t="s">
        <v>1446</v>
      </c>
      <c r="B1099" s="1">
        <v>45702</v>
      </c>
      <c r="C1099" t="s">
        <v>285</v>
      </c>
      <c r="D1099" t="s">
        <v>121</v>
      </c>
      <c r="E1099" t="s">
        <v>122</v>
      </c>
      <c r="F1099" t="s">
        <v>55</v>
      </c>
      <c r="G1099" t="s">
        <v>21</v>
      </c>
      <c r="H1099" t="s">
        <v>93</v>
      </c>
      <c r="I1099">
        <v>5</v>
      </c>
      <c r="J1099">
        <v>444.41</v>
      </c>
      <c r="K1099">
        <v>0</v>
      </c>
      <c r="L1099">
        <v>2222.0500000000002</v>
      </c>
      <c r="M1099" t="s">
        <v>76</v>
      </c>
      <c r="N1099" t="s">
        <v>49</v>
      </c>
      <c r="O1099" t="s">
        <v>65</v>
      </c>
      <c r="P1099" t="s">
        <v>50</v>
      </c>
      <c r="Q1099" t="str">
        <f t="shared" si="119"/>
        <v>Completed</v>
      </c>
      <c r="R1099" t="str">
        <f t="shared" si="120"/>
        <v>Store</v>
      </c>
      <c r="S1099" t="str">
        <v>Net Banking</v>
      </c>
      <c r="T1099" t="str">
        <v>Stationery</v>
      </c>
      <c r="U1099" t="str">
        <f t="shared" si="121"/>
        <v>VALID</v>
      </c>
      <c r="V1099" t="str">
        <f t="shared" si="122"/>
        <v>NORMAL</v>
      </c>
      <c r="W1099" t="str">
        <f t="shared" si="123"/>
        <v>Valid</v>
      </c>
      <c r="X1099">
        <f t="shared" si="125"/>
        <v>2222.0500000000002</v>
      </c>
      <c r="Y1099">
        <f t="shared" si="124"/>
        <v>2222.0500000000002</v>
      </c>
    </row>
    <row r="1100" spans="1:25" x14ac:dyDescent="0.3">
      <c r="A1100" t="s">
        <v>1447</v>
      </c>
      <c r="B1100" s="1">
        <v>45737</v>
      </c>
      <c r="C1100" t="s">
        <v>52</v>
      </c>
      <c r="D1100" t="s">
        <v>79</v>
      </c>
      <c r="E1100" t="s">
        <v>80</v>
      </c>
      <c r="F1100" t="s">
        <v>31</v>
      </c>
      <c r="G1100" t="s">
        <v>56</v>
      </c>
      <c r="H1100" t="s">
        <v>123</v>
      </c>
      <c r="I1100">
        <v>4</v>
      </c>
      <c r="J1100">
        <v>12344.04</v>
      </c>
      <c r="K1100">
        <v>0.15</v>
      </c>
      <c r="L1100">
        <v>41969.74</v>
      </c>
      <c r="M1100" t="s">
        <v>48</v>
      </c>
      <c r="N1100" t="s">
        <v>58</v>
      </c>
      <c r="O1100" t="s">
        <v>35</v>
      </c>
      <c r="P1100" t="s">
        <v>59</v>
      </c>
      <c r="Q1100" t="str">
        <f t="shared" si="119"/>
        <v>Cancelled</v>
      </c>
      <c r="R1100" t="str">
        <f t="shared" si="120"/>
        <v>Marketplace</v>
      </c>
      <c r="S1100" t="str">
        <v>Credit Card</v>
      </c>
      <c r="T1100" t="str">
        <v>Electronics</v>
      </c>
      <c r="U1100" t="str">
        <f t="shared" si="121"/>
        <v>VALID</v>
      </c>
      <c r="V1100" t="str">
        <f t="shared" si="122"/>
        <v>NORMAL</v>
      </c>
      <c r="W1100" t="str">
        <f t="shared" si="123"/>
        <v>Valid</v>
      </c>
      <c r="X1100">
        <f t="shared" si="125"/>
        <v>49376.160000000003</v>
      </c>
      <c r="Y1100">
        <f t="shared" si="124"/>
        <v>41969.736000000004</v>
      </c>
    </row>
    <row r="1101" spans="1:25" x14ac:dyDescent="0.3">
      <c r="A1101" t="s">
        <v>1448</v>
      </c>
      <c r="B1101" s="1">
        <v>45378</v>
      </c>
      <c r="C1101" t="s">
        <v>313</v>
      </c>
      <c r="D1101" t="s">
        <v>18</v>
      </c>
      <c r="E1101" t="s">
        <v>19</v>
      </c>
      <c r="F1101" t="s">
        <v>20</v>
      </c>
      <c r="G1101" t="s">
        <v>32</v>
      </c>
      <c r="H1101" t="s">
        <v>47</v>
      </c>
      <c r="I1101">
        <v>3</v>
      </c>
      <c r="J1101">
        <v>828.14</v>
      </c>
      <c r="K1101">
        <v>0.15</v>
      </c>
      <c r="L1101">
        <v>2111.7600000000002</v>
      </c>
      <c r="M1101" t="s">
        <v>76</v>
      </c>
      <c r="N1101" t="s">
        <v>49</v>
      </c>
      <c r="O1101" t="s">
        <v>65</v>
      </c>
      <c r="P1101" t="s">
        <v>116</v>
      </c>
      <c r="Q1101" t="str">
        <f t="shared" si="119"/>
        <v>Completed</v>
      </c>
      <c r="R1101" t="str">
        <f t="shared" si="120"/>
        <v>Store</v>
      </c>
      <c r="S1101" t="str">
        <v>Net Banking</v>
      </c>
      <c r="T1101" t="str">
        <v>Accessories</v>
      </c>
      <c r="U1101" t="str">
        <f t="shared" si="121"/>
        <v>VALID</v>
      </c>
      <c r="V1101" t="str">
        <f t="shared" si="122"/>
        <v>NORMAL</v>
      </c>
      <c r="W1101" t="str">
        <f t="shared" si="123"/>
        <v>Valid</v>
      </c>
      <c r="X1101">
        <f t="shared" si="125"/>
        <v>2484.42</v>
      </c>
      <c r="Y1101">
        <f t="shared" si="124"/>
        <v>2111.7570000000001</v>
      </c>
    </row>
    <row r="1102" spans="1:25" x14ac:dyDescent="0.3">
      <c r="A1102" t="s">
        <v>1449</v>
      </c>
      <c r="B1102" s="1">
        <v>45483</v>
      </c>
      <c r="C1102" t="s">
        <v>1156</v>
      </c>
      <c r="D1102" t="s">
        <v>85</v>
      </c>
      <c r="E1102" t="s">
        <v>86</v>
      </c>
      <c r="F1102" t="s">
        <v>20</v>
      </c>
      <c r="G1102" t="s">
        <v>81</v>
      </c>
      <c r="H1102" t="s">
        <v>135</v>
      </c>
      <c r="I1102">
        <v>4</v>
      </c>
      <c r="J1102">
        <v>1822.62</v>
      </c>
      <c r="K1102">
        <v>0</v>
      </c>
      <c r="L1102">
        <v>7290.48</v>
      </c>
      <c r="M1102" t="s">
        <v>48</v>
      </c>
      <c r="N1102" t="s">
        <v>71</v>
      </c>
      <c r="O1102" t="s">
        <v>35</v>
      </c>
      <c r="P1102" t="s">
        <v>59</v>
      </c>
      <c r="Q1102" t="str">
        <f t="shared" si="119"/>
        <v>Cancelled</v>
      </c>
      <c r="R1102" t="str">
        <f t="shared" si="120"/>
        <v>Marketplace</v>
      </c>
      <c r="S1102" t="str">
        <v>Upi</v>
      </c>
      <c r="T1102" t="str">
        <v>Accessories</v>
      </c>
      <c r="U1102" t="str">
        <f t="shared" si="121"/>
        <v>VALID</v>
      </c>
      <c r="V1102" t="str">
        <f t="shared" si="122"/>
        <v>NORMAL</v>
      </c>
      <c r="W1102" t="str">
        <f t="shared" si="123"/>
        <v>Valid</v>
      </c>
      <c r="X1102">
        <f t="shared" si="125"/>
        <v>7290.48</v>
      </c>
      <c r="Y1102">
        <f t="shared" si="124"/>
        <v>7290.48</v>
      </c>
    </row>
    <row r="1103" spans="1:25" x14ac:dyDescent="0.3">
      <c r="A1103" t="s">
        <v>1450</v>
      </c>
      <c r="B1103" s="1">
        <v>46072</v>
      </c>
      <c r="C1103" t="s">
        <v>453</v>
      </c>
      <c r="D1103" t="s">
        <v>38</v>
      </c>
      <c r="E1103" t="s">
        <v>39</v>
      </c>
      <c r="F1103" t="s">
        <v>40</v>
      </c>
      <c r="G1103" t="s">
        <v>32</v>
      </c>
      <c r="H1103" t="s">
        <v>75</v>
      </c>
      <c r="I1103">
        <v>3</v>
      </c>
      <c r="J1103">
        <v>1514.36</v>
      </c>
      <c r="K1103">
        <v>0.03</v>
      </c>
      <c r="L1103">
        <v>4406.79</v>
      </c>
      <c r="M1103" t="s">
        <v>76</v>
      </c>
      <c r="N1103" t="s">
        <v>24</v>
      </c>
      <c r="O1103" t="s">
        <v>65</v>
      </c>
      <c r="P1103" t="s">
        <v>116</v>
      </c>
      <c r="Q1103" t="str">
        <f t="shared" si="119"/>
        <v>Completed</v>
      </c>
      <c r="R1103" t="str">
        <f t="shared" si="120"/>
        <v>Store</v>
      </c>
      <c r="S1103" t="str">
        <v>Debit Card</v>
      </c>
      <c r="T1103" t="str">
        <v>Furniture</v>
      </c>
      <c r="U1103" t="str">
        <f t="shared" si="121"/>
        <v>VALID</v>
      </c>
      <c r="V1103" t="str">
        <f t="shared" si="122"/>
        <v>NORMAL</v>
      </c>
      <c r="W1103" t="str">
        <f t="shared" si="123"/>
        <v>Valid</v>
      </c>
      <c r="X1103">
        <f t="shared" si="125"/>
        <v>4543.08</v>
      </c>
      <c r="Y1103">
        <f t="shared" si="124"/>
        <v>4406.7875999999997</v>
      </c>
    </row>
    <row r="1104" spans="1:25" x14ac:dyDescent="0.3">
      <c r="A1104" t="s">
        <v>1451</v>
      </c>
      <c r="B1104" s="1">
        <v>45680</v>
      </c>
      <c r="C1104" t="s">
        <v>259</v>
      </c>
      <c r="D1104" t="s">
        <v>18</v>
      </c>
      <c r="E1104" t="s">
        <v>19</v>
      </c>
      <c r="F1104" t="s">
        <v>20</v>
      </c>
      <c r="G1104" t="s">
        <v>81</v>
      </c>
      <c r="H1104" t="s">
        <v>82</v>
      </c>
      <c r="I1104">
        <v>5</v>
      </c>
      <c r="J1104">
        <v>879.64</v>
      </c>
      <c r="K1104">
        <v>0</v>
      </c>
      <c r="L1104">
        <v>4398.2</v>
      </c>
      <c r="M1104" t="s">
        <v>23</v>
      </c>
      <c r="N1104" t="s">
        <v>24</v>
      </c>
      <c r="O1104" t="s">
        <v>65</v>
      </c>
      <c r="P1104" t="s">
        <v>59</v>
      </c>
      <c r="Q1104" t="str">
        <f t="shared" si="119"/>
        <v>Completed</v>
      </c>
      <c r="R1104" t="str">
        <f t="shared" si="120"/>
        <v>Online</v>
      </c>
      <c r="S1104" t="str">
        <v>Debit Card</v>
      </c>
      <c r="T1104" t="str">
        <v>Accessories</v>
      </c>
      <c r="U1104" t="str">
        <f t="shared" si="121"/>
        <v>VALID</v>
      </c>
      <c r="V1104" t="str">
        <f t="shared" si="122"/>
        <v>NORMAL</v>
      </c>
      <c r="W1104" t="str">
        <f t="shared" si="123"/>
        <v>Valid</v>
      </c>
      <c r="X1104">
        <f t="shared" si="125"/>
        <v>4398.2</v>
      </c>
      <c r="Y1104">
        <f t="shared" si="124"/>
        <v>4398.2</v>
      </c>
    </row>
    <row r="1105" spans="1:25" x14ac:dyDescent="0.3">
      <c r="A1105" t="s">
        <v>1452</v>
      </c>
      <c r="B1105" s="1">
        <v>45311</v>
      </c>
      <c r="C1105" t="s">
        <v>470</v>
      </c>
      <c r="D1105" t="s">
        <v>45</v>
      </c>
      <c r="E1105" t="s">
        <v>46</v>
      </c>
      <c r="F1105" t="s">
        <v>31</v>
      </c>
      <c r="G1105" t="s">
        <v>21</v>
      </c>
      <c r="H1105" t="s">
        <v>126</v>
      </c>
      <c r="I1105">
        <v>2</v>
      </c>
      <c r="J1105">
        <v>1867.81</v>
      </c>
      <c r="K1105">
        <v>0.08</v>
      </c>
      <c r="L1105">
        <v>3436.77</v>
      </c>
      <c r="M1105" t="s">
        <v>48</v>
      </c>
      <c r="N1105" t="s">
        <v>58</v>
      </c>
      <c r="O1105" t="s">
        <v>65</v>
      </c>
      <c r="P1105" t="s">
        <v>72</v>
      </c>
      <c r="Q1105" t="str">
        <f t="shared" si="119"/>
        <v>Completed</v>
      </c>
      <c r="R1105" t="str">
        <f t="shared" si="120"/>
        <v>Marketplace</v>
      </c>
      <c r="S1105" t="str">
        <v>Credit Card</v>
      </c>
      <c r="T1105" t="str">
        <v>Electronics</v>
      </c>
      <c r="U1105" t="str">
        <f t="shared" si="121"/>
        <v>VALID</v>
      </c>
      <c r="V1105" t="str">
        <f t="shared" si="122"/>
        <v>NORMAL</v>
      </c>
      <c r="W1105" t="str">
        <f t="shared" si="123"/>
        <v>Valid</v>
      </c>
      <c r="X1105">
        <f t="shared" si="125"/>
        <v>3735.62</v>
      </c>
      <c r="Y1105">
        <f t="shared" si="124"/>
        <v>3436.7703999999999</v>
      </c>
    </row>
    <row r="1106" spans="1:25" x14ac:dyDescent="0.3">
      <c r="A1106" t="s">
        <v>1453</v>
      </c>
      <c r="B1106" s="1">
        <v>45620</v>
      </c>
      <c r="C1106" t="s">
        <v>839</v>
      </c>
      <c r="D1106" t="s">
        <v>96</v>
      </c>
      <c r="E1106" t="s">
        <v>97</v>
      </c>
      <c r="F1106" t="s">
        <v>31</v>
      </c>
      <c r="G1106" t="s">
        <v>32</v>
      </c>
      <c r="H1106" t="s">
        <v>33</v>
      </c>
      <c r="I1106">
        <v>5</v>
      </c>
      <c r="J1106">
        <v>1166.42</v>
      </c>
      <c r="K1106">
        <v>0.2</v>
      </c>
      <c r="L1106">
        <v>4665.68</v>
      </c>
      <c r="M1106" t="s">
        <v>23</v>
      </c>
      <c r="N1106" t="s">
        <v>34</v>
      </c>
      <c r="O1106" t="s">
        <v>65</v>
      </c>
      <c r="P1106" t="s">
        <v>59</v>
      </c>
      <c r="Q1106" t="str">
        <f t="shared" si="119"/>
        <v>Completed</v>
      </c>
      <c r="R1106" t="str">
        <f t="shared" si="120"/>
        <v>Online</v>
      </c>
      <c r="S1106" t="str">
        <v>Cash On Delivery</v>
      </c>
      <c r="T1106" t="str">
        <v>Electronics</v>
      </c>
      <c r="U1106" t="str">
        <f t="shared" si="121"/>
        <v>VALID</v>
      </c>
      <c r="V1106" t="str">
        <f t="shared" si="122"/>
        <v>NORMAL</v>
      </c>
      <c r="W1106" t="str">
        <f t="shared" si="123"/>
        <v>Valid</v>
      </c>
      <c r="X1106">
        <f t="shared" si="125"/>
        <v>5832.1</v>
      </c>
      <c r="Y1106">
        <f t="shared" si="124"/>
        <v>4665.68</v>
      </c>
    </row>
    <row r="1107" spans="1:25" x14ac:dyDescent="0.3">
      <c r="A1107" t="s">
        <v>1454</v>
      </c>
      <c r="B1107" s="1">
        <v>45921</v>
      </c>
      <c r="C1107" t="s">
        <v>558</v>
      </c>
      <c r="D1107" t="s">
        <v>105</v>
      </c>
      <c r="E1107" t="s">
        <v>106</v>
      </c>
      <c r="F1107" t="s">
        <v>40</v>
      </c>
      <c r="G1107" t="s">
        <v>56</v>
      </c>
      <c r="H1107" t="s">
        <v>123</v>
      </c>
      <c r="I1107">
        <v>2</v>
      </c>
      <c r="J1107">
        <v>7088.02</v>
      </c>
      <c r="K1107">
        <v>0</v>
      </c>
      <c r="L1107">
        <v>14176.04</v>
      </c>
      <c r="M1107" t="s">
        <v>76</v>
      </c>
      <c r="N1107" t="s">
        <v>58</v>
      </c>
      <c r="O1107" t="s">
        <v>65</v>
      </c>
      <c r="P1107" t="s">
        <v>50</v>
      </c>
      <c r="Q1107" t="str">
        <f t="shared" si="119"/>
        <v>Completed</v>
      </c>
      <c r="R1107" t="str">
        <f t="shared" si="120"/>
        <v>Store</v>
      </c>
      <c r="S1107" t="str">
        <v>Credit Card</v>
      </c>
      <c r="T1107" t="str">
        <v>Furniture</v>
      </c>
      <c r="U1107" t="str">
        <f t="shared" si="121"/>
        <v>VALID</v>
      </c>
      <c r="V1107" t="str">
        <f t="shared" si="122"/>
        <v>NORMAL</v>
      </c>
      <c r="W1107" t="str">
        <f t="shared" si="123"/>
        <v>Valid</v>
      </c>
      <c r="X1107">
        <f t="shared" si="125"/>
        <v>14176.04</v>
      </c>
      <c r="Y1107">
        <f t="shared" si="124"/>
        <v>14176.04</v>
      </c>
    </row>
    <row r="1108" spans="1:25" x14ac:dyDescent="0.3">
      <c r="A1108" t="s">
        <v>1455</v>
      </c>
      <c r="B1108" s="1">
        <v>45805</v>
      </c>
      <c r="C1108" t="s">
        <v>216</v>
      </c>
      <c r="D1108" t="s">
        <v>176</v>
      </c>
      <c r="E1108" t="s">
        <v>177</v>
      </c>
      <c r="F1108" t="s">
        <v>31</v>
      </c>
      <c r="G1108" t="s">
        <v>56</v>
      </c>
      <c r="H1108" t="s">
        <v>64</v>
      </c>
      <c r="I1108">
        <v>3</v>
      </c>
      <c r="J1108">
        <v>2218.96</v>
      </c>
      <c r="K1108">
        <v>0.08</v>
      </c>
      <c r="L1108">
        <v>6124.33</v>
      </c>
      <c r="M1108" t="s">
        <v>76</v>
      </c>
      <c r="N1108" t="s">
        <v>58</v>
      </c>
      <c r="O1108" t="s">
        <v>35</v>
      </c>
      <c r="P1108" t="s">
        <v>42</v>
      </c>
      <c r="Q1108" t="str">
        <f t="shared" si="119"/>
        <v>Cancelled</v>
      </c>
      <c r="R1108" t="str">
        <f t="shared" si="120"/>
        <v>Store</v>
      </c>
      <c r="S1108" t="str">
        <v>Credit Card</v>
      </c>
      <c r="T1108" t="str">
        <v>Electronics</v>
      </c>
      <c r="U1108" t="str">
        <f t="shared" si="121"/>
        <v>VALID</v>
      </c>
      <c r="V1108" t="str">
        <f t="shared" si="122"/>
        <v>NORMAL</v>
      </c>
      <c r="W1108" t="str">
        <f t="shared" si="123"/>
        <v>Valid</v>
      </c>
      <c r="X1108">
        <f t="shared" si="125"/>
        <v>6656.88</v>
      </c>
      <c r="Y1108">
        <f t="shared" si="124"/>
        <v>6124.3296</v>
      </c>
    </row>
    <row r="1109" spans="1:25" x14ac:dyDescent="0.3">
      <c r="A1109" t="s">
        <v>1456</v>
      </c>
      <c r="B1109" s="1">
        <v>46163</v>
      </c>
      <c r="C1109" t="s">
        <v>483</v>
      </c>
      <c r="D1109" t="s">
        <v>176</v>
      </c>
      <c r="E1109" t="s">
        <v>177</v>
      </c>
      <c r="F1109" t="s">
        <v>31</v>
      </c>
      <c r="G1109" t="s">
        <v>81</v>
      </c>
      <c r="H1109" t="s">
        <v>82</v>
      </c>
      <c r="I1109">
        <v>3</v>
      </c>
      <c r="J1109">
        <v>2272.09</v>
      </c>
      <c r="K1109">
        <v>0.2</v>
      </c>
      <c r="L1109">
        <v>5453.02</v>
      </c>
      <c r="M1109" t="s">
        <v>23</v>
      </c>
      <c r="N1109" t="s">
        <v>58</v>
      </c>
      <c r="O1109" t="s">
        <v>65</v>
      </c>
      <c r="P1109" t="s">
        <v>42</v>
      </c>
      <c r="Q1109" t="str">
        <f t="shared" si="119"/>
        <v>Completed</v>
      </c>
      <c r="R1109" t="str">
        <f t="shared" si="120"/>
        <v>Online</v>
      </c>
      <c r="S1109" t="str">
        <v>Credit Card</v>
      </c>
      <c r="T1109" t="str">
        <v>Electronics</v>
      </c>
      <c r="U1109" t="str">
        <f t="shared" si="121"/>
        <v>VALID</v>
      </c>
      <c r="V1109" t="str">
        <f t="shared" si="122"/>
        <v>NORMAL</v>
      </c>
      <c r="W1109" t="str">
        <f t="shared" si="123"/>
        <v>Valid</v>
      </c>
      <c r="X1109">
        <f t="shared" si="125"/>
        <v>6816.27</v>
      </c>
      <c r="Y1109">
        <f t="shared" si="124"/>
        <v>5453.0160000000005</v>
      </c>
    </row>
    <row r="1110" spans="1:25" x14ac:dyDescent="0.3">
      <c r="A1110" t="s">
        <v>1457</v>
      </c>
      <c r="B1110" s="1">
        <v>46093</v>
      </c>
      <c r="C1110" t="s">
        <v>612</v>
      </c>
      <c r="D1110" t="s">
        <v>170</v>
      </c>
      <c r="E1110" t="s">
        <v>171</v>
      </c>
      <c r="F1110" t="s">
        <v>31</v>
      </c>
      <c r="G1110" t="s">
        <v>21</v>
      </c>
      <c r="H1110" t="s">
        <v>126</v>
      </c>
      <c r="I1110">
        <v>5</v>
      </c>
      <c r="J1110">
        <v>63984.22</v>
      </c>
      <c r="K1110">
        <v>0.2</v>
      </c>
      <c r="L1110">
        <v>255936.88</v>
      </c>
      <c r="M1110" t="s">
        <v>76</v>
      </c>
      <c r="N1110" t="s">
        <v>71</v>
      </c>
      <c r="O1110" t="s">
        <v>65</v>
      </c>
      <c r="P1110" t="s">
        <v>102</v>
      </c>
      <c r="Q1110" t="str">
        <f t="shared" si="119"/>
        <v>Completed</v>
      </c>
      <c r="R1110" t="str">
        <f t="shared" si="120"/>
        <v>Store</v>
      </c>
      <c r="S1110" t="str">
        <v>Upi</v>
      </c>
      <c r="T1110" t="str">
        <v>Electronics</v>
      </c>
      <c r="U1110" t="str">
        <f t="shared" si="121"/>
        <v>VALID</v>
      </c>
      <c r="V1110" t="str">
        <f t="shared" si="122"/>
        <v>NORMAL</v>
      </c>
      <c r="W1110" t="str">
        <f t="shared" si="123"/>
        <v>Valid</v>
      </c>
      <c r="X1110">
        <f t="shared" si="125"/>
        <v>319921.09999999998</v>
      </c>
      <c r="Y1110">
        <f t="shared" si="124"/>
        <v>255936.87999999998</v>
      </c>
    </row>
    <row r="1111" spans="1:25" x14ac:dyDescent="0.3">
      <c r="A1111" t="s">
        <v>1458</v>
      </c>
      <c r="B1111" s="1">
        <v>45450</v>
      </c>
      <c r="C1111" t="s">
        <v>997</v>
      </c>
      <c r="D1111" t="s">
        <v>105</v>
      </c>
      <c r="E1111" t="s">
        <v>106</v>
      </c>
      <c r="F1111" t="s">
        <v>40</v>
      </c>
      <c r="G1111" t="s">
        <v>21</v>
      </c>
      <c r="H1111" t="s">
        <v>126</v>
      </c>
      <c r="I1111">
        <v>3</v>
      </c>
      <c r="J1111">
        <v>7530.71</v>
      </c>
      <c r="K1111">
        <v>0.08</v>
      </c>
      <c r="L1111">
        <v>20784.759999999998</v>
      </c>
      <c r="M1111" t="s">
        <v>48</v>
      </c>
      <c r="N1111" t="s">
        <v>49</v>
      </c>
      <c r="O1111" t="s">
        <v>65</v>
      </c>
      <c r="P1111" t="s">
        <v>111</v>
      </c>
      <c r="Q1111" t="str">
        <f t="shared" si="119"/>
        <v>Completed</v>
      </c>
      <c r="R1111" t="str">
        <f t="shared" si="120"/>
        <v>Marketplace</v>
      </c>
      <c r="S1111" t="str">
        <v>Net Banking</v>
      </c>
      <c r="T1111" t="str">
        <v>Furniture</v>
      </c>
      <c r="U1111" t="str">
        <f t="shared" si="121"/>
        <v>VALID</v>
      </c>
      <c r="V1111" t="str">
        <f t="shared" si="122"/>
        <v>NORMAL</v>
      </c>
      <c r="W1111" t="str">
        <f t="shared" si="123"/>
        <v>Valid</v>
      </c>
      <c r="X1111">
        <f t="shared" si="125"/>
        <v>22592.13</v>
      </c>
      <c r="Y1111">
        <f t="shared" si="124"/>
        <v>20784.759600000001</v>
      </c>
    </row>
    <row r="1112" spans="1:25" x14ac:dyDescent="0.3">
      <c r="A1112" t="s">
        <v>1459</v>
      </c>
      <c r="B1112" s="1">
        <v>46084</v>
      </c>
      <c r="C1112" t="s">
        <v>95</v>
      </c>
      <c r="D1112" t="s">
        <v>96</v>
      </c>
      <c r="E1112" t="s">
        <v>97</v>
      </c>
      <c r="F1112" t="s">
        <v>31</v>
      </c>
      <c r="G1112" t="s">
        <v>32</v>
      </c>
      <c r="H1112" t="s">
        <v>68</v>
      </c>
      <c r="I1112">
        <v>4</v>
      </c>
      <c r="J1112">
        <v>1156.83</v>
      </c>
      <c r="K1112">
        <v>0.2</v>
      </c>
      <c r="L1112">
        <v>3701.86</v>
      </c>
      <c r="M1112" t="s">
        <v>23</v>
      </c>
      <c r="N1112" t="s">
        <v>58</v>
      </c>
      <c r="O1112" t="s">
        <v>65</v>
      </c>
      <c r="P1112" t="s">
        <v>59</v>
      </c>
      <c r="Q1112" t="str">
        <f t="shared" si="119"/>
        <v>Completed</v>
      </c>
      <c r="R1112" t="str">
        <f t="shared" si="120"/>
        <v>Online</v>
      </c>
      <c r="S1112" t="str">
        <v>Credit Card</v>
      </c>
      <c r="T1112" t="str">
        <v>Electronics</v>
      </c>
      <c r="U1112" t="str">
        <f t="shared" si="121"/>
        <v>VALID</v>
      </c>
      <c r="V1112" t="str">
        <f t="shared" si="122"/>
        <v>NORMAL</v>
      </c>
      <c r="W1112" t="str">
        <f t="shared" si="123"/>
        <v>Valid</v>
      </c>
      <c r="X1112">
        <f t="shared" si="125"/>
        <v>4627.32</v>
      </c>
      <c r="Y1112">
        <f t="shared" si="124"/>
        <v>3701.8559999999998</v>
      </c>
    </row>
    <row r="1113" spans="1:25" x14ac:dyDescent="0.3">
      <c r="A1113" t="s">
        <v>1460</v>
      </c>
      <c r="B1113" s="1">
        <v>45472</v>
      </c>
      <c r="C1113" t="s">
        <v>74</v>
      </c>
      <c r="D1113" t="s">
        <v>45</v>
      </c>
      <c r="E1113" t="s">
        <v>46</v>
      </c>
      <c r="F1113" t="s">
        <v>31</v>
      </c>
      <c r="G1113" t="s">
        <v>21</v>
      </c>
      <c r="H1113" t="s">
        <v>22</v>
      </c>
      <c r="I1113">
        <v>4</v>
      </c>
      <c r="J1113">
        <v>1845.87</v>
      </c>
      <c r="K1113">
        <v>0</v>
      </c>
      <c r="L1113">
        <v>7383.48</v>
      </c>
      <c r="M1113" t="s">
        <v>48</v>
      </c>
      <c r="N1113" t="s">
        <v>71</v>
      </c>
      <c r="O1113" t="s">
        <v>65</v>
      </c>
      <c r="P1113" t="s">
        <v>42</v>
      </c>
      <c r="Q1113" t="str">
        <f t="shared" si="119"/>
        <v>Completed</v>
      </c>
      <c r="R1113" t="str">
        <f t="shared" si="120"/>
        <v>Marketplace</v>
      </c>
      <c r="S1113" t="str">
        <v>Upi</v>
      </c>
      <c r="T1113" t="str">
        <v>Electronics</v>
      </c>
      <c r="U1113" t="str">
        <f t="shared" si="121"/>
        <v>VALID</v>
      </c>
      <c r="V1113" t="str">
        <f t="shared" si="122"/>
        <v>NORMAL</v>
      </c>
      <c r="W1113" t="str">
        <f t="shared" si="123"/>
        <v>Valid</v>
      </c>
      <c r="X1113">
        <f t="shared" si="125"/>
        <v>7383.48</v>
      </c>
      <c r="Y1113">
        <f t="shared" si="124"/>
        <v>7383.48</v>
      </c>
    </row>
    <row r="1114" spans="1:25" x14ac:dyDescent="0.3">
      <c r="A1114" t="s">
        <v>1461</v>
      </c>
      <c r="B1114" s="1">
        <v>46069</v>
      </c>
      <c r="C1114" t="s">
        <v>128</v>
      </c>
      <c r="D1114" t="s">
        <v>45</v>
      </c>
      <c r="E1114" t="s">
        <v>46</v>
      </c>
      <c r="F1114" t="s">
        <v>31</v>
      </c>
      <c r="G1114" t="s">
        <v>32</v>
      </c>
      <c r="H1114" t="s">
        <v>47</v>
      </c>
      <c r="I1114">
        <v>5</v>
      </c>
      <c r="J1114">
        <v>1719.95</v>
      </c>
      <c r="K1114">
        <v>0.2</v>
      </c>
      <c r="L1114">
        <v>6879.8</v>
      </c>
      <c r="M1114" t="s">
        <v>23</v>
      </c>
      <c r="N1114" t="s">
        <v>49</v>
      </c>
      <c r="O1114" t="s">
        <v>65</v>
      </c>
      <c r="P1114" t="s">
        <v>111</v>
      </c>
      <c r="Q1114" t="str">
        <f t="shared" si="119"/>
        <v>Completed</v>
      </c>
      <c r="R1114" t="str">
        <f t="shared" si="120"/>
        <v>Online</v>
      </c>
      <c r="S1114" t="str">
        <v>Net Banking</v>
      </c>
      <c r="T1114" t="str">
        <v>Electronics</v>
      </c>
      <c r="U1114" t="str">
        <f t="shared" si="121"/>
        <v>VALID</v>
      </c>
      <c r="V1114" t="str">
        <f t="shared" si="122"/>
        <v>NORMAL</v>
      </c>
      <c r="W1114" t="str">
        <f t="shared" si="123"/>
        <v>Valid</v>
      </c>
      <c r="X1114">
        <f t="shared" si="125"/>
        <v>8599.75</v>
      </c>
      <c r="Y1114">
        <f t="shared" si="124"/>
        <v>6879.8</v>
      </c>
    </row>
    <row r="1115" spans="1:25" x14ac:dyDescent="0.3">
      <c r="A1115" t="s">
        <v>1462</v>
      </c>
      <c r="B1115" s="1">
        <v>45844</v>
      </c>
      <c r="C1115" t="s">
        <v>685</v>
      </c>
      <c r="D1115" t="s">
        <v>85</v>
      </c>
      <c r="E1115" t="s">
        <v>86</v>
      </c>
      <c r="F1115" t="s">
        <v>20</v>
      </c>
      <c r="G1115" t="s">
        <v>32</v>
      </c>
      <c r="H1115" t="s">
        <v>33</v>
      </c>
      <c r="I1115">
        <v>5</v>
      </c>
      <c r="J1115">
        <v>1836.28</v>
      </c>
      <c r="K1115">
        <v>0.05</v>
      </c>
      <c r="L1115">
        <v>8722.33</v>
      </c>
      <c r="M1115" t="s">
        <v>76</v>
      </c>
      <c r="N1115" t="s">
        <v>34</v>
      </c>
      <c r="O1115" t="s">
        <v>25</v>
      </c>
      <c r="P1115" t="s">
        <v>116</v>
      </c>
      <c r="Q1115" t="str">
        <f t="shared" si="119"/>
        <v>Returned</v>
      </c>
      <c r="R1115" t="str">
        <f t="shared" si="120"/>
        <v>Store</v>
      </c>
      <c r="S1115" t="str">
        <v>Cash On Delivery</v>
      </c>
      <c r="T1115" t="str">
        <v>Accessories</v>
      </c>
      <c r="U1115" t="str">
        <f t="shared" si="121"/>
        <v>VALID</v>
      </c>
      <c r="V1115" t="str">
        <f t="shared" si="122"/>
        <v>NORMAL</v>
      </c>
      <c r="W1115" t="str">
        <f t="shared" si="123"/>
        <v>Valid</v>
      </c>
      <c r="X1115">
        <f t="shared" si="125"/>
        <v>9181.4</v>
      </c>
      <c r="Y1115">
        <f t="shared" si="124"/>
        <v>8722.33</v>
      </c>
    </row>
    <row r="1116" spans="1:25" x14ac:dyDescent="0.3">
      <c r="A1116" t="s">
        <v>1463</v>
      </c>
      <c r="B1116" s="1">
        <v>45386</v>
      </c>
      <c r="D1116" t="s">
        <v>131</v>
      </c>
      <c r="E1116" t="s">
        <v>132</v>
      </c>
      <c r="F1116" t="s">
        <v>40</v>
      </c>
      <c r="G1116" t="s">
        <v>56</v>
      </c>
      <c r="H1116" t="s">
        <v>101</v>
      </c>
      <c r="I1116">
        <v>4</v>
      </c>
      <c r="J1116">
        <v>9447.4699999999993</v>
      </c>
      <c r="K1116">
        <v>0.1</v>
      </c>
      <c r="L1116">
        <v>34010.89</v>
      </c>
      <c r="M1116" t="s">
        <v>48</v>
      </c>
      <c r="N1116" t="s">
        <v>71</v>
      </c>
      <c r="O1116" t="s">
        <v>25</v>
      </c>
      <c r="P1116" t="s">
        <v>72</v>
      </c>
      <c r="Q1116" t="str">
        <f t="shared" si="119"/>
        <v>Returned</v>
      </c>
      <c r="R1116" t="str">
        <f t="shared" si="120"/>
        <v>Marketplace</v>
      </c>
      <c r="S1116" t="str">
        <v>Upi</v>
      </c>
      <c r="T1116" t="str">
        <v>Furniture</v>
      </c>
      <c r="U1116" t="str">
        <f t="shared" si="121"/>
        <v>VALID</v>
      </c>
      <c r="V1116" t="str">
        <f t="shared" si="122"/>
        <v>NORMAL</v>
      </c>
      <c r="W1116" t="str">
        <f t="shared" si="123"/>
        <v>Valid</v>
      </c>
      <c r="X1116">
        <f t="shared" si="125"/>
        <v>37789.879999999997</v>
      </c>
      <c r="Y1116">
        <f t="shared" si="124"/>
        <v>34010.892</v>
      </c>
    </row>
    <row r="1117" spans="1:25" x14ac:dyDescent="0.3">
      <c r="A1117" t="s">
        <v>1464</v>
      </c>
      <c r="B1117" s="1">
        <v>45471</v>
      </c>
      <c r="C1117" t="s">
        <v>137</v>
      </c>
      <c r="D1117" t="s">
        <v>38</v>
      </c>
      <c r="E1117" t="s">
        <v>39</v>
      </c>
      <c r="F1117" t="s">
        <v>40</v>
      </c>
      <c r="G1117" t="s">
        <v>32</v>
      </c>
      <c r="H1117" t="s">
        <v>75</v>
      </c>
      <c r="I1117">
        <v>5</v>
      </c>
      <c r="J1117">
        <v>1608.91</v>
      </c>
      <c r="K1117">
        <v>0.1</v>
      </c>
      <c r="L1117">
        <v>7240.1</v>
      </c>
      <c r="M1117" t="s">
        <v>23</v>
      </c>
      <c r="N1117" t="s">
        <v>34</v>
      </c>
      <c r="O1117" t="s">
        <v>65</v>
      </c>
      <c r="P1117" t="s">
        <v>116</v>
      </c>
      <c r="Q1117" t="str">
        <f t="shared" si="119"/>
        <v>Completed</v>
      </c>
      <c r="R1117" t="str">
        <f t="shared" si="120"/>
        <v>Online</v>
      </c>
      <c r="S1117" t="str">
        <v>Cash On Delivery</v>
      </c>
      <c r="T1117" t="str">
        <v>Furniture</v>
      </c>
      <c r="U1117" t="str">
        <f t="shared" si="121"/>
        <v>VALID</v>
      </c>
      <c r="V1117" t="str">
        <f t="shared" si="122"/>
        <v>NORMAL</v>
      </c>
      <c r="W1117" t="str">
        <f t="shared" si="123"/>
        <v>Valid</v>
      </c>
      <c r="X1117">
        <f t="shared" si="125"/>
        <v>8044.55</v>
      </c>
      <c r="Y1117">
        <f t="shared" si="124"/>
        <v>7240.0950000000003</v>
      </c>
    </row>
    <row r="1118" spans="1:25" x14ac:dyDescent="0.3">
      <c r="A1118" t="s">
        <v>1465</v>
      </c>
      <c r="B1118" s="1">
        <v>45902</v>
      </c>
      <c r="C1118" t="s">
        <v>108</v>
      </c>
      <c r="D1118" t="s">
        <v>85</v>
      </c>
      <c r="E1118" t="s">
        <v>86</v>
      </c>
      <c r="F1118" t="s">
        <v>20</v>
      </c>
      <c r="G1118" t="s">
        <v>21</v>
      </c>
      <c r="H1118" t="s">
        <v>41</v>
      </c>
      <c r="I1118">
        <v>1</v>
      </c>
      <c r="J1118">
        <v>1917.52</v>
      </c>
      <c r="K1118">
        <v>0.05</v>
      </c>
      <c r="L1118">
        <v>1821.64</v>
      </c>
      <c r="M1118" t="s">
        <v>48</v>
      </c>
      <c r="N1118" t="s">
        <v>58</v>
      </c>
      <c r="O1118" t="s">
        <v>65</v>
      </c>
      <c r="P1118" t="s">
        <v>111</v>
      </c>
      <c r="Q1118" t="str">
        <f t="shared" si="119"/>
        <v>Completed</v>
      </c>
      <c r="R1118" t="str">
        <f t="shared" si="120"/>
        <v>Marketplace</v>
      </c>
      <c r="S1118" t="str">
        <v>Credit Card</v>
      </c>
      <c r="T1118" t="str">
        <v>Accessories</v>
      </c>
      <c r="U1118" t="str">
        <f t="shared" si="121"/>
        <v>VALID</v>
      </c>
      <c r="V1118" t="str">
        <f t="shared" si="122"/>
        <v>NORMAL</v>
      </c>
      <c r="W1118" t="str">
        <f t="shared" si="123"/>
        <v>Valid</v>
      </c>
      <c r="X1118">
        <f t="shared" si="125"/>
        <v>1917.52</v>
      </c>
      <c r="Y1118">
        <f t="shared" si="124"/>
        <v>1821.644</v>
      </c>
    </row>
    <row r="1119" spans="1:25" x14ac:dyDescent="0.3">
      <c r="A1119" t="s">
        <v>1466</v>
      </c>
      <c r="B1119" s="1">
        <v>46098</v>
      </c>
      <c r="C1119" t="s">
        <v>245</v>
      </c>
      <c r="D1119" t="s">
        <v>53</v>
      </c>
      <c r="E1119" t="s">
        <v>54</v>
      </c>
      <c r="F1119" t="s">
        <v>55</v>
      </c>
      <c r="G1119" t="s">
        <v>32</v>
      </c>
      <c r="H1119" t="s">
        <v>75</v>
      </c>
      <c r="I1119">
        <v>5</v>
      </c>
      <c r="J1119">
        <v>203.19</v>
      </c>
      <c r="K1119">
        <v>0.08</v>
      </c>
      <c r="L1119">
        <v>934.67</v>
      </c>
      <c r="M1119" t="s">
        <v>23</v>
      </c>
      <c r="N1119" t="s">
        <v>71</v>
      </c>
      <c r="O1119" t="s">
        <v>25</v>
      </c>
      <c r="P1119" t="s">
        <v>42</v>
      </c>
      <c r="Q1119" t="str">
        <f t="shared" si="119"/>
        <v>Returned</v>
      </c>
      <c r="R1119" t="str">
        <f t="shared" si="120"/>
        <v>Online</v>
      </c>
      <c r="S1119" t="str">
        <v>Upi</v>
      </c>
      <c r="T1119" t="str">
        <v>Stationery</v>
      </c>
      <c r="U1119" t="str">
        <f t="shared" si="121"/>
        <v>VALID</v>
      </c>
      <c r="V1119" t="str">
        <f t="shared" si="122"/>
        <v>NORMAL</v>
      </c>
      <c r="W1119" t="str">
        <f t="shared" si="123"/>
        <v>Valid</v>
      </c>
      <c r="X1119">
        <f t="shared" si="125"/>
        <v>1015.95</v>
      </c>
      <c r="Y1119">
        <f t="shared" si="124"/>
        <v>934.67399999999998</v>
      </c>
    </row>
    <row r="1120" spans="1:25" x14ac:dyDescent="0.3">
      <c r="A1120" t="s">
        <v>1467</v>
      </c>
      <c r="B1120" s="1">
        <v>45590</v>
      </c>
      <c r="C1120" t="s">
        <v>325</v>
      </c>
      <c r="D1120" t="s">
        <v>176</v>
      </c>
      <c r="E1120" t="s">
        <v>177</v>
      </c>
      <c r="F1120" t="s">
        <v>31</v>
      </c>
      <c r="G1120" t="s">
        <v>56</v>
      </c>
      <c r="H1120" t="s">
        <v>101</v>
      </c>
      <c r="I1120">
        <v>5</v>
      </c>
      <c r="J1120">
        <v>2326.73</v>
      </c>
      <c r="K1120">
        <v>0.1</v>
      </c>
      <c r="L1120">
        <v>10470.280000000001</v>
      </c>
      <c r="M1120" t="s">
        <v>48</v>
      </c>
      <c r="N1120" t="s">
        <v>58</v>
      </c>
      <c r="O1120" t="s">
        <v>65</v>
      </c>
      <c r="P1120" t="s">
        <v>102</v>
      </c>
      <c r="Q1120" t="str">
        <f t="shared" si="119"/>
        <v>Completed</v>
      </c>
      <c r="R1120" t="str">
        <f t="shared" si="120"/>
        <v>Marketplace</v>
      </c>
      <c r="S1120" t="str">
        <v>Credit Card</v>
      </c>
      <c r="T1120" t="str">
        <v>Electronics</v>
      </c>
      <c r="U1120" t="str">
        <f t="shared" si="121"/>
        <v>VALID</v>
      </c>
      <c r="V1120" t="str">
        <f t="shared" si="122"/>
        <v>NORMAL</v>
      </c>
      <c r="W1120" t="str">
        <f t="shared" si="123"/>
        <v>Valid</v>
      </c>
      <c r="X1120">
        <f t="shared" si="125"/>
        <v>11633.65</v>
      </c>
      <c r="Y1120">
        <f t="shared" si="124"/>
        <v>10470.285</v>
      </c>
    </row>
    <row r="1121" spans="1:25" x14ac:dyDescent="0.3">
      <c r="A1121" t="s">
        <v>1468</v>
      </c>
      <c r="B1121" s="1">
        <v>45510</v>
      </c>
      <c r="D1121" t="s">
        <v>38</v>
      </c>
      <c r="E1121" t="s">
        <v>39</v>
      </c>
      <c r="F1121" t="s">
        <v>40</v>
      </c>
      <c r="G1121" t="s">
        <v>21</v>
      </c>
      <c r="H1121" t="s">
        <v>126</v>
      </c>
      <c r="I1121">
        <v>2</v>
      </c>
      <c r="J1121">
        <v>1572.46</v>
      </c>
      <c r="K1121">
        <v>0.15</v>
      </c>
      <c r="L1121">
        <v>2673.18</v>
      </c>
      <c r="M1121" t="s">
        <v>76</v>
      </c>
      <c r="N1121" t="s">
        <v>49</v>
      </c>
      <c r="O1121" t="s">
        <v>65</v>
      </c>
      <c r="P1121" t="s">
        <v>26</v>
      </c>
      <c r="Q1121" t="str">
        <f t="shared" si="119"/>
        <v>Completed</v>
      </c>
      <c r="R1121" t="str">
        <f t="shared" si="120"/>
        <v>Store</v>
      </c>
      <c r="S1121" t="str">
        <v>Net Banking</v>
      </c>
      <c r="T1121" t="str">
        <v>Furniture</v>
      </c>
      <c r="U1121" t="str">
        <f t="shared" si="121"/>
        <v>VALID</v>
      </c>
      <c r="V1121" t="str">
        <f t="shared" si="122"/>
        <v>NORMAL</v>
      </c>
      <c r="W1121" t="str">
        <f t="shared" si="123"/>
        <v>Valid</v>
      </c>
      <c r="X1121">
        <f t="shared" si="125"/>
        <v>3144.92</v>
      </c>
      <c r="Y1121">
        <f t="shared" si="124"/>
        <v>2673.1820000000002</v>
      </c>
    </row>
    <row r="1122" spans="1:25" x14ac:dyDescent="0.3">
      <c r="A1122" t="s">
        <v>1469</v>
      </c>
      <c r="B1122" s="1">
        <v>45437</v>
      </c>
      <c r="C1122" t="s">
        <v>935</v>
      </c>
      <c r="D1122" t="s">
        <v>29</v>
      </c>
      <c r="E1122" t="s">
        <v>30</v>
      </c>
      <c r="F1122" t="s">
        <v>31</v>
      </c>
      <c r="G1122" t="s">
        <v>81</v>
      </c>
      <c r="H1122" t="s">
        <v>98</v>
      </c>
      <c r="I1122">
        <v>1</v>
      </c>
      <c r="J1122">
        <v>3011.96</v>
      </c>
      <c r="K1122">
        <v>0.15</v>
      </c>
      <c r="L1122">
        <v>2560.17</v>
      </c>
      <c r="M1122" t="s">
        <v>48</v>
      </c>
      <c r="N1122" t="s">
        <v>71</v>
      </c>
      <c r="O1122" t="s">
        <v>25</v>
      </c>
      <c r="P1122" t="s">
        <v>42</v>
      </c>
      <c r="Q1122" t="str">
        <f t="shared" si="119"/>
        <v>Returned</v>
      </c>
      <c r="R1122" t="str">
        <f t="shared" si="120"/>
        <v>Marketplace</v>
      </c>
      <c r="S1122" t="str">
        <v>Upi</v>
      </c>
      <c r="T1122" t="str">
        <v>Electronics</v>
      </c>
      <c r="U1122" t="str">
        <f t="shared" si="121"/>
        <v>VALID</v>
      </c>
      <c r="V1122" t="str">
        <f t="shared" si="122"/>
        <v>NORMAL</v>
      </c>
      <c r="W1122" t="str">
        <f t="shared" si="123"/>
        <v>Valid</v>
      </c>
      <c r="X1122">
        <f t="shared" si="125"/>
        <v>3011.96</v>
      </c>
      <c r="Y1122">
        <f t="shared" si="124"/>
        <v>2560.1660000000002</v>
      </c>
    </row>
    <row r="1123" spans="1:25" x14ac:dyDescent="0.3">
      <c r="A1123" t="s">
        <v>1470</v>
      </c>
      <c r="B1123" s="1">
        <v>46019</v>
      </c>
      <c r="C1123" t="s">
        <v>470</v>
      </c>
      <c r="D1123" t="s">
        <v>89</v>
      </c>
      <c r="E1123" t="s">
        <v>90</v>
      </c>
      <c r="F1123" t="s">
        <v>20</v>
      </c>
      <c r="G1123" t="s">
        <v>81</v>
      </c>
      <c r="H1123" t="s">
        <v>87</v>
      </c>
      <c r="I1123">
        <v>2</v>
      </c>
      <c r="J1123">
        <v>664.97</v>
      </c>
      <c r="K1123">
        <v>0.1</v>
      </c>
      <c r="L1123">
        <v>1196.95</v>
      </c>
      <c r="M1123" t="s">
        <v>23</v>
      </c>
      <c r="N1123" t="s">
        <v>58</v>
      </c>
      <c r="O1123" t="s">
        <v>65</v>
      </c>
      <c r="P1123" t="s">
        <v>111</v>
      </c>
      <c r="Q1123" t="str">
        <f t="shared" si="119"/>
        <v>Completed</v>
      </c>
      <c r="R1123" t="str">
        <f t="shared" si="120"/>
        <v>Online</v>
      </c>
      <c r="S1123" t="str">
        <v>Credit Card</v>
      </c>
      <c r="T1123" t="str">
        <v>Accessories</v>
      </c>
      <c r="U1123" t="str">
        <f t="shared" si="121"/>
        <v>VALID</v>
      </c>
      <c r="V1123" t="str">
        <f t="shared" si="122"/>
        <v>NORMAL</v>
      </c>
      <c r="W1123" t="str">
        <f t="shared" si="123"/>
        <v>Valid</v>
      </c>
      <c r="X1123">
        <f t="shared" si="125"/>
        <v>1329.94</v>
      </c>
      <c r="Y1123">
        <f t="shared" si="124"/>
        <v>1196.9460000000001</v>
      </c>
    </row>
    <row r="1124" spans="1:25" x14ac:dyDescent="0.3">
      <c r="A1124" t="s">
        <v>1471</v>
      </c>
      <c r="B1124" s="1">
        <v>46018</v>
      </c>
      <c r="C1124" t="s">
        <v>266</v>
      </c>
      <c r="D1124" t="s">
        <v>45</v>
      </c>
      <c r="E1124" t="s">
        <v>46</v>
      </c>
      <c r="F1124" t="s">
        <v>31</v>
      </c>
      <c r="G1124" t="s">
        <v>21</v>
      </c>
      <c r="H1124" t="s">
        <v>22</v>
      </c>
      <c r="I1124">
        <v>4</v>
      </c>
      <c r="J1124">
        <v>1853.87</v>
      </c>
      <c r="K1124">
        <v>0.1</v>
      </c>
      <c r="L1124">
        <v>6673.93</v>
      </c>
      <c r="M1124" t="s">
        <v>23</v>
      </c>
      <c r="N1124" t="s">
        <v>49</v>
      </c>
      <c r="O1124" t="s">
        <v>25</v>
      </c>
      <c r="P1124" t="s">
        <v>59</v>
      </c>
      <c r="Q1124" t="str">
        <f t="shared" si="119"/>
        <v>Returned</v>
      </c>
      <c r="R1124" t="str">
        <f t="shared" si="120"/>
        <v>Online</v>
      </c>
      <c r="S1124" t="str">
        <v>Net Banking</v>
      </c>
      <c r="T1124" t="str">
        <v>Electronics</v>
      </c>
      <c r="U1124" t="str">
        <f t="shared" si="121"/>
        <v>VALID</v>
      </c>
      <c r="V1124" t="str">
        <f t="shared" si="122"/>
        <v>NORMAL</v>
      </c>
      <c r="W1124" t="str">
        <f t="shared" si="123"/>
        <v>Valid</v>
      </c>
      <c r="X1124">
        <f t="shared" si="125"/>
        <v>7415.48</v>
      </c>
      <c r="Y1124">
        <f t="shared" si="124"/>
        <v>6673.9319999999998</v>
      </c>
    </row>
    <row r="1125" spans="1:25" x14ac:dyDescent="0.3">
      <c r="A1125" t="s">
        <v>1472</v>
      </c>
      <c r="B1125" s="1">
        <v>45878</v>
      </c>
      <c r="C1125" t="s">
        <v>599</v>
      </c>
      <c r="D1125" t="s">
        <v>79</v>
      </c>
      <c r="E1125" t="s">
        <v>80</v>
      </c>
      <c r="F1125" t="s">
        <v>31</v>
      </c>
      <c r="G1125" t="s">
        <v>56</v>
      </c>
      <c r="H1125" t="s">
        <v>123</v>
      </c>
      <c r="I1125">
        <v>4</v>
      </c>
      <c r="J1125">
        <v>13258.09</v>
      </c>
      <c r="K1125">
        <v>0.1</v>
      </c>
      <c r="L1125">
        <v>47729.120000000003</v>
      </c>
      <c r="M1125" t="s">
        <v>76</v>
      </c>
      <c r="N1125" t="s">
        <v>24</v>
      </c>
      <c r="O1125" t="s">
        <v>35</v>
      </c>
      <c r="P1125" t="s">
        <v>59</v>
      </c>
      <c r="Q1125" t="str">
        <f t="shared" si="119"/>
        <v>Cancelled</v>
      </c>
      <c r="R1125" t="str">
        <f t="shared" si="120"/>
        <v>Store</v>
      </c>
      <c r="S1125" t="str">
        <v>Debit Card</v>
      </c>
      <c r="T1125" t="str">
        <v>Electronics</v>
      </c>
      <c r="U1125" t="str">
        <f t="shared" si="121"/>
        <v>VALID</v>
      </c>
      <c r="V1125" t="str">
        <f t="shared" si="122"/>
        <v>NORMAL</v>
      </c>
      <c r="W1125" t="str">
        <f t="shared" si="123"/>
        <v>Valid</v>
      </c>
      <c r="X1125">
        <f t="shared" si="125"/>
        <v>53032.36</v>
      </c>
      <c r="Y1125">
        <f t="shared" si="124"/>
        <v>47729.123999999996</v>
      </c>
    </row>
    <row r="1126" spans="1:25" x14ac:dyDescent="0.3">
      <c r="A1126" t="s">
        <v>1473</v>
      </c>
      <c r="B1126" s="1">
        <v>45319</v>
      </c>
      <c r="C1126" t="s">
        <v>587</v>
      </c>
      <c r="D1126" t="s">
        <v>96</v>
      </c>
      <c r="E1126" t="s">
        <v>97</v>
      </c>
      <c r="F1126" t="s">
        <v>31</v>
      </c>
      <c r="G1126" t="s">
        <v>32</v>
      </c>
      <c r="H1126" t="s">
        <v>68</v>
      </c>
      <c r="I1126">
        <v>4</v>
      </c>
      <c r="J1126">
        <v>1179.76</v>
      </c>
      <c r="K1126">
        <v>0.15</v>
      </c>
      <c r="L1126">
        <v>4011.18</v>
      </c>
      <c r="M1126" t="s">
        <v>76</v>
      </c>
      <c r="N1126" t="s">
        <v>24</v>
      </c>
      <c r="O1126" t="s">
        <v>65</v>
      </c>
      <c r="P1126" t="s">
        <v>72</v>
      </c>
      <c r="Q1126" t="str">
        <f t="shared" si="119"/>
        <v>Completed</v>
      </c>
      <c r="R1126" t="str">
        <f t="shared" si="120"/>
        <v>Store</v>
      </c>
      <c r="S1126" t="str">
        <v>Debit Card</v>
      </c>
      <c r="T1126" t="str">
        <v>Electronics</v>
      </c>
      <c r="U1126" t="str">
        <f t="shared" si="121"/>
        <v>VALID</v>
      </c>
      <c r="V1126" t="str">
        <f t="shared" si="122"/>
        <v>NORMAL</v>
      </c>
      <c r="W1126" t="str">
        <f t="shared" si="123"/>
        <v>Valid</v>
      </c>
      <c r="X1126">
        <f t="shared" si="125"/>
        <v>4719.04</v>
      </c>
      <c r="Y1126">
        <f t="shared" si="124"/>
        <v>4011.1840000000002</v>
      </c>
    </row>
    <row r="1127" spans="1:25" x14ac:dyDescent="0.3">
      <c r="A1127" t="s">
        <v>1474</v>
      </c>
      <c r="B1127" s="1">
        <v>45659</v>
      </c>
      <c r="C1127" t="s">
        <v>67</v>
      </c>
      <c r="D1127" t="s">
        <v>29</v>
      </c>
      <c r="E1127" t="s">
        <v>30</v>
      </c>
      <c r="F1127" t="s">
        <v>31</v>
      </c>
      <c r="G1127" t="s">
        <v>21</v>
      </c>
      <c r="H1127" t="s">
        <v>41</v>
      </c>
      <c r="I1127">
        <v>2</v>
      </c>
      <c r="J1127">
        <v>3032.33</v>
      </c>
      <c r="K1127">
        <v>0.05</v>
      </c>
      <c r="L1127">
        <v>5761.43</v>
      </c>
      <c r="M1127" t="s">
        <v>23</v>
      </c>
      <c r="N1127" t="s">
        <v>34</v>
      </c>
      <c r="O1127" t="s">
        <v>65</v>
      </c>
      <c r="P1127" t="s">
        <v>59</v>
      </c>
      <c r="Q1127" t="str">
        <f t="shared" si="119"/>
        <v>Completed</v>
      </c>
      <c r="R1127" t="str">
        <f t="shared" si="120"/>
        <v>Online</v>
      </c>
      <c r="S1127" t="str">
        <v>Cash On Delivery</v>
      </c>
      <c r="T1127" t="str">
        <v>Electronics</v>
      </c>
      <c r="U1127" t="str">
        <f t="shared" si="121"/>
        <v>VALID</v>
      </c>
      <c r="V1127" t="str">
        <f t="shared" si="122"/>
        <v>NORMAL</v>
      </c>
      <c r="W1127" t="str">
        <f t="shared" si="123"/>
        <v>Valid</v>
      </c>
      <c r="X1127">
        <f t="shared" si="125"/>
        <v>6064.66</v>
      </c>
      <c r="Y1127">
        <f t="shared" si="124"/>
        <v>5761.4269999999997</v>
      </c>
    </row>
    <row r="1128" spans="1:25" x14ac:dyDescent="0.3">
      <c r="A1128" t="s">
        <v>1475</v>
      </c>
      <c r="B1128" s="1">
        <v>45900</v>
      </c>
      <c r="C1128" t="s">
        <v>460</v>
      </c>
      <c r="D1128" t="s">
        <v>131</v>
      </c>
      <c r="E1128" t="s">
        <v>132</v>
      </c>
      <c r="F1128" t="s">
        <v>40</v>
      </c>
      <c r="G1128" t="s">
        <v>81</v>
      </c>
      <c r="H1128" t="s">
        <v>135</v>
      </c>
      <c r="I1128">
        <v>1</v>
      </c>
      <c r="J1128">
        <v>9337.18</v>
      </c>
      <c r="K1128">
        <v>0.15</v>
      </c>
      <c r="L1128">
        <v>7936.6</v>
      </c>
      <c r="M1128" t="s">
        <v>48</v>
      </c>
      <c r="N1128" t="s">
        <v>34</v>
      </c>
      <c r="O1128" t="s">
        <v>35</v>
      </c>
      <c r="P1128" t="s">
        <v>116</v>
      </c>
      <c r="Q1128" t="str">
        <f t="shared" si="119"/>
        <v>Cancelled</v>
      </c>
      <c r="R1128" t="str">
        <f t="shared" si="120"/>
        <v>Marketplace</v>
      </c>
      <c r="S1128" t="str">
        <v>Cash On Delivery</v>
      </c>
      <c r="T1128" t="str">
        <v>Furniture</v>
      </c>
      <c r="U1128" t="str">
        <f t="shared" si="121"/>
        <v>VALID</v>
      </c>
      <c r="V1128" t="str">
        <f t="shared" si="122"/>
        <v>NORMAL</v>
      </c>
      <c r="W1128" t="str">
        <f t="shared" si="123"/>
        <v>Valid</v>
      </c>
      <c r="X1128">
        <f t="shared" si="125"/>
        <v>9337.18</v>
      </c>
      <c r="Y1128">
        <f t="shared" si="124"/>
        <v>7936.6030000000001</v>
      </c>
    </row>
    <row r="1129" spans="1:25" x14ac:dyDescent="0.3">
      <c r="A1129" t="s">
        <v>1476</v>
      </c>
      <c r="B1129" s="1">
        <v>45610</v>
      </c>
      <c r="C1129" t="s">
        <v>391</v>
      </c>
      <c r="D1129" t="s">
        <v>45</v>
      </c>
      <c r="E1129" t="s">
        <v>46</v>
      </c>
      <c r="F1129" t="s">
        <v>31</v>
      </c>
      <c r="G1129" t="s">
        <v>32</v>
      </c>
      <c r="H1129" t="s">
        <v>33</v>
      </c>
      <c r="I1129">
        <v>2</v>
      </c>
      <c r="J1129">
        <v>1735.72</v>
      </c>
      <c r="K1129">
        <v>0.08</v>
      </c>
      <c r="L1129">
        <v>3193.72</v>
      </c>
      <c r="M1129" t="s">
        <v>76</v>
      </c>
      <c r="N1129" t="s">
        <v>58</v>
      </c>
      <c r="O1129" t="s">
        <v>65</v>
      </c>
      <c r="P1129" t="s">
        <v>102</v>
      </c>
      <c r="Q1129" t="str">
        <f t="shared" si="119"/>
        <v>Completed</v>
      </c>
      <c r="R1129" t="str">
        <f t="shared" si="120"/>
        <v>Store</v>
      </c>
      <c r="S1129" t="str">
        <v>Credit Card</v>
      </c>
      <c r="T1129" t="str">
        <v>Electronics</v>
      </c>
      <c r="U1129" t="str">
        <f t="shared" si="121"/>
        <v>VALID</v>
      </c>
      <c r="V1129" t="str">
        <f t="shared" si="122"/>
        <v>NORMAL</v>
      </c>
      <c r="W1129" t="str">
        <f t="shared" si="123"/>
        <v>Valid</v>
      </c>
      <c r="X1129">
        <f t="shared" si="125"/>
        <v>3471.44</v>
      </c>
      <c r="Y1129">
        <f t="shared" si="124"/>
        <v>3193.7248</v>
      </c>
    </row>
    <row r="1130" spans="1:25" x14ac:dyDescent="0.3">
      <c r="A1130" t="s">
        <v>1477</v>
      </c>
      <c r="B1130" s="1">
        <v>45686</v>
      </c>
      <c r="C1130" t="s">
        <v>389</v>
      </c>
      <c r="D1130" t="s">
        <v>105</v>
      </c>
      <c r="E1130" t="s">
        <v>106</v>
      </c>
      <c r="F1130" t="s">
        <v>40</v>
      </c>
      <c r="G1130" t="s">
        <v>56</v>
      </c>
      <c r="H1130" t="s">
        <v>64</v>
      </c>
      <c r="I1130">
        <v>4</v>
      </c>
      <c r="J1130">
        <v>7662.79</v>
      </c>
      <c r="K1130">
        <v>0.08</v>
      </c>
      <c r="L1130">
        <v>28199.07</v>
      </c>
      <c r="M1130" t="s">
        <v>76</v>
      </c>
      <c r="N1130" t="s">
        <v>34</v>
      </c>
      <c r="O1130" t="s">
        <v>65</v>
      </c>
      <c r="P1130" t="s">
        <v>72</v>
      </c>
      <c r="Q1130" t="str">
        <f t="shared" si="119"/>
        <v>Completed</v>
      </c>
      <c r="R1130" t="str">
        <f t="shared" si="120"/>
        <v>Store</v>
      </c>
      <c r="S1130" t="str">
        <v>Cash On Delivery</v>
      </c>
      <c r="T1130" t="str">
        <v>Furniture</v>
      </c>
      <c r="U1130" t="str">
        <f t="shared" si="121"/>
        <v>VALID</v>
      </c>
      <c r="V1130" t="str">
        <f t="shared" si="122"/>
        <v>NORMAL</v>
      </c>
      <c r="W1130" t="str">
        <f t="shared" si="123"/>
        <v>Valid</v>
      </c>
      <c r="X1130">
        <f t="shared" si="125"/>
        <v>30651.16</v>
      </c>
      <c r="Y1130">
        <f t="shared" si="124"/>
        <v>28199.067200000001</v>
      </c>
    </row>
    <row r="1131" spans="1:25" x14ac:dyDescent="0.3">
      <c r="A1131" t="s">
        <v>1478</v>
      </c>
      <c r="B1131" s="1">
        <v>45412</v>
      </c>
      <c r="D1131" t="s">
        <v>29</v>
      </c>
      <c r="E1131" t="s">
        <v>30</v>
      </c>
      <c r="F1131" t="s">
        <v>31</v>
      </c>
      <c r="G1131" t="s">
        <v>32</v>
      </c>
      <c r="H1131" t="s">
        <v>47</v>
      </c>
      <c r="I1131">
        <v>1</v>
      </c>
      <c r="J1131">
        <v>3089.95</v>
      </c>
      <c r="K1131">
        <v>0.08</v>
      </c>
      <c r="L1131">
        <v>2842.75</v>
      </c>
      <c r="M1131" t="s">
        <v>23</v>
      </c>
      <c r="N1131" t="s">
        <v>71</v>
      </c>
      <c r="O1131" t="s">
        <v>65</v>
      </c>
      <c r="P1131" t="s">
        <v>42</v>
      </c>
      <c r="Q1131" t="str">
        <f t="shared" si="119"/>
        <v>Completed</v>
      </c>
      <c r="R1131" t="str">
        <f t="shared" si="120"/>
        <v>Online</v>
      </c>
      <c r="S1131" t="str">
        <v>Upi</v>
      </c>
      <c r="T1131" t="str">
        <v>Electronics</v>
      </c>
      <c r="U1131" t="str">
        <f t="shared" si="121"/>
        <v>VALID</v>
      </c>
      <c r="V1131" t="str">
        <f t="shared" si="122"/>
        <v>NORMAL</v>
      </c>
      <c r="W1131" t="str">
        <f t="shared" si="123"/>
        <v>Valid</v>
      </c>
      <c r="X1131">
        <f t="shared" si="125"/>
        <v>3089.95</v>
      </c>
      <c r="Y1131">
        <f t="shared" si="124"/>
        <v>2842.7539999999999</v>
      </c>
    </row>
    <row r="1132" spans="1:25" x14ac:dyDescent="0.3">
      <c r="A1132" t="s">
        <v>1479</v>
      </c>
      <c r="B1132" s="1">
        <v>45955</v>
      </c>
      <c r="C1132" t="s">
        <v>1480</v>
      </c>
      <c r="D1132" t="s">
        <v>85</v>
      </c>
      <c r="E1132" t="s">
        <v>86</v>
      </c>
      <c r="F1132" t="s">
        <v>20</v>
      </c>
      <c r="G1132" t="s">
        <v>81</v>
      </c>
      <c r="H1132" t="s">
        <v>87</v>
      </c>
      <c r="I1132">
        <v>2</v>
      </c>
      <c r="J1132">
        <v>1732.12</v>
      </c>
      <c r="K1132">
        <v>0.15</v>
      </c>
      <c r="L1132">
        <v>2944.6</v>
      </c>
      <c r="M1132" t="s">
        <v>23</v>
      </c>
      <c r="N1132" t="s">
        <v>71</v>
      </c>
      <c r="O1132" t="s">
        <v>65</v>
      </c>
      <c r="P1132" t="s">
        <v>116</v>
      </c>
      <c r="Q1132" t="str">
        <f t="shared" si="119"/>
        <v>Completed</v>
      </c>
      <c r="R1132" t="str">
        <f t="shared" si="120"/>
        <v>Online</v>
      </c>
      <c r="S1132" t="str">
        <v>Upi</v>
      </c>
      <c r="T1132" t="str">
        <v>Accessories</v>
      </c>
      <c r="U1132" t="str">
        <f t="shared" si="121"/>
        <v>VALID</v>
      </c>
      <c r="V1132" t="str">
        <f t="shared" si="122"/>
        <v>NORMAL</v>
      </c>
      <c r="W1132" t="str">
        <f t="shared" si="123"/>
        <v>Valid</v>
      </c>
      <c r="X1132">
        <f t="shared" si="125"/>
        <v>3464.24</v>
      </c>
      <c r="Y1132">
        <f t="shared" si="124"/>
        <v>2944.6039999999998</v>
      </c>
    </row>
    <row r="1133" spans="1:25" x14ac:dyDescent="0.3">
      <c r="A1133" t="s">
        <v>1481</v>
      </c>
      <c r="B1133" s="1">
        <v>45435</v>
      </c>
      <c r="C1133" t="s">
        <v>490</v>
      </c>
      <c r="D1133" t="s">
        <v>85</v>
      </c>
      <c r="E1133" t="s">
        <v>86</v>
      </c>
      <c r="F1133" t="s">
        <v>20</v>
      </c>
      <c r="G1133" t="s">
        <v>32</v>
      </c>
      <c r="H1133" t="s">
        <v>33</v>
      </c>
      <c r="I1133">
        <v>4</v>
      </c>
      <c r="J1133">
        <v>1796.82</v>
      </c>
      <c r="K1133">
        <v>0.1</v>
      </c>
      <c r="L1133">
        <v>6468.55</v>
      </c>
      <c r="M1133" t="s">
        <v>48</v>
      </c>
      <c r="N1133" t="s">
        <v>49</v>
      </c>
      <c r="O1133" t="s">
        <v>65</v>
      </c>
      <c r="P1133" t="s">
        <v>50</v>
      </c>
      <c r="Q1133" t="str">
        <f t="shared" si="119"/>
        <v>Completed</v>
      </c>
      <c r="R1133" t="str">
        <f t="shared" si="120"/>
        <v>Marketplace</v>
      </c>
      <c r="S1133" t="str">
        <v>Net Banking</v>
      </c>
      <c r="T1133" t="str">
        <v>Accessories</v>
      </c>
      <c r="U1133" t="str">
        <f t="shared" si="121"/>
        <v>VALID</v>
      </c>
      <c r="V1133" t="str">
        <f t="shared" si="122"/>
        <v>NORMAL</v>
      </c>
      <c r="W1133" t="str">
        <f t="shared" si="123"/>
        <v>Valid</v>
      </c>
      <c r="X1133">
        <f t="shared" si="125"/>
        <v>7187.28</v>
      </c>
      <c r="Y1133">
        <f t="shared" si="124"/>
        <v>6468.5519999999997</v>
      </c>
    </row>
    <row r="1134" spans="1:25" x14ac:dyDescent="0.3">
      <c r="A1134" t="s">
        <v>1482</v>
      </c>
      <c r="B1134" s="1">
        <v>45307</v>
      </c>
      <c r="C1134" t="s">
        <v>262</v>
      </c>
      <c r="D1134" t="s">
        <v>131</v>
      </c>
      <c r="E1134" t="s">
        <v>132</v>
      </c>
      <c r="F1134" t="s">
        <v>40</v>
      </c>
      <c r="G1134" t="s">
        <v>56</v>
      </c>
      <c r="H1134" t="s">
        <v>101</v>
      </c>
      <c r="I1134">
        <v>4</v>
      </c>
      <c r="J1134">
        <v>9910.5400000000009</v>
      </c>
      <c r="K1134">
        <v>0.1</v>
      </c>
      <c r="L1134">
        <v>35677.94</v>
      </c>
      <c r="M1134" t="s">
        <v>48</v>
      </c>
      <c r="N1134" t="s">
        <v>58</v>
      </c>
      <c r="O1134" t="s">
        <v>35</v>
      </c>
      <c r="P1134" t="s">
        <v>59</v>
      </c>
      <c r="Q1134" t="str">
        <f t="shared" si="119"/>
        <v>Cancelled</v>
      </c>
      <c r="R1134" t="str">
        <f t="shared" si="120"/>
        <v>Marketplace</v>
      </c>
      <c r="S1134" t="str">
        <v>Credit Card</v>
      </c>
      <c r="T1134" t="str">
        <v>Furniture</v>
      </c>
      <c r="U1134" t="str">
        <f t="shared" si="121"/>
        <v>VALID</v>
      </c>
      <c r="V1134" t="str">
        <f t="shared" si="122"/>
        <v>NORMAL</v>
      </c>
      <c r="W1134" t="str">
        <f t="shared" si="123"/>
        <v>Valid</v>
      </c>
      <c r="X1134">
        <f t="shared" si="125"/>
        <v>39642.160000000003</v>
      </c>
      <c r="Y1134">
        <f t="shared" si="124"/>
        <v>35677.944000000003</v>
      </c>
    </row>
    <row r="1135" spans="1:25" x14ac:dyDescent="0.3">
      <c r="A1135" t="s">
        <v>1483</v>
      </c>
      <c r="B1135" s="1">
        <v>45459</v>
      </c>
      <c r="C1135" t="s">
        <v>836</v>
      </c>
      <c r="D1135" t="s">
        <v>45</v>
      </c>
      <c r="E1135" t="s">
        <v>46</v>
      </c>
      <c r="F1135" t="s">
        <v>31</v>
      </c>
      <c r="G1135" t="s">
        <v>81</v>
      </c>
      <c r="H1135" t="s">
        <v>135</v>
      </c>
      <c r="I1135">
        <v>5</v>
      </c>
      <c r="J1135">
        <v>1881.66</v>
      </c>
      <c r="K1135">
        <v>0.03</v>
      </c>
      <c r="L1135">
        <v>9126.0499999999993</v>
      </c>
      <c r="M1135" t="s">
        <v>48</v>
      </c>
      <c r="N1135" t="s">
        <v>34</v>
      </c>
      <c r="O1135" t="s">
        <v>65</v>
      </c>
      <c r="P1135" t="s">
        <v>42</v>
      </c>
      <c r="Q1135" t="str">
        <f t="shared" si="119"/>
        <v>Completed</v>
      </c>
      <c r="R1135" t="str">
        <f t="shared" si="120"/>
        <v>Marketplace</v>
      </c>
      <c r="S1135" t="str">
        <v>Cash On Delivery</v>
      </c>
      <c r="T1135" t="str">
        <v>Electronics</v>
      </c>
      <c r="U1135" t="str">
        <f t="shared" si="121"/>
        <v>VALID</v>
      </c>
      <c r="V1135" t="str">
        <f t="shared" si="122"/>
        <v>NORMAL</v>
      </c>
      <c r="W1135" t="str">
        <f t="shared" si="123"/>
        <v>Valid</v>
      </c>
      <c r="X1135">
        <f t="shared" si="125"/>
        <v>9408.3000000000011</v>
      </c>
      <c r="Y1135">
        <f t="shared" si="124"/>
        <v>9126.0510000000013</v>
      </c>
    </row>
    <row r="1136" spans="1:25" x14ac:dyDescent="0.3">
      <c r="A1136" t="s">
        <v>1484</v>
      </c>
      <c r="B1136" s="1">
        <v>45331</v>
      </c>
      <c r="C1136" t="s">
        <v>685</v>
      </c>
      <c r="D1136" t="s">
        <v>38</v>
      </c>
      <c r="E1136" t="s">
        <v>39</v>
      </c>
      <c r="F1136" t="s">
        <v>40</v>
      </c>
      <c r="G1136" t="s">
        <v>32</v>
      </c>
      <c r="H1136" t="s">
        <v>75</v>
      </c>
      <c r="I1136">
        <v>3</v>
      </c>
      <c r="J1136">
        <v>1612.38</v>
      </c>
      <c r="K1136">
        <v>0</v>
      </c>
      <c r="L1136">
        <v>4837.1400000000003</v>
      </c>
      <c r="M1136" t="s">
        <v>23</v>
      </c>
      <c r="N1136" t="s">
        <v>71</v>
      </c>
      <c r="O1136" t="s">
        <v>65</v>
      </c>
      <c r="P1136" t="s">
        <v>102</v>
      </c>
      <c r="Q1136" t="str">
        <f t="shared" si="119"/>
        <v>Completed</v>
      </c>
      <c r="R1136" t="str">
        <f t="shared" si="120"/>
        <v>Online</v>
      </c>
      <c r="S1136" t="str">
        <v>Upi</v>
      </c>
      <c r="T1136" t="str">
        <v>Furniture</v>
      </c>
      <c r="U1136" t="str">
        <f t="shared" si="121"/>
        <v>VALID</v>
      </c>
      <c r="V1136" t="str">
        <f t="shared" si="122"/>
        <v>NORMAL</v>
      </c>
      <c r="W1136" t="str">
        <f t="shared" si="123"/>
        <v>Valid</v>
      </c>
      <c r="X1136">
        <f t="shared" si="125"/>
        <v>4837.1400000000003</v>
      </c>
      <c r="Y1136">
        <f t="shared" si="124"/>
        <v>4837.1400000000003</v>
      </c>
    </row>
    <row r="1137" spans="1:25" x14ac:dyDescent="0.3">
      <c r="A1137" t="s">
        <v>1485</v>
      </c>
      <c r="B1137" s="1">
        <v>46164</v>
      </c>
      <c r="C1137" t="s">
        <v>542</v>
      </c>
      <c r="D1137" t="s">
        <v>121</v>
      </c>
      <c r="E1137" t="s">
        <v>122</v>
      </c>
      <c r="F1137" t="s">
        <v>55</v>
      </c>
      <c r="G1137" t="s">
        <v>56</v>
      </c>
      <c r="H1137" t="s">
        <v>123</v>
      </c>
      <c r="I1137">
        <v>3</v>
      </c>
      <c r="J1137">
        <v>439.65</v>
      </c>
      <c r="K1137">
        <v>0.05</v>
      </c>
      <c r="L1137">
        <v>1253</v>
      </c>
      <c r="M1137" t="s">
        <v>76</v>
      </c>
      <c r="N1137" t="s">
        <v>34</v>
      </c>
      <c r="O1137" t="s">
        <v>65</v>
      </c>
      <c r="P1137" t="s">
        <v>72</v>
      </c>
      <c r="Q1137" t="str">
        <f t="shared" si="119"/>
        <v>Completed</v>
      </c>
      <c r="R1137" t="str">
        <f t="shared" si="120"/>
        <v>Store</v>
      </c>
      <c r="S1137" t="str">
        <v>Cash On Delivery</v>
      </c>
      <c r="T1137" t="str">
        <v>Stationery</v>
      </c>
      <c r="U1137" t="str">
        <f t="shared" si="121"/>
        <v>VALID</v>
      </c>
      <c r="V1137" t="str">
        <f t="shared" si="122"/>
        <v>NORMAL</v>
      </c>
      <c r="W1137" t="str">
        <f t="shared" si="123"/>
        <v>Valid</v>
      </c>
      <c r="X1137">
        <f t="shared" si="125"/>
        <v>1318.9499999999998</v>
      </c>
      <c r="Y1137">
        <f t="shared" si="124"/>
        <v>1253.0024999999998</v>
      </c>
    </row>
    <row r="1138" spans="1:25" x14ac:dyDescent="0.3">
      <c r="A1138" t="s">
        <v>1486</v>
      </c>
      <c r="B1138" s="1">
        <v>45772</v>
      </c>
      <c r="C1138" t="s">
        <v>110</v>
      </c>
      <c r="D1138" t="s">
        <v>96</v>
      </c>
      <c r="E1138" t="s">
        <v>97</v>
      </c>
      <c r="F1138" t="s">
        <v>31</v>
      </c>
      <c r="G1138" t="s">
        <v>81</v>
      </c>
      <c r="H1138" t="s">
        <v>87</v>
      </c>
      <c r="I1138">
        <v>4</v>
      </c>
      <c r="J1138">
        <v>1128.68</v>
      </c>
      <c r="K1138">
        <v>0.05</v>
      </c>
      <c r="L1138">
        <v>4288.9799999999996</v>
      </c>
      <c r="M1138" t="s">
        <v>23</v>
      </c>
      <c r="N1138" t="s">
        <v>24</v>
      </c>
      <c r="O1138" t="s">
        <v>65</v>
      </c>
      <c r="P1138" t="s">
        <v>102</v>
      </c>
      <c r="Q1138" t="str">
        <f t="shared" si="119"/>
        <v>Completed</v>
      </c>
      <c r="R1138" t="str">
        <f t="shared" si="120"/>
        <v>Online</v>
      </c>
      <c r="S1138" t="str">
        <v>Debit Card</v>
      </c>
      <c r="T1138" t="str">
        <v>Electronics</v>
      </c>
      <c r="U1138" t="str">
        <f t="shared" si="121"/>
        <v>VALID</v>
      </c>
      <c r="V1138" t="str">
        <f t="shared" si="122"/>
        <v>NORMAL</v>
      </c>
      <c r="W1138" t="str">
        <f t="shared" si="123"/>
        <v>Valid</v>
      </c>
      <c r="X1138">
        <f t="shared" si="125"/>
        <v>4514.72</v>
      </c>
      <c r="Y1138">
        <f t="shared" si="124"/>
        <v>4288.9840000000004</v>
      </c>
    </row>
    <row r="1139" spans="1:25" x14ac:dyDescent="0.3">
      <c r="A1139" t="s">
        <v>1487</v>
      </c>
      <c r="B1139" s="1">
        <v>45529</v>
      </c>
      <c r="C1139" t="s">
        <v>657</v>
      </c>
      <c r="D1139" t="s">
        <v>79</v>
      </c>
      <c r="E1139" t="s">
        <v>80</v>
      </c>
      <c r="F1139" t="s">
        <v>31</v>
      </c>
      <c r="G1139" t="s">
        <v>81</v>
      </c>
      <c r="H1139" t="s">
        <v>135</v>
      </c>
      <c r="I1139">
        <v>1</v>
      </c>
      <c r="J1139">
        <v>12976.64</v>
      </c>
      <c r="K1139">
        <v>0.03</v>
      </c>
      <c r="L1139">
        <v>12587.34</v>
      </c>
      <c r="M1139" t="s">
        <v>48</v>
      </c>
      <c r="N1139" t="s">
        <v>34</v>
      </c>
      <c r="O1139" t="s">
        <v>65</v>
      </c>
      <c r="P1139" t="s">
        <v>59</v>
      </c>
      <c r="Q1139" t="str">
        <f t="shared" si="119"/>
        <v>Completed</v>
      </c>
      <c r="R1139" t="str">
        <f t="shared" si="120"/>
        <v>Marketplace</v>
      </c>
      <c r="S1139" t="str">
        <v>Cash On Delivery</v>
      </c>
      <c r="T1139" t="str">
        <v>Electronics</v>
      </c>
      <c r="U1139" t="str">
        <f t="shared" si="121"/>
        <v>VALID</v>
      </c>
      <c r="V1139" t="str">
        <f t="shared" si="122"/>
        <v>NORMAL</v>
      </c>
      <c r="W1139" t="str">
        <f t="shared" si="123"/>
        <v>Valid</v>
      </c>
      <c r="X1139">
        <f t="shared" si="125"/>
        <v>12976.64</v>
      </c>
      <c r="Y1139">
        <f t="shared" si="124"/>
        <v>12587.3408</v>
      </c>
    </row>
    <row r="1140" spans="1:25" x14ac:dyDescent="0.3">
      <c r="A1140" t="s">
        <v>1488</v>
      </c>
      <c r="B1140" s="1">
        <v>45884</v>
      </c>
      <c r="C1140" t="s">
        <v>141</v>
      </c>
      <c r="D1140" t="s">
        <v>131</v>
      </c>
      <c r="E1140" t="s">
        <v>132</v>
      </c>
      <c r="F1140" t="s">
        <v>40</v>
      </c>
      <c r="G1140" t="s">
        <v>21</v>
      </c>
      <c r="H1140" t="s">
        <v>93</v>
      </c>
      <c r="I1140">
        <v>5</v>
      </c>
      <c r="J1140">
        <v>9556.7800000000007</v>
      </c>
      <c r="K1140">
        <v>0.03</v>
      </c>
      <c r="L1140">
        <v>46350.38</v>
      </c>
      <c r="M1140" t="s">
        <v>23</v>
      </c>
      <c r="N1140" t="s">
        <v>71</v>
      </c>
      <c r="O1140" t="s">
        <v>65</v>
      </c>
      <c r="P1140" t="s">
        <v>26</v>
      </c>
      <c r="Q1140" t="str">
        <f t="shared" si="119"/>
        <v>Completed</v>
      </c>
      <c r="R1140" t="str">
        <f t="shared" si="120"/>
        <v>Online</v>
      </c>
      <c r="S1140" t="str">
        <v>Upi</v>
      </c>
      <c r="T1140" t="str">
        <v>Furniture</v>
      </c>
      <c r="U1140" t="str">
        <f t="shared" si="121"/>
        <v>VALID</v>
      </c>
      <c r="V1140" t="str">
        <f t="shared" si="122"/>
        <v>NORMAL</v>
      </c>
      <c r="W1140" t="str">
        <f t="shared" si="123"/>
        <v>Valid</v>
      </c>
      <c r="X1140">
        <f t="shared" si="125"/>
        <v>47783.9</v>
      </c>
      <c r="Y1140">
        <f t="shared" si="124"/>
        <v>46350.383000000002</v>
      </c>
    </row>
    <row r="1141" spans="1:25" x14ac:dyDescent="0.3">
      <c r="A1141" t="s">
        <v>1489</v>
      </c>
      <c r="B1141" s="1">
        <v>45762</v>
      </c>
      <c r="C1141" t="s">
        <v>153</v>
      </c>
      <c r="D1141" t="s">
        <v>79</v>
      </c>
      <c r="E1141" t="s">
        <v>80</v>
      </c>
      <c r="F1141" t="s">
        <v>31</v>
      </c>
      <c r="G1141" t="s">
        <v>21</v>
      </c>
      <c r="H1141" t="s">
        <v>126</v>
      </c>
      <c r="I1141">
        <v>5</v>
      </c>
      <c r="J1141">
        <v>13418.8</v>
      </c>
      <c r="K1141">
        <v>0</v>
      </c>
      <c r="L1141">
        <v>67094</v>
      </c>
      <c r="M1141" t="s">
        <v>48</v>
      </c>
      <c r="N1141" t="s">
        <v>24</v>
      </c>
      <c r="O1141" t="s">
        <v>65</v>
      </c>
      <c r="P1141" t="s">
        <v>50</v>
      </c>
      <c r="Q1141" t="str">
        <f t="shared" si="119"/>
        <v>Completed</v>
      </c>
      <c r="R1141" t="str">
        <f t="shared" si="120"/>
        <v>Marketplace</v>
      </c>
      <c r="S1141" t="str">
        <v>Debit Card</v>
      </c>
      <c r="T1141" t="str">
        <v>Electronics</v>
      </c>
      <c r="U1141" t="str">
        <f t="shared" si="121"/>
        <v>VALID</v>
      </c>
      <c r="V1141" t="str">
        <f t="shared" si="122"/>
        <v>NORMAL</v>
      </c>
      <c r="W1141" t="str">
        <f t="shared" si="123"/>
        <v>Valid</v>
      </c>
      <c r="X1141">
        <f t="shared" si="125"/>
        <v>67094</v>
      </c>
      <c r="Y1141">
        <f t="shared" si="124"/>
        <v>67094</v>
      </c>
    </row>
    <row r="1142" spans="1:25" x14ac:dyDescent="0.3">
      <c r="A1142" t="s">
        <v>1490</v>
      </c>
      <c r="B1142" s="1">
        <v>46031</v>
      </c>
      <c r="C1142" t="s">
        <v>550</v>
      </c>
      <c r="D1142" t="s">
        <v>18</v>
      </c>
      <c r="E1142" t="s">
        <v>19</v>
      </c>
      <c r="F1142" t="s">
        <v>20</v>
      </c>
      <c r="G1142" t="s">
        <v>56</v>
      </c>
      <c r="H1142" t="s">
        <v>101</v>
      </c>
      <c r="I1142">
        <v>4</v>
      </c>
      <c r="J1142">
        <v>862.92</v>
      </c>
      <c r="K1142">
        <v>0.15</v>
      </c>
      <c r="L1142">
        <v>2933.93</v>
      </c>
      <c r="M1142" t="s">
        <v>76</v>
      </c>
      <c r="N1142" t="s">
        <v>58</v>
      </c>
      <c r="O1142" t="s">
        <v>25</v>
      </c>
      <c r="P1142" t="s">
        <v>59</v>
      </c>
      <c r="Q1142" t="str">
        <f t="shared" si="119"/>
        <v>Returned</v>
      </c>
      <c r="R1142" t="str">
        <f t="shared" si="120"/>
        <v>Store</v>
      </c>
      <c r="S1142" t="str">
        <v>Credit Card</v>
      </c>
      <c r="T1142" t="str">
        <v>Accessories</v>
      </c>
      <c r="U1142" t="str">
        <f t="shared" si="121"/>
        <v>VALID</v>
      </c>
      <c r="V1142" t="str">
        <f t="shared" si="122"/>
        <v>NORMAL</v>
      </c>
      <c r="W1142" t="str">
        <f t="shared" si="123"/>
        <v>Valid</v>
      </c>
      <c r="X1142">
        <f t="shared" si="125"/>
        <v>3451.68</v>
      </c>
      <c r="Y1142">
        <f t="shared" si="124"/>
        <v>2933.9279999999999</v>
      </c>
    </row>
    <row r="1143" spans="1:25" x14ac:dyDescent="0.3">
      <c r="A1143" t="s">
        <v>1491</v>
      </c>
      <c r="B1143" s="1">
        <v>45479</v>
      </c>
      <c r="C1143" t="s">
        <v>238</v>
      </c>
      <c r="D1143" t="s">
        <v>96</v>
      </c>
      <c r="E1143" t="s">
        <v>97</v>
      </c>
      <c r="F1143" t="s">
        <v>31</v>
      </c>
      <c r="G1143" t="s">
        <v>32</v>
      </c>
      <c r="H1143" t="s">
        <v>68</v>
      </c>
      <c r="I1143">
        <v>4</v>
      </c>
      <c r="J1143">
        <v>1122.53</v>
      </c>
      <c r="K1143">
        <v>0.08</v>
      </c>
      <c r="L1143">
        <v>4130.91</v>
      </c>
      <c r="M1143" t="s">
        <v>76</v>
      </c>
      <c r="N1143" t="s">
        <v>71</v>
      </c>
      <c r="O1143" t="s">
        <v>65</v>
      </c>
      <c r="P1143" t="s">
        <v>42</v>
      </c>
      <c r="Q1143" t="str">
        <f t="shared" si="119"/>
        <v>Completed</v>
      </c>
      <c r="R1143" t="str">
        <f t="shared" si="120"/>
        <v>Store</v>
      </c>
      <c r="S1143" t="str">
        <v>Upi</v>
      </c>
      <c r="T1143" t="str">
        <v>Electronics</v>
      </c>
      <c r="U1143" t="str">
        <f t="shared" si="121"/>
        <v>VALID</v>
      </c>
      <c r="V1143" t="str">
        <f t="shared" si="122"/>
        <v>NORMAL</v>
      </c>
      <c r="W1143" t="str">
        <f t="shared" si="123"/>
        <v>Valid</v>
      </c>
      <c r="X1143">
        <f t="shared" si="125"/>
        <v>4490.12</v>
      </c>
      <c r="Y1143">
        <f t="shared" si="124"/>
        <v>4130.9103999999998</v>
      </c>
    </row>
    <row r="1144" spans="1:25" x14ac:dyDescent="0.3">
      <c r="A1144" t="s">
        <v>1492</v>
      </c>
      <c r="B1144" s="1">
        <v>45929</v>
      </c>
      <c r="C1144" t="s">
        <v>470</v>
      </c>
      <c r="D1144" t="s">
        <v>53</v>
      </c>
      <c r="E1144" t="s">
        <v>54</v>
      </c>
      <c r="F1144" t="s">
        <v>55</v>
      </c>
      <c r="G1144" t="s">
        <v>81</v>
      </c>
      <c r="H1144" t="s">
        <v>82</v>
      </c>
      <c r="I1144">
        <v>4</v>
      </c>
      <c r="J1144">
        <v>237.34</v>
      </c>
      <c r="L1144">
        <v>873.41</v>
      </c>
      <c r="M1144" t="s">
        <v>23</v>
      </c>
      <c r="N1144" t="s">
        <v>58</v>
      </c>
      <c r="O1144" t="s">
        <v>65</v>
      </c>
      <c r="P1144" t="s">
        <v>102</v>
      </c>
      <c r="Q1144" t="str">
        <f t="shared" si="119"/>
        <v>Completed</v>
      </c>
      <c r="R1144" t="str">
        <f t="shared" si="120"/>
        <v>Online</v>
      </c>
      <c r="S1144" t="str">
        <v>Credit Card</v>
      </c>
      <c r="T1144" t="str">
        <v>Stationery</v>
      </c>
      <c r="U1144" t="str">
        <f t="shared" si="121"/>
        <v>VALID</v>
      </c>
      <c r="V1144" t="str">
        <f t="shared" si="122"/>
        <v>NORMAL</v>
      </c>
      <c r="W1144" t="str">
        <f t="shared" si="123"/>
        <v>Valid</v>
      </c>
      <c r="X1144">
        <f t="shared" si="125"/>
        <v>949.36</v>
      </c>
      <c r="Y1144">
        <f t="shared" si="124"/>
        <v>949.36</v>
      </c>
    </row>
    <row r="1145" spans="1:25" x14ac:dyDescent="0.3">
      <c r="A1145" t="s">
        <v>1493</v>
      </c>
      <c r="B1145" s="1">
        <v>46139</v>
      </c>
      <c r="C1145" t="s">
        <v>946</v>
      </c>
      <c r="D1145" t="s">
        <v>62</v>
      </c>
      <c r="E1145" t="s">
        <v>63</v>
      </c>
      <c r="F1145" t="s">
        <v>31</v>
      </c>
      <c r="G1145" t="s">
        <v>32</v>
      </c>
      <c r="H1145" t="s">
        <v>68</v>
      </c>
      <c r="I1145">
        <v>3</v>
      </c>
      <c r="J1145">
        <v>2896.54</v>
      </c>
      <c r="K1145">
        <v>0.1</v>
      </c>
      <c r="L1145">
        <v>7820.66</v>
      </c>
      <c r="M1145" t="s">
        <v>48</v>
      </c>
      <c r="N1145" t="s">
        <v>71</v>
      </c>
      <c r="O1145" t="s">
        <v>65</v>
      </c>
      <c r="P1145" t="s">
        <v>59</v>
      </c>
      <c r="Q1145" t="str">
        <f t="shared" si="119"/>
        <v>Completed</v>
      </c>
      <c r="R1145" t="str">
        <f t="shared" si="120"/>
        <v>Marketplace</v>
      </c>
      <c r="S1145" t="str">
        <v>Upi</v>
      </c>
      <c r="T1145" t="str">
        <v>Electronics</v>
      </c>
      <c r="U1145" t="str">
        <f t="shared" si="121"/>
        <v>VALID</v>
      </c>
      <c r="V1145" t="str">
        <f t="shared" si="122"/>
        <v>NORMAL</v>
      </c>
      <c r="W1145" t="str">
        <f t="shared" si="123"/>
        <v>Valid</v>
      </c>
      <c r="X1145">
        <f t="shared" si="125"/>
        <v>8689.619999999999</v>
      </c>
      <c r="Y1145">
        <f t="shared" si="124"/>
        <v>7820.6579999999994</v>
      </c>
    </row>
    <row r="1146" spans="1:25" x14ac:dyDescent="0.3">
      <c r="A1146" t="s">
        <v>1494</v>
      </c>
      <c r="B1146" s="1">
        <v>46200</v>
      </c>
      <c r="C1146" t="s">
        <v>493</v>
      </c>
      <c r="D1146" t="s">
        <v>96</v>
      </c>
      <c r="E1146" t="s">
        <v>97</v>
      </c>
      <c r="F1146" t="s">
        <v>31</v>
      </c>
      <c r="G1146" t="s">
        <v>56</v>
      </c>
      <c r="H1146" t="s">
        <v>123</v>
      </c>
      <c r="I1146">
        <v>2</v>
      </c>
      <c r="J1146">
        <v>1279.94</v>
      </c>
      <c r="K1146">
        <v>0</v>
      </c>
      <c r="L1146">
        <v>2559.88</v>
      </c>
      <c r="M1146" t="s">
        <v>48</v>
      </c>
      <c r="N1146" t="s">
        <v>49</v>
      </c>
      <c r="O1146" t="s">
        <v>35</v>
      </c>
      <c r="P1146" t="s">
        <v>111</v>
      </c>
      <c r="Q1146" t="str">
        <f t="shared" si="119"/>
        <v>Cancelled</v>
      </c>
      <c r="R1146" t="str">
        <f t="shared" si="120"/>
        <v>Marketplace</v>
      </c>
      <c r="S1146" t="str">
        <v>Net Banking</v>
      </c>
      <c r="T1146" t="str">
        <v>Electronics</v>
      </c>
      <c r="U1146" t="str">
        <f t="shared" si="121"/>
        <v>VALID</v>
      </c>
      <c r="V1146" t="str">
        <f t="shared" si="122"/>
        <v>NORMAL</v>
      </c>
      <c r="W1146" t="str">
        <f t="shared" si="123"/>
        <v>Valid</v>
      </c>
      <c r="X1146">
        <f t="shared" si="125"/>
        <v>2559.88</v>
      </c>
      <c r="Y1146">
        <f t="shared" si="124"/>
        <v>2559.88</v>
      </c>
    </row>
    <row r="1147" spans="1:25" x14ac:dyDescent="0.3">
      <c r="A1147" t="s">
        <v>1495</v>
      </c>
      <c r="B1147" s="1">
        <v>45943</v>
      </c>
      <c r="C1147" t="s">
        <v>245</v>
      </c>
      <c r="D1147" t="s">
        <v>18</v>
      </c>
      <c r="E1147" t="s">
        <v>19</v>
      </c>
      <c r="F1147" t="s">
        <v>20</v>
      </c>
      <c r="G1147" t="s">
        <v>81</v>
      </c>
      <c r="H1147" t="s">
        <v>82</v>
      </c>
      <c r="I1147">
        <v>4</v>
      </c>
      <c r="J1147">
        <v>870.93</v>
      </c>
      <c r="K1147">
        <v>0</v>
      </c>
      <c r="L1147">
        <v>3483.72</v>
      </c>
      <c r="M1147" t="s">
        <v>76</v>
      </c>
      <c r="N1147" t="s">
        <v>58</v>
      </c>
      <c r="O1147" t="s">
        <v>65</v>
      </c>
      <c r="P1147" t="s">
        <v>59</v>
      </c>
      <c r="Q1147" t="str">
        <f t="shared" si="119"/>
        <v>Completed</v>
      </c>
      <c r="R1147" t="str">
        <f t="shared" si="120"/>
        <v>Store</v>
      </c>
      <c r="S1147" t="str">
        <v>Credit Card</v>
      </c>
      <c r="T1147" t="str">
        <v>Accessories</v>
      </c>
      <c r="U1147" t="str">
        <f t="shared" si="121"/>
        <v>VALID</v>
      </c>
      <c r="V1147" t="str">
        <f t="shared" si="122"/>
        <v>NORMAL</v>
      </c>
      <c r="W1147" t="str">
        <f t="shared" si="123"/>
        <v>Valid</v>
      </c>
      <c r="X1147">
        <f t="shared" si="125"/>
        <v>3483.72</v>
      </c>
      <c r="Y1147">
        <f t="shared" si="124"/>
        <v>3483.72</v>
      </c>
    </row>
    <row r="1148" spans="1:25" x14ac:dyDescent="0.3">
      <c r="A1148" t="s">
        <v>1496</v>
      </c>
      <c r="B1148" s="1">
        <v>45602</v>
      </c>
      <c r="C1148" t="s">
        <v>295</v>
      </c>
      <c r="D1148" t="s">
        <v>53</v>
      </c>
      <c r="E1148" t="s">
        <v>54</v>
      </c>
      <c r="F1148" t="s">
        <v>55</v>
      </c>
      <c r="G1148" t="s">
        <v>21</v>
      </c>
      <c r="H1148" t="s">
        <v>22</v>
      </c>
      <c r="I1148">
        <v>2</v>
      </c>
      <c r="J1148">
        <v>217.13</v>
      </c>
      <c r="K1148">
        <v>0.1</v>
      </c>
      <c r="L1148">
        <v>390.83</v>
      </c>
      <c r="M1148" t="s">
        <v>76</v>
      </c>
      <c r="N1148" t="s">
        <v>49</v>
      </c>
      <c r="O1148" t="s">
        <v>25</v>
      </c>
      <c r="P1148" t="s">
        <v>42</v>
      </c>
      <c r="Q1148" t="str">
        <f t="shared" si="119"/>
        <v>Returned</v>
      </c>
      <c r="R1148" t="str">
        <f t="shared" si="120"/>
        <v>Store</v>
      </c>
      <c r="S1148" t="str">
        <v>Net Banking</v>
      </c>
      <c r="T1148" t="str">
        <v>Stationery</v>
      </c>
      <c r="U1148" t="str">
        <f t="shared" si="121"/>
        <v>VALID</v>
      </c>
      <c r="V1148" t="str">
        <f t="shared" si="122"/>
        <v>NORMAL</v>
      </c>
      <c r="W1148" t="str">
        <f t="shared" si="123"/>
        <v>Valid</v>
      </c>
      <c r="X1148">
        <f t="shared" si="125"/>
        <v>434.26</v>
      </c>
      <c r="Y1148">
        <f t="shared" si="124"/>
        <v>390.834</v>
      </c>
    </row>
    <row r="1149" spans="1:25" x14ac:dyDescent="0.3">
      <c r="A1149" t="s">
        <v>1497</v>
      </c>
      <c r="B1149" s="1">
        <v>45783</v>
      </c>
      <c r="C1149" t="s">
        <v>1498</v>
      </c>
      <c r="D1149" t="s">
        <v>53</v>
      </c>
      <c r="E1149" t="s">
        <v>54</v>
      </c>
      <c r="F1149" t="s">
        <v>55</v>
      </c>
      <c r="G1149" t="s">
        <v>21</v>
      </c>
      <c r="H1149" t="s">
        <v>126</v>
      </c>
      <c r="I1149">
        <v>4</v>
      </c>
      <c r="J1149">
        <v>206.4</v>
      </c>
      <c r="K1149">
        <v>0.15</v>
      </c>
      <c r="L1149">
        <v>701.76</v>
      </c>
      <c r="M1149" t="s">
        <v>76</v>
      </c>
      <c r="N1149" t="s">
        <v>24</v>
      </c>
      <c r="O1149" t="s">
        <v>65</v>
      </c>
      <c r="P1149" t="s">
        <v>116</v>
      </c>
      <c r="Q1149" t="str">
        <f t="shared" si="119"/>
        <v>Completed</v>
      </c>
      <c r="R1149" t="str">
        <f t="shared" si="120"/>
        <v>Store</v>
      </c>
      <c r="S1149" t="str">
        <v>Debit Card</v>
      </c>
      <c r="T1149" t="str">
        <v>Stationery</v>
      </c>
      <c r="U1149" t="str">
        <f t="shared" si="121"/>
        <v>VALID</v>
      </c>
      <c r="V1149" t="str">
        <f t="shared" si="122"/>
        <v>NORMAL</v>
      </c>
      <c r="W1149" t="str">
        <f t="shared" si="123"/>
        <v>Valid</v>
      </c>
      <c r="X1149">
        <f t="shared" si="125"/>
        <v>825.6</v>
      </c>
      <c r="Y1149">
        <f t="shared" si="124"/>
        <v>701.76</v>
      </c>
    </row>
    <row r="1150" spans="1:25" x14ac:dyDescent="0.3">
      <c r="A1150" t="s">
        <v>1499</v>
      </c>
      <c r="B1150" s="1">
        <v>45967</v>
      </c>
      <c r="C1150" t="s">
        <v>186</v>
      </c>
      <c r="D1150" t="s">
        <v>170</v>
      </c>
      <c r="E1150" t="s">
        <v>171</v>
      </c>
      <c r="F1150" t="s">
        <v>31</v>
      </c>
      <c r="G1150" t="s">
        <v>21</v>
      </c>
      <c r="H1150" t="s">
        <v>126</v>
      </c>
      <c r="I1150">
        <v>5</v>
      </c>
      <c r="J1150">
        <v>59836.21</v>
      </c>
      <c r="L1150">
        <v>269262.95</v>
      </c>
      <c r="M1150" t="s">
        <v>23</v>
      </c>
      <c r="N1150" t="s">
        <v>71</v>
      </c>
      <c r="O1150" t="s">
        <v>65</v>
      </c>
      <c r="P1150" t="s">
        <v>102</v>
      </c>
      <c r="Q1150" t="str">
        <f t="shared" si="119"/>
        <v>Completed</v>
      </c>
      <c r="R1150" t="str">
        <f t="shared" si="120"/>
        <v>Online</v>
      </c>
      <c r="S1150" t="str">
        <v>Upi</v>
      </c>
      <c r="T1150" t="str">
        <v>Electronics</v>
      </c>
      <c r="U1150" t="str">
        <f t="shared" si="121"/>
        <v>VALID</v>
      </c>
      <c r="V1150" t="str">
        <f t="shared" si="122"/>
        <v>NORMAL</v>
      </c>
      <c r="W1150" t="str">
        <f t="shared" si="123"/>
        <v>Valid</v>
      </c>
      <c r="X1150">
        <f t="shared" si="125"/>
        <v>299181.05</v>
      </c>
      <c r="Y1150">
        <f t="shared" si="124"/>
        <v>299181.05</v>
      </c>
    </row>
    <row r="1151" spans="1:25" x14ac:dyDescent="0.3">
      <c r="A1151" t="s">
        <v>1500</v>
      </c>
      <c r="B1151" s="1">
        <v>46004</v>
      </c>
      <c r="C1151" t="s">
        <v>488</v>
      </c>
      <c r="D1151" t="s">
        <v>131</v>
      </c>
      <c r="E1151" t="s">
        <v>132</v>
      </c>
      <c r="F1151" t="s">
        <v>40</v>
      </c>
      <c r="G1151" t="s">
        <v>21</v>
      </c>
      <c r="H1151" t="s">
        <v>93</v>
      </c>
      <c r="I1151">
        <v>2</v>
      </c>
      <c r="J1151">
        <v>9977.24</v>
      </c>
      <c r="K1151">
        <v>0.03</v>
      </c>
      <c r="L1151">
        <v>19355.849999999999</v>
      </c>
      <c r="M1151" t="s">
        <v>48</v>
      </c>
      <c r="N1151" t="s">
        <v>24</v>
      </c>
      <c r="O1151" t="s">
        <v>65</v>
      </c>
      <c r="P1151" t="s">
        <v>59</v>
      </c>
      <c r="Q1151" t="str">
        <f t="shared" si="119"/>
        <v>Completed</v>
      </c>
      <c r="R1151" t="str">
        <f t="shared" si="120"/>
        <v>Marketplace</v>
      </c>
      <c r="S1151" t="str">
        <v>Debit Card</v>
      </c>
      <c r="T1151" t="str">
        <v>Furniture</v>
      </c>
      <c r="U1151" t="str">
        <f t="shared" si="121"/>
        <v>VALID</v>
      </c>
      <c r="V1151" t="str">
        <f t="shared" si="122"/>
        <v>NORMAL</v>
      </c>
      <c r="W1151" t="str">
        <f t="shared" si="123"/>
        <v>Valid</v>
      </c>
      <c r="X1151">
        <f t="shared" si="125"/>
        <v>19954.48</v>
      </c>
      <c r="Y1151">
        <f t="shared" si="124"/>
        <v>19355.845600000001</v>
      </c>
    </row>
    <row r="1152" spans="1:25" x14ac:dyDescent="0.3">
      <c r="A1152" t="s">
        <v>1501</v>
      </c>
      <c r="B1152" s="1">
        <v>45699</v>
      </c>
      <c r="C1152" t="s">
        <v>120</v>
      </c>
      <c r="D1152" t="s">
        <v>53</v>
      </c>
      <c r="E1152" t="s">
        <v>54</v>
      </c>
      <c r="F1152" t="s">
        <v>55</v>
      </c>
      <c r="G1152" t="s">
        <v>81</v>
      </c>
      <c r="H1152" t="s">
        <v>87</v>
      </c>
      <c r="I1152">
        <v>3</v>
      </c>
      <c r="J1152">
        <v>217.34</v>
      </c>
      <c r="K1152">
        <v>0.08</v>
      </c>
      <c r="L1152">
        <v>599.86</v>
      </c>
      <c r="M1152" t="s">
        <v>48</v>
      </c>
      <c r="N1152" t="s">
        <v>24</v>
      </c>
      <c r="O1152" t="s">
        <v>65</v>
      </c>
      <c r="P1152" t="s">
        <v>42</v>
      </c>
      <c r="Q1152" t="str">
        <f t="shared" si="119"/>
        <v>Completed</v>
      </c>
      <c r="R1152" t="str">
        <f t="shared" si="120"/>
        <v>Marketplace</v>
      </c>
      <c r="S1152" t="str">
        <v>Debit Card</v>
      </c>
      <c r="T1152" t="str">
        <v>Stationery</v>
      </c>
      <c r="U1152" t="str">
        <f t="shared" si="121"/>
        <v>VALID</v>
      </c>
      <c r="V1152" t="str">
        <f t="shared" si="122"/>
        <v>NORMAL</v>
      </c>
      <c r="W1152" t="str">
        <f t="shared" si="123"/>
        <v>Valid</v>
      </c>
      <c r="X1152">
        <f t="shared" si="125"/>
        <v>652.02</v>
      </c>
      <c r="Y1152">
        <f t="shared" si="124"/>
        <v>599.85839999999996</v>
      </c>
    </row>
    <row r="1153" spans="1:25" x14ac:dyDescent="0.3">
      <c r="A1153" t="s">
        <v>1502</v>
      </c>
      <c r="B1153" s="1">
        <v>46127</v>
      </c>
      <c r="C1153" t="s">
        <v>179</v>
      </c>
      <c r="D1153" t="s">
        <v>170</v>
      </c>
      <c r="E1153" t="s">
        <v>171</v>
      </c>
      <c r="F1153" t="s">
        <v>31</v>
      </c>
      <c r="G1153" t="s">
        <v>21</v>
      </c>
      <c r="H1153" t="s">
        <v>41</v>
      </c>
      <c r="I1153">
        <v>1</v>
      </c>
      <c r="J1153">
        <v>62853.35</v>
      </c>
      <c r="K1153">
        <v>0.15</v>
      </c>
      <c r="L1153">
        <v>53425.35</v>
      </c>
      <c r="M1153" t="s">
        <v>76</v>
      </c>
      <c r="N1153" t="s">
        <v>58</v>
      </c>
      <c r="O1153" t="s">
        <v>25</v>
      </c>
      <c r="P1153" t="s">
        <v>72</v>
      </c>
      <c r="Q1153" t="str">
        <f t="shared" si="119"/>
        <v>Returned</v>
      </c>
      <c r="R1153" t="str">
        <f t="shared" si="120"/>
        <v>Store</v>
      </c>
      <c r="S1153" t="str">
        <v>Credit Card</v>
      </c>
      <c r="T1153" t="str">
        <v>Electronics</v>
      </c>
      <c r="U1153" t="str">
        <f t="shared" si="121"/>
        <v>VALID</v>
      </c>
      <c r="V1153" t="str">
        <f t="shared" si="122"/>
        <v>NORMAL</v>
      </c>
      <c r="W1153" t="str">
        <f t="shared" si="123"/>
        <v>Valid</v>
      </c>
      <c r="X1153">
        <f t="shared" si="125"/>
        <v>62853.35</v>
      </c>
      <c r="Y1153">
        <f t="shared" si="124"/>
        <v>53425.347500000003</v>
      </c>
    </row>
    <row r="1154" spans="1:25" x14ac:dyDescent="0.3">
      <c r="A1154" t="s">
        <v>1503</v>
      </c>
      <c r="B1154" s="1">
        <v>45719</v>
      </c>
      <c r="C1154" t="s">
        <v>426</v>
      </c>
      <c r="D1154" t="s">
        <v>45</v>
      </c>
      <c r="E1154" t="s">
        <v>46</v>
      </c>
      <c r="F1154" t="s">
        <v>31</v>
      </c>
      <c r="G1154" t="s">
        <v>81</v>
      </c>
      <c r="H1154" t="s">
        <v>87</v>
      </c>
      <c r="I1154">
        <v>1</v>
      </c>
      <c r="J1154">
        <v>1943.99</v>
      </c>
      <c r="K1154">
        <v>0.03</v>
      </c>
      <c r="L1154">
        <v>1885.67</v>
      </c>
      <c r="M1154" t="s">
        <v>48</v>
      </c>
      <c r="N1154" t="s">
        <v>71</v>
      </c>
      <c r="O1154" t="s">
        <v>65</v>
      </c>
      <c r="P1154" t="s">
        <v>72</v>
      </c>
      <c r="Q1154" t="str">
        <f t="shared" si="119"/>
        <v>Completed</v>
      </c>
      <c r="R1154" t="str">
        <f t="shared" si="120"/>
        <v>Marketplace</v>
      </c>
      <c r="S1154" t="str">
        <v>Upi</v>
      </c>
      <c r="T1154" t="str">
        <v>Electronics</v>
      </c>
      <c r="U1154" t="str">
        <f t="shared" si="121"/>
        <v>VALID</v>
      </c>
      <c r="V1154" t="str">
        <f t="shared" si="122"/>
        <v>NORMAL</v>
      </c>
      <c r="W1154" t="str">
        <f t="shared" si="123"/>
        <v>Valid</v>
      </c>
      <c r="X1154">
        <f t="shared" si="125"/>
        <v>1943.99</v>
      </c>
      <c r="Y1154">
        <f t="shared" si="124"/>
        <v>1885.6703</v>
      </c>
    </row>
    <row r="1155" spans="1:25" x14ac:dyDescent="0.3">
      <c r="A1155" t="s">
        <v>1504</v>
      </c>
      <c r="B1155" s="1">
        <v>46111</v>
      </c>
      <c r="C1155" t="s">
        <v>695</v>
      </c>
      <c r="D1155" t="s">
        <v>29</v>
      </c>
      <c r="E1155" t="s">
        <v>30</v>
      </c>
      <c r="F1155" t="s">
        <v>31</v>
      </c>
      <c r="G1155" t="s">
        <v>21</v>
      </c>
      <c r="H1155" t="s">
        <v>126</v>
      </c>
      <c r="I1155">
        <v>5</v>
      </c>
      <c r="J1155">
        <v>3201.17</v>
      </c>
      <c r="K1155">
        <v>0.05</v>
      </c>
      <c r="L1155">
        <v>15205.56</v>
      </c>
      <c r="M1155" t="s">
        <v>76</v>
      </c>
      <c r="N1155" t="s">
        <v>71</v>
      </c>
      <c r="O1155" t="s">
        <v>65</v>
      </c>
      <c r="P1155" t="s">
        <v>116</v>
      </c>
      <c r="Q1155" t="str">
        <f t="shared" ref="Q1155:Q1218" si="126">PROPER(O1155)</f>
        <v>Completed</v>
      </c>
      <c r="R1155" t="str">
        <f t="shared" ref="R1155:R1218" si="127">PROPER(M1155)</f>
        <v>Store</v>
      </c>
      <c r="S1155" t="str">
        <v>Upi</v>
      </c>
      <c r="T1155" t="str">
        <v>Electronics</v>
      </c>
      <c r="U1155" t="str">
        <f t="shared" ref="U1155:U1218" si="128">IF(I1155&lt;=0,"INVALID","VALID")</f>
        <v>VALID</v>
      </c>
      <c r="V1155" t="str">
        <f t="shared" ref="V1155:V1218" si="129">IF(I1155&gt;100,"REVIEW","NORMAL")</f>
        <v>NORMAL</v>
      </c>
      <c r="W1155" t="str">
        <f t="shared" ref="W1155:W1218" si="130">IF(OR(K1155&lt;0,K1155&gt;1),"Invalid","Valid")</f>
        <v>Valid</v>
      </c>
      <c r="X1155">
        <f t="shared" si="125"/>
        <v>16005.85</v>
      </c>
      <c r="Y1155">
        <f t="shared" ref="Y1155:Y1218" si="131">I1155*J1155-(I1155*J1155*K1155)</f>
        <v>15205.557500000001</v>
      </c>
    </row>
    <row r="1156" spans="1:25" x14ac:dyDescent="0.3">
      <c r="A1156" t="s">
        <v>1505</v>
      </c>
      <c r="B1156" s="1">
        <v>45811</v>
      </c>
      <c r="C1156" t="s">
        <v>44</v>
      </c>
      <c r="D1156" t="s">
        <v>29</v>
      </c>
      <c r="E1156" t="s">
        <v>30</v>
      </c>
      <c r="F1156" t="s">
        <v>31</v>
      </c>
      <c r="G1156" t="s">
        <v>21</v>
      </c>
      <c r="H1156" t="s">
        <v>126</v>
      </c>
      <c r="I1156">
        <v>1</v>
      </c>
      <c r="J1156">
        <v>3216.66</v>
      </c>
      <c r="K1156">
        <v>0.05</v>
      </c>
      <c r="L1156">
        <v>3055.83</v>
      </c>
      <c r="M1156" t="s">
        <v>48</v>
      </c>
      <c r="N1156" t="s">
        <v>58</v>
      </c>
      <c r="O1156" t="s">
        <v>25</v>
      </c>
      <c r="P1156" t="s">
        <v>26</v>
      </c>
      <c r="Q1156" t="str">
        <f t="shared" si="126"/>
        <v>Returned</v>
      </c>
      <c r="R1156" t="str">
        <f t="shared" si="127"/>
        <v>Marketplace</v>
      </c>
      <c r="S1156" t="str">
        <v>Credit Card</v>
      </c>
      <c r="T1156" t="str">
        <v>Electronics</v>
      </c>
      <c r="U1156" t="str">
        <f t="shared" si="128"/>
        <v>VALID</v>
      </c>
      <c r="V1156" t="str">
        <f t="shared" si="129"/>
        <v>NORMAL</v>
      </c>
      <c r="W1156" t="str">
        <f t="shared" si="130"/>
        <v>Valid</v>
      </c>
      <c r="X1156">
        <f t="shared" ref="X1156:X1219" si="132">I1156*J1156</f>
        <v>3216.66</v>
      </c>
      <c r="Y1156">
        <f t="shared" si="131"/>
        <v>3055.8269999999998</v>
      </c>
    </row>
    <row r="1157" spans="1:25" x14ac:dyDescent="0.3">
      <c r="A1157" t="s">
        <v>1506</v>
      </c>
      <c r="B1157" s="1">
        <v>46065</v>
      </c>
      <c r="C1157" t="s">
        <v>988</v>
      </c>
      <c r="D1157" t="s">
        <v>18</v>
      </c>
      <c r="E1157" t="s">
        <v>19</v>
      </c>
      <c r="F1157" t="s">
        <v>20</v>
      </c>
      <c r="G1157" t="s">
        <v>21</v>
      </c>
      <c r="H1157" t="s">
        <v>126</v>
      </c>
      <c r="I1157">
        <v>1</v>
      </c>
      <c r="J1157">
        <v>864.03</v>
      </c>
      <c r="K1157">
        <v>0.1</v>
      </c>
      <c r="L1157">
        <v>777.63</v>
      </c>
      <c r="M1157" t="s">
        <v>23</v>
      </c>
      <c r="N1157" t="s">
        <v>71</v>
      </c>
      <c r="O1157" t="s">
        <v>35</v>
      </c>
      <c r="P1157" t="s">
        <v>26</v>
      </c>
      <c r="Q1157" t="str">
        <f t="shared" si="126"/>
        <v>Cancelled</v>
      </c>
      <c r="R1157" t="str">
        <f t="shared" si="127"/>
        <v>Online</v>
      </c>
      <c r="S1157" t="str">
        <v>Upi</v>
      </c>
      <c r="T1157" t="str">
        <v>Accessories</v>
      </c>
      <c r="U1157" t="str">
        <f t="shared" si="128"/>
        <v>VALID</v>
      </c>
      <c r="V1157" t="str">
        <f t="shared" si="129"/>
        <v>NORMAL</v>
      </c>
      <c r="W1157" t="str">
        <f t="shared" si="130"/>
        <v>Valid</v>
      </c>
      <c r="X1157">
        <f t="shared" si="132"/>
        <v>864.03</v>
      </c>
      <c r="Y1157">
        <f t="shared" si="131"/>
        <v>777.62699999999995</v>
      </c>
    </row>
    <row r="1158" spans="1:25" x14ac:dyDescent="0.3">
      <c r="A1158" t="s">
        <v>1507</v>
      </c>
      <c r="B1158" s="1">
        <v>45727</v>
      </c>
      <c r="C1158" t="s">
        <v>631</v>
      </c>
      <c r="D1158" t="s">
        <v>29</v>
      </c>
      <c r="E1158" t="s">
        <v>30</v>
      </c>
      <c r="F1158" t="s">
        <v>31</v>
      </c>
      <c r="G1158" t="s">
        <v>32</v>
      </c>
      <c r="H1158" t="s">
        <v>47</v>
      </c>
      <c r="I1158">
        <v>3</v>
      </c>
      <c r="J1158">
        <v>3288.29</v>
      </c>
      <c r="K1158">
        <v>0</v>
      </c>
      <c r="L1158">
        <v>9864.8700000000008</v>
      </c>
      <c r="M1158" t="s">
        <v>76</v>
      </c>
      <c r="N1158" t="s">
        <v>49</v>
      </c>
      <c r="O1158" t="s">
        <v>65</v>
      </c>
      <c r="P1158" t="s">
        <v>102</v>
      </c>
      <c r="Q1158" t="str">
        <f t="shared" si="126"/>
        <v>Completed</v>
      </c>
      <c r="R1158" t="str">
        <f t="shared" si="127"/>
        <v>Store</v>
      </c>
      <c r="S1158" t="str">
        <v>Net Banking</v>
      </c>
      <c r="T1158" t="str">
        <v>Electronics</v>
      </c>
      <c r="U1158" t="str">
        <f t="shared" si="128"/>
        <v>VALID</v>
      </c>
      <c r="V1158" t="str">
        <f t="shared" si="129"/>
        <v>NORMAL</v>
      </c>
      <c r="W1158" t="str">
        <f t="shared" si="130"/>
        <v>Valid</v>
      </c>
      <c r="X1158">
        <f t="shared" si="132"/>
        <v>9864.869999999999</v>
      </c>
      <c r="Y1158">
        <f t="shared" si="131"/>
        <v>9864.869999999999</v>
      </c>
    </row>
    <row r="1159" spans="1:25" x14ac:dyDescent="0.3">
      <c r="A1159" t="s">
        <v>1508</v>
      </c>
      <c r="B1159" s="1">
        <v>45345</v>
      </c>
      <c r="C1159" t="s">
        <v>409</v>
      </c>
      <c r="D1159" t="s">
        <v>85</v>
      </c>
      <c r="E1159" t="s">
        <v>86</v>
      </c>
      <c r="F1159" t="s">
        <v>20</v>
      </c>
      <c r="G1159" t="s">
        <v>56</v>
      </c>
      <c r="H1159" t="s">
        <v>64</v>
      </c>
      <c r="I1159">
        <v>1</v>
      </c>
      <c r="J1159">
        <v>1704.06</v>
      </c>
      <c r="K1159">
        <v>0.08</v>
      </c>
      <c r="L1159">
        <v>1567.74</v>
      </c>
      <c r="M1159" t="s">
        <v>23</v>
      </c>
      <c r="N1159" t="s">
        <v>58</v>
      </c>
      <c r="O1159" t="s">
        <v>65</v>
      </c>
      <c r="P1159" t="s">
        <v>111</v>
      </c>
      <c r="Q1159" t="str">
        <f t="shared" si="126"/>
        <v>Completed</v>
      </c>
      <c r="R1159" t="str">
        <f t="shared" si="127"/>
        <v>Online</v>
      </c>
      <c r="S1159" t="str">
        <v>Credit Card</v>
      </c>
      <c r="T1159" t="str">
        <v>Accessories</v>
      </c>
      <c r="U1159" t="str">
        <f t="shared" si="128"/>
        <v>VALID</v>
      </c>
      <c r="V1159" t="str">
        <f t="shared" si="129"/>
        <v>NORMAL</v>
      </c>
      <c r="W1159" t="str">
        <f t="shared" si="130"/>
        <v>Valid</v>
      </c>
      <c r="X1159">
        <f t="shared" si="132"/>
        <v>1704.06</v>
      </c>
      <c r="Y1159">
        <f t="shared" si="131"/>
        <v>1567.7351999999998</v>
      </c>
    </row>
    <row r="1160" spans="1:25" x14ac:dyDescent="0.3">
      <c r="A1160" t="s">
        <v>1509</v>
      </c>
      <c r="B1160" s="1">
        <v>45921</v>
      </c>
      <c r="C1160" t="s">
        <v>416</v>
      </c>
      <c r="D1160" t="s">
        <v>18</v>
      </c>
      <c r="E1160" t="s">
        <v>19</v>
      </c>
      <c r="F1160" t="s">
        <v>20</v>
      </c>
      <c r="G1160" t="s">
        <v>21</v>
      </c>
      <c r="H1160" t="s">
        <v>41</v>
      </c>
      <c r="I1160">
        <v>2</v>
      </c>
      <c r="J1160">
        <v>797.08</v>
      </c>
      <c r="K1160">
        <v>0.2</v>
      </c>
      <c r="L1160">
        <v>1275.33</v>
      </c>
      <c r="M1160" t="s">
        <v>23</v>
      </c>
      <c r="N1160" t="s">
        <v>58</v>
      </c>
      <c r="O1160" t="s">
        <v>65</v>
      </c>
      <c r="P1160" t="s">
        <v>26</v>
      </c>
      <c r="Q1160" t="str">
        <f t="shared" si="126"/>
        <v>Completed</v>
      </c>
      <c r="R1160" t="str">
        <f t="shared" si="127"/>
        <v>Online</v>
      </c>
      <c r="S1160" t="str">
        <v>Credit Card</v>
      </c>
      <c r="T1160" t="str">
        <v>Accessories</v>
      </c>
      <c r="U1160" t="str">
        <f t="shared" si="128"/>
        <v>VALID</v>
      </c>
      <c r="V1160" t="str">
        <f t="shared" si="129"/>
        <v>NORMAL</v>
      </c>
      <c r="W1160" t="str">
        <f t="shared" si="130"/>
        <v>Valid</v>
      </c>
      <c r="X1160">
        <f t="shared" si="132"/>
        <v>1594.16</v>
      </c>
      <c r="Y1160">
        <f t="shared" si="131"/>
        <v>1275.328</v>
      </c>
    </row>
    <row r="1161" spans="1:25" x14ac:dyDescent="0.3">
      <c r="A1161" t="s">
        <v>1510</v>
      </c>
      <c r="B1161" s="1">
        <v>45333</v>
      </c>
      <c r="C1161" t="s">
        <v>627</v>
      </c>
      <c r="D1161" t="s">
        <v>79</v>
      </c>
      <c r="E1161" t="s">
        <v>80</v>
      </c>
      <c r="F1161" t="s">
        <v>31</v>
      </c>
      <c r="G1161" t="s">
        <v>56</v>
      </c>
      <c r="H1161" t="s">
        <v>57</v>
      </c>
      <c r="I1161">
        <v>4</v>
      </c>
      <c r="J1161">
        <v>12515.01</v>
      </c>
      <c r="K1161">
        <v>0.2</v>
      </c>
      <c r="L1161">
        <v>40048.03</v>
      </c>
      <c r="M1161" t="s">
        <v>23</v>
      </c>
      <c r="N1161" t="s">
        <v>71</v>
      </c>
      <c r="O1161" t="s">
        <v>65</v>
      </c>
      <c r="P1161" t="s">
        <v>42</v>
      </c>
      <c r="Q1161" t="str">
        <f t="shared" si="126"/>
        <v>Completed</v>
      </c>
      <c r="R1161" t="str">
        <f t="shared" si="127"/>
        <v>Online</v>
      </c>
      <c r="S1161" t="str">
        <v>Upi</v>
      </c>
      <c r="T1161" t="str">
        <v>Electronics</v>
      </c>
      <c r="U1161" t="str">
        <f t="shared" si="128"/>
        <v>VALID</v>
      </c>
      <c r="V1161" t="str">
        <f t="shared" si="129"/>
        <v>NORMAL</v>
      </c>
      <c r="W1161" t="str">
        <f t="shared" si="130"/>
        <v>Valid</v>
      </c>
      <c r="X1161">
        <f t="shared" si="132"/>
        <v>50060.04</v>
      </c>
      <c r="Y1161">
        <f t="shared" si="131"/>
        <v>40048.031999999999</v>
      </c>
    </row>
    <row r="1162" spans="1:25" x14ac:dyDescent="0.3">
      <c r="A1162" t="s">
        <v>1511</v>
      </c>
      <c r="B1162" s="1">
        <v>45712</v>
      </c>
      <c r="C1162" t="s">
        <v>404</v>
      </c>
      <c r="D1162" t="s">
        <v>89</v>
      </c>
      <c r="E1162" t="s">
        <v>90</v>
      </c>
      <c r="F1162" t="s">
        <v>20</v>
      </c>
      <c r="G1162" t="s">
        <v>21</v>
      </c>
      <c r="H1162" t="s">
        <v>93</v>
      </c>
      <c r="I1162">
        <v>2</v>
      </c>
      <c r="J1162">
        <v>753.33</v>
      </c>
      <c r="K1162">
        <v>0.03</v>
      </c>
      <c r="L1162">
        <v>1461.46</v>
      </c>
      <c r="M1162" t="s">
        <v>76</v>
      </c>
      <c r="N1162" t="s">
        <v>34</v>
      </c>
      <c r="O1162" t="s">
        <v>65</v>
      </c>
      <c r="P1162" t="s">
        <v>59</v>
      </c>
      <c r="Q1162" t="str">
        <f t="shared" si="126"/>
        <v>Completed</v>
      </c>
      <c r="R1162" t="str">
        <f t="shared" si="127"/>
        <v>Store</v>
      </c>
      <c r="S1162" t="str">
        <v>Cash On Delivery</v>
      </c>
      <c r="T1162" t="str">
        <v>Accessories</v>
      </c>
      <c r="U1162" t="str">
        <f t="shared" si="128"/>
        <v>VALID</v>
      </c>
      <c r="V1162" t="str">
        <f t="shared" si="129"/>
        <v>NORMAL</v>
      </c>
      <c r="W1162" t="str">
        <f t="shared" si="130"/>
        <v>Valid</v>
      </c>
      <c r="X1162">
        <f t="shared" si="132"/>
        <v>1506.66</v>
      </c>
      <c r="Y1162">
        <f t="shared" si="131"/>
        <v>1461.4602</v>
      </c>
    </row>
    <row r="1163" spans="1:25" x14ac:dyDescent="0.3">
      <c r="A1163" t="s">
        <v>1512</v>
      </c>
      <c r="B1163" s="1">
        <v>45777</v>
      </c>
      <c r="C1163" t="s">
        <v>227</v>
      </c>
      <c r="D1163" t="s">
        <v>131</v>
      </c>
      <c r="E1163" t="s">
        <v>132</v>
      </c>
      <c r="F1163" t="s">
        <v>40</v>
      </c>
      <c r="G1163" t="s">
        <v>81</v>
      </c>
      <c r="H1163" t="s">
        <v>135</v>
      </c>
      <c r="I1163">
        <v>2</v>
      </c>
      <c r="J1163">
        <v>8750.9</v>
      </c>
      <c r="K1163">
        <v>0</v>
      </c>
      <c r="L1163">
        <v>17501.8</v>
      </c>
      <c r="M1163" t="s">
        <v>76</v>
      </c>
      <c r="N1163" t="s">
        <v>49</v>
      </c>
      <c r="O1163" t="s">
        <v>35</v>
      </c>
      <c r="P1163" t="s">
        <v>42</v>
      </c>
      <c r="Q1163" t="str">
        <f t="shared" si="126"/>
        <v>Cancelled</v>
      </c>
      <c r="R1163" t="str">
        <f t="shared" si="127"/>
        <v>Store</v>
      </c>
      <c r="S1163" t="str">
        <v>Net Banking</v>
      </c>
      <c r="T1163" t="str">
        <v>Furniture</v>
      </c>
      <c r="U1163" t="str">
        <f t="shared" si="128"/>
        <v>VALID</v>
      </c>
      <c r="V1163" t="str">
        <f t="shared" si="129"/>
        <v>NORMAL</v>
      </c>
      <c r="W1163" t="str">
        <f t="shared" si="130"/>
        <v>Valid</v>
      </c>
      <c r="X1163">
        <f t="shared" si="132"/>
        <v>17501.8</v>
      </c>
      <c r="Y1163">
        <f t="shared" si="131"/>
        <v>17501.8</v>
      </c>
    </row>
    <row r="1164" spans="1:25" x14ac:dyDescent="0.3">
      <c r="A1164" t="s">
        <v>1513</v>
      </c>
      <c r="B1164" s="1">
        <v>45868</v>
      </c>
      <c r="C1164" t="s">
        <v>839</v>
      </c>
      <c r="D1164" t="s">
        <v>79</v>
      </c>
      <c r="E1164" t="s">
        <v>80</v>
      </c>
      <c r="F1164" t="s">
        <v>31</v>
      </c>
      <c r="G1164" t="s">
        <v>21</v>
      </c>
      <c r="H1164" t="s">
        <v>126</v>
      </c>
      <c r="I1164">
        <v>4</v>
      </c>
      <c r="J1164">
        <v>12098.28</v>
      </c>
      <c r="K1164">
        <v>0.2</v>
      </c>
      <c r="L1164">
        <v>38714.5</v>
      </c>
      <c r="M1164" t="s">
        <v>23</v>
      </c>
      <c r="N1164" t="s">
        <v>49</v>
      </c>
      <c r="O1164" t="s">
        <v>25</v>
      </c>
      <c r="P1164" t="s">
        <v>42</v>
      </c>
      <c r="Q1164" t="str">
        <f t="shared" si="126"/>
        <v>Returned</v>
      </c>
      <c r="R1164" t="str">
        <f t="shared" si="127"/>
        <v>Online</v>
      </c>
      <c r="S1164" t="str">
        <v>Net Banking</v>
      </c>
      <c r="T1164" t="str">
        <v>Electronics</v>
      </c>
      <c r="U1164" t="str">
        <f t="shared" si="128"/>
        <v>VALID</v>
      </c>
      <c r="V1164" t="str">
        <f t="shared" si="129"/>
        <v>NORMAL</v>
      </c>
      <c r="W1164" t="str">
        <f t="shared" si="130"/>
        <v>Valid</v>
      </c>
      <c r="X1164">
        <f t="shared" si="132"/>
        <v>48393.120000000003</v>
      </c>
      <c r="Y1164">
        <f t="shared" si="131"/>
        <v>38714.495999999999</v>
      </c>
    </row>
    <row r="1165" spans="1:25" x14ac:dyDescent="0.3">
      <c r="A1165" t="s">
        <v>1514</v>
      </c>
      <c r="B1165" s="1">
        <v>46106</v>
      </c>
      <c r="C1165" t="s">
        <v>526</v>
      </c>
      <c r="D1165" t="s">
        <v>62</v>
      </c>
      <c r="E1165" t="s">
        <v>63</v>
      </c>
      <c r="F1165" t="s">
        <v>31</v>
      </c>
      <c r="G1165" t="s">
        <v>32</v>
      </c>
      <c r="H1165" t="s">
        <v>33</v>
      </c>
      <c r="I1165">
        <v>1</v>
      </c>
      <c r="J1165">
        <v>2629.9</v>
      </c>
      <c r="K1165">
        <v>0.05</v>
      </c>
      <c r="L1165">
        <v>2498.4</v>
      </c>
      <c r="M1165" t="s">
        <v>23</v>
      </c>
      <c r="N1165" t="s">
        <v>58</v>
      </c>
      <c r="O1165" t="s">
        <v>25</v>
      </c>
      <c r="P1165" t="s">
        <v>102</v>
      </c>
      <c r="Q1165" t="str">
        <f t="shared" si="126"/>
        <v>Returned</v>
      </c>
      <c r="R1165" t="str">
        <f t="shared" si="127"/>
        <v>Online</v>
      </c>
      <c r="S1165" t="str">
        <v>Credit Card</v>
      </c>
      <c r="T1165" t="str">
        <v>Electronics</v>
      </c>
      <c r="U1165" t="str">
        <f t="shared" si="128"/>
        <v>VALID</v>
      </c>
      <c r="V1165" t="str">
        <f t="shared" si="129"/>
        <v>NORMAL</v>
      </c>
      <c r="W1165" t="str">
        <f t="shared" si="130"/>
        <v>Valid</v>
      </c>
      <c r="X1165">
        <f t="shared" si="132"/>
        <v>2629.9</v>
      </c>
      <c r="Y1165">
        <f t="shared" si="131"/>
        <v>2498.4050000000002</v>
      </c>
    </row>
    <row r="1166" spans="1:25" x14ac:dyDescent="0.3">
      <c r="A1166" t="s">
        <v>1515</v>
      </c>
      <c r="B1166" s="1">
        <v>46146</v>
      </c>
      <c r="C1166" t="s">
        <v>562</v>
      </c>
      <c r="D1166" t="s">
        <v>170</v>
      </c>
      <c r="E1166" t="s">
        <v>171</v>
      </c>
      <c r="F1166" t="s">
        <v>31</v>
      </c>
      <c r="G1166" t="s">
        <v>21</v>
      </c>
      <c r="H1166" t="s">
        <v>22</v>
      </c>
      <c r="I1166">
        <v>4</v>
      </c>
      <c r="J1166">
        <v>69957.37</v>
      </c>
      <c r="K1166">
        <v>0</v>
      </c>
      <c r="L1166">
        <v>279829.48</v>
      </c>
      <c r="M1166" t="s">
        <v>76</v>
      </c>
      <c r="N1166" t="s">
        <v>71</v>
      </c>
      <c r="O1166" t="s">
        <v>25</v>
      </c>
      <c r="P1166" t="s">
        <v>116</v>
      </c>
      <c r="Q1166" t="str">
        <f t="shared" si="126"/>
        <v>Returned</v>
      </c>
      <c r="R1166" t="str">
        <f t="shared" si="127"/>
        <v>Store</v>
      </c>
      <c r="S1166" t="str">
        <v>Upi</v>
      </c>
      <c r="T1166" t="str">
        <v>Electronics</v>
      </c>
      <c r="U1166" t="str">
        <f t="shared" si="128"/>
        <v>VALID</v>
      </c>
      <c r="V1166" t="str">
        <f t="shared" si="129"/>
        <v>NORMAL</v>
      </c>
      <c r="W1166" t="str">
        <f t="shared" si="130"/>
        <v>Valid</v>
      </c>
      <c r="X1166">
        <f t="shared" si="132"/>
        <v>279829.48</v>
      </c>
      <c r="Y1166">
        <f t="shared" si="131"/>
        <v>279829.48</v>
      </c>
    </row>
    <row r="1167" spans="1:25" x14ac:dyDescent="0.3">
      <c r="A1167" t="s">
        <v>1516</v>
      </c>
      <c r="B1167" s="1">
        <v>45361</v>
      </c>
      <c r="C1167" t="s">
        <v>221</v>
      </c>
      <c r="D1167" t="s">
        <v>79</v>
      </c>
      <c r="E1167" t="s">
        <v>80</v>
      </c>
      <c r="F1167" t="s">
        <v>31</v>
      </c>
      <c r="G1167" t="s">
        <v>56</v>
      </c>
      <c r="H1167" t="s">
        <v>57</v>
      </c>
      <c r="I1167">
        <v>1</v>
      </c>
      <c r="J1167">
        <v>13462.37</v>
      </c>
      <c r="K1167">
        <v>0</v>
      </c>
      <c r="L1167">
        <v>13462.37</v>
      </c>
      <c r="M1167" t="s">
        <v>76</v>
      </c>
      <c r="O1167" t="s">
        <v>35</v>
      </c>
      <c r="P1167" t="s">
        <v>72</v>
      </c>
      <c r="Q1167" t="str">
        <f t="shared" si="126"/>
        <v>Cancelled</v>
      </c>
      <c r="R1167" t="str">
        <f t="shared" si="127"/>
        <v>Store</v>
      </c>
      <c r="S1167" t="str">
        <v/>
      </c>
      <c r="T1167" t="str">
        <v>Electronics</v>
      </c>
      <c r="U1167" t="str">
        <f t="shared" si="128"/>
        <v>VALID</v>
      </c>
      <c r="V1167" t="str">
        <f t="shared" si="129"/>
        <v>NORMAL</v>
      </c>
      <c r="W1167" t="str">
        <f t="shared" si="130"/>
        <v>Valid</v>
      </c>
      <c r="X1167">
        <f t="shared" si="132"/>
        <v>13462.37</v>
      </c>
      <c r="Y1167">
        <f t="shared" si="131"/>
        <v>13462.37</v>
      </c>
    </row>
    <row r="1168" spans="1:25" x14ac:dyDescent="0.3">
      <c r="A1168" t="s">
        <v>1517</v>
      </c>
      <c r="B1168" s="1">
        <v>46036</v>
      </c>
      <c r="C1168" t="s">
        <v>200</v>
      </c>
      <c r="D1168" t="s">
        <v>105</v>
      </c>
      <c r="E1168" t="s">
        <v>106</v>
      </c>
      <c r="F1168" t="s">
        <v>40</v>
      </c>
      <c r="G1168" t="s">
        <v>81</v>
      </c>
      <c r="H1168" t="s">
        <v>135</v>
      </c>
      <c r="I1168">
        <v>2</v>
      </c>
      <c r="J1168">
        <v>6808.88</v>
      </c>
      <c r="K1168">
        <v>0.1</v>
      </c>
      <c r="L1168">
        <v>12255.98</v>
      </c>
      <c r="M1168" t="s">
        <v>48</v>
      </c>
      <c r="N1168" t="s">
        <v>24</v>
      </c>
      <c r="O1168" t="s">
        <v>65</v>
      </c>
      <c r="P1168" t="s">
        <v>102</v>
      </c>
      <c r="Q1168" t="str">
        <f t="shared" si="126"/>
        <v>Completed</v>
      </c>
      <c r="R1168" t="str">
        <f t="shared" si="127"/>
        <v>Marketplace</v>
      </c>
      <c r="S1168" t="str">
        <v>Debit Card</v>
      </c>
      <c r="T1168" t="str">
        <v>Furniture</v>
      </c>
      <c r="U1168" t="str">
        <f t="shared" si="128"/>
        <v>VALID</v>
      </c>
      <c r="V1168" t="str">
        <f t="shared" si="129"/>
        <v>NORMAL</v>
      </c>
      <c r="W1168" t="str">
        <f t="shared" si="130"/>
        <v>Valid</v>
      </c>
      <c r="X1168">
        <f t="shared" si="132"/>
        <v>13617.76</v>
      </c>
      <c r="Y1168">
        <f t="shared" si="131"/>
        <v>12255.984</v>
      </c>
    </row>
    <row r="1169" spans="1:25" x14ac:dyDescent="0.3">
      <c r="A1169" t="s">
        <v>1518</v>
      </c>
      <c r="B1169" s="1">
        <v>45636</v>
      </c>
      <c r="C1169" t="s">
        <v>672</v>
      </c>
      <c r="D1169" t="s">
        <v>170</v>
      </c>
      <c r="E1169" t="s">
        <v>171</v>
      </c>
      <c r="F1169" t="s">
        <v>31</v>
      </c>
      <c r="G1169" t="s">
        <v>81</v>
      </c>
      <c r="H1169" t="s">
        <v>87</v>
      </c>
      <c r="I1169">
        <v>4</v>
      </c>
      <c r="J1169">
        <v>66227.06</v>
      </c>
      <c r="K1169">
        <v>0.2</v>
      </c>
      <c r="L1169">
        <v>211926.59</v>
      </c>
      <c r="M1169" t="s">
        <v>23</v>
      </c>
      <c r="N1169" t="s">
        <v>58</v>
      </c>
      <c r="O1169" t="s">
        <v>65</v>
      </c>
      <c r="P1169" t="s">
        <v>102</v>
      </c>
      <c r="Q1169" t="str">
        <f t="shared" si="126"/>
        <v>Completed</v>
      </c>
      <c r="R1169" t="str">
        <f t="shared" si="127"/>
        <v>Online</v>
      </c>
      <c r="S1169" t="str">
        <v>Credit Card</v>
      </c>
      <c r="T1169" t="str">
        <v>Electronics</v>
      </c>
      <c r="U1169" t="str">
        <f t="shared" si="128"/>
        <v>VALID</v>
      </c>
      <c r="V1169" t="str">
        <f t="shared" si="129"/>
        <v>NORMAL</v>
      </c>
      <c r="W1169" t="str">
        <f t="shared" si="130"/>
        <v>Valid</v>
      </c>
      <c r="X1169">
        <f t="shared" si="132"/>
        <v>264908.24</v>
      </c>
      <c r="Y1169">
        <f t="shared" si="131"/>
        <v>211926.592</v>
      </c>
    </row>
    <row r="1170" spans="1:25" x14ac:dyDescent="0.3">
      <c r="A1170" t="s">
        <v>1519</v>
      </c>
      <c r="B1170" s="1">
        <v>46133</v>
      </c>
      <c r="C1170" t="s">
        <v>542</v>
      </c>
      <c r="D1170" t="s">
        <v>38</v>
      </c>
      <c r="E1170" t="s">
        <v>39</v>
      </c>
      <c r="F1170" t="s">
        <v>40</v>
      </c>
      <c r="G1170" t="s">
        <v>81</v>
      </c>
      <c r="H1170" t="s">
        <v>82</v>
      </c>
      <c r="I1170">
        <v>5</v>
      </c>
      <c r="J1170">
        <v>1699.32</v>
      </c>
      <c r="K1170">
        <v>0.03</v>
      </c>
      <c r="L1170">
        <v>8241.7000000000007</v>
      </c>
      <c r="M1170" t="s">
        <v>23</v>
      </c>
      <c r="N1170" t="s">
        <v>24</v>
      </c>
      <c r="O1170" t="s">
        <v>35</v>
      </c>
      <c r="P1170" t="s">
        <v>116</v>
      </c>
      <c r="Q1170" t="str">
        <f t="shared" si="126"/>
        <v>Cancelled</v>
      </c>
      <c r="R1170" t="str">
        <f t="shared" si="127"/>
        <v>Online</v>
      </c>
      <c r="S1170" t="str">
        <v>Debit Card</v>
      </c>
      <c r="T1170" t="str">
        <v>Furniture</v>
      </c>
      <c r="U1170" t="str">
        <f t="shared" si="128"/>
        <v>VALID</v>
      </c>
      <c r="V1170" t="str">
        <f t="shared" si="129"/>
        <v>NORMAL</v>
      </c>
      <c r="W1170" t="str">
        <f t="shared" si="130"/>
        <v>Valid</v>
      </c>
      <c r="X1170">
        <f t="shared" si="132"/>
        <v>8496.6</v>
      </c>
      <c r="Y1170">
        <f t="shared" si="131"/>
        <v>8241.7020000000011</v>
      </c>
    </row>
    <row r="1171" spans="1:25" x14ac:dyDescent="0.3">
      <c r="A1171" t="s">
        <v>1520</v>
      </c>
      <c r="B1171" s="1">
        <v>45660</v>
      </c>
      <c r="C1171" t="s">
        <v>460</v>
      </c>
      <c r="D1171" t="s">
        <v>121</v>
      </c>
      <c r="E1171" t="s">
        <v>122</v>
      </c>
      <c r="F1171" t="s">
        <v>55</v>
      </c>
      <c r="G1171" t="s">
        <v>21</v>
      </c>
      <c r="H1171" t="s">
        <v>126</v>
      </c>
      <c r="I1171">
        <v>1</v>
      </c>
      <c r="J1171">
        <v>484.89</v>
      </c>
      <c r="K1171">
        <v>0.2</v>
      </c>
      <c r="L1171">
        <v>387.91</v>
      </c>
      <c r="M1171" t="s">
        <v>76</v>
      </c>
      <c r="N1171" t="s">
        <v>24</v>
      </c>
      <c r="O1171" t="s">
        <v>65</v>
      </c>
      <c r="P1171" t="s">
        <v>102</v>
      </c>
      <c r="Q1171" t="str">
        <f t="shared" si="126"/>
        <v>Completed</v>
      </c>
      <c r="R1171" t="str">
        <f t="shared" si="127"/>
        <v>Store</v>
      </c>
      <c r="S1171" t="str">
        <v>Debit Card</v>
      </c>
      <c r="T1171" t="str">
        <v>Stationery</v>
      </c>
      <c r="U1171" t="str">
        <f t="shared" si="128"/>
        <v>VALID</v>
      </c>
      <c r="V1171" t="str">
        <f t="shared" si="129"/>
        <v>NORMAL</v>
      </c>
      <c r="W1171" t="str">
        <f t="shared" si="130"/>
        <v>Valid</v>
      </c>
      <c r="X1171">
        <f t="shared" si="132"/>
        <v>484.89</v>
      </c>
      <c r="Y1171">
        <f t="shared" si="131"/>
        <v>387.91199999999998</v>
      </c>
    </row>
    <row r="1172" spans="1:25" x14ac:dyDescent="0.3">
      <c r="A1172" t="s">
        <v>1521</v>
      </c>
      <c r="B1172" s="1">
        <v>45307</v>
      </c>
      <c r="C1172" t="s">
        <v>776</v>
      </c>
      <c r="D1172" t="s">
        <v>89</v>
      </c>
      <c r="E1172" t="s">
        <v>90</v>
      </c>
      <c r="F1172" t="s">
        <v>20</v>
      </c>
      <c r="G1172" t="s">
        <v>21</v>
      </c>
      <c r="H1172" t="s">
        <v>41</v>
      </c>
      <c r="I1172">
        <v>4</v>
      </c>
      <c r="J1172">
        <v>680.14</v>
      </c>
      <c r="K1172">
        <v>0</v>
      </c>
      <c r="L1172">
        <v>2720.56</v>
      </c>
      <c r="M1172" t="s">
        <v>48</v>
      </c>
      <c r="N1172" t="s">
        <v>24</v>
      </c>
      <c r="O1172" t="s">
        <v>35</v>
      </c>
      <c r="P1172" t="s">
        <v>72</v>
      </c>
      <c r="Q1172" t="str">
        <f t="shared" si="126"/>
        <v>Cancelled</v>
      </c>
      <c r="R1172" t="str">
        <f t="shared" si="127"/>
        <v>Marketplace</v>
      </c>
      <c r="S1172" t="str">
        <v>Debit Card</v>
      </c>
      <c r="T1172" t="str">
        <v>Accessories</v>
      </c>
      <c r="U1172" t="str">
        <f t="shared" si="128"/>
        <v>VALID</v>
      </c>
      <c r="V1172" t="str">
        <f t="shared" si="129"/>
        <v>NORMAL</v>
      </c>
      <c r="W1172" t="str">
        <f t="shared" si="130"/>
        <v>Valid</v>
      </c>
      <c r="X1172">
        <f t="shared" si="132"/>
        <v>2720.56</v>
      </c>
      <c r="Y1172">
        <f t="shared" si="131"/>
        <v>2720.56</v>
      </c>
    </row>
    <row r="1173" spans="1:25" x14ac:dyDescent="0.3">
      <c r="A1173" t="s">
        <v>1522</v>
      </c>
      <c r="B1173" s="1">
        <v>45968</v>
      </c>
      <c r="C1173" t="s">
        <v>443</v>
      </c>
      <c r="D1173" t="s">
        <v>96</v>
      </c>
      <c r="E1173" t="s">
        <v>97</v>
      </c>
      <c r="F1173" t="s">
        <v>31</v>
      </c>
      <c r="G1173" t="s">
        <v>21</v>
      </c>
      <c r="H1173" t="s">
        <v>41</v>
      </c>
      <c r="I1173">
        <v>2</v>
      </c>
      <c r="J1173">
        <v>1181.42</v>
      </c>
      <c r="K1173">
        <v>0.05</v>
      </c>
      <c r="L1173">
        <v>2244.6999999999998</v>
      </c>
      <c r="M1173" t="s">
        <v>76</v>
      </c>
      <c r="N1173" t="s">
        <v>58</v>
      </c>
      <c r="O1173" t="s">
        <v>65</v>
      </c>
      <c r="P1173" t="s">
        <v>26</v>
      </c>
      <c r="Q1173" t="str">
        <f t="shared" si="126"/>
        <v>Completed</v>
      </c>
      <c r="R1173" t="str">
        <f t="shared" si="127"/>
        <v>Store</v>
      </c>
      <c r="S1173" t="str">
        <v>Credit Card</v>
      </c>
      <c r="T1173" t="str">
        <v>Electronics</v>
      </c>
      <c r="U1173" t="str">
        <f t="shared" si="128"/>
        <v>VALID</v>
      </c>
      <c r="V1173" t="str">
        <f t="shared" si="129"/>
        <v>NORMAL</v>
      </c>
      <c r="W1173" t="str">
        <f t="shared" si="130"/>
        <v>Valid</v>
      </c>
      <c r="X1173">
        <f t="shared" si="132"/>
        <v>2362.84</v>
      </c>
      <c r="Y1173">
        <f t="shared" si="131"/>
        <v>2244.6980000000003</v>
      </c>
    </row>
    <row r="1174" spans="1:25" x14ac:dyDescent="0.3">
      <c r="A1174" t="s">
        <v>1523</v>
      </c>
      <c r="B1174" s="1">
        <v>45458</v>
      </c>
      <c r="C1174" t="s">
        <v>672</v>
      </c>
      <c r="D1174" t="s">
        <v>29</v>
      </c>
      <c r="E1174" t="s">
        <v>30</v>
      </c>
      <c r="F1174" t="s">
        <v>31</v>
      </c>
      <c r="G1174" t="s">
        <v>32</v>
      </c>
      <c r="H1174" t="s">
        <v>33</v>
      </c>
      <c r="I1174">
        <v>5</v>
      </c>
      <c r="J1174">
        <v>3323.85</v>
      </c>
      <c r="K1174">
        <v>0.08</v>
      </c>
      <c r="L1174">
        <v>15289.71</v>
      </c>
      <c r="M1174" t="s">
        <v>23</v>
      </c>
      <c r="N1174" t="s">
        <v>49</v>
      </c>
      <c r="O1174" t="s">
        <v>65</v>
      </c>
      <c r="P1174" t="s">
        <v>102</v>
      </c>
      <c r="Q1174" t="str">
        <f t="shared" si="126"/>
        <v>Completed</v>
      </c>
      <c r="R1174" t="str">
        <f t="shared" si="127"/>
        <v>Online</v>
      </c>
      <c r="S1174" t="str">
        <v>Net Banking</v>
      </c>
      <c r="T1174" t="str">
        <v>Electronics</v>
      </c>
      <c r="U1174" t="str">
        <f t="shared" si="128"/>
        <v>VALID</v>
      </c>
      <c r="V1174" t="str">
        <f t="shared" si="129"/>
        <v>NORMAL</v>
      </c>
      <c r="W1174" t="str">
        <f t="shared" si="130"/>
        <v>Valid</v>
      </c>
      <c r="X1174">
        <f t="shared" si="132"/>
        <v>16619.25</v>
      </c>
      <c r="Y1174">
        <f t="shared" si="131"/>
        <v>15289.71</v>
      </c>
    </row>
    <row r="1175" spans="1:25" x14ac:dyDescent="0.3">
      <c r="A1175" t="s">
        <v>1524</v>
      </c>
      <c r="B1175" s="1">
        <v>45672</v>
      </c>
      <c r="C1175" t="s">
        <v>151</v>
      </c>
      <c r="D1175" t="s">
        <v>105</v>
      </c>
      <c r="E1175" t="s">
        <v>106</v>
      </c>
      <c r="F1175" t="s">
        <v>40</v>
      </c>
      <c r="G1175" t="s">
        <v>81</v>
      </c>
      <c r="H1175" t="s">
        <v>98</v>
      </c>
      <c r="I1175">
        <v>25</v>
      </c>
      <c r="J1175">
        <v>7662.98</v>
      </c>
      <c r="K1175">
        <v>0.2</v>
      </c>
      <c r="L1175">
        <v>6130.38</v>
      </c>
      <c r="M1175" t="s">
        <v>76</v>
      </c>
      <c r="N1175" t="s">
        <v>34</v>
      </c>
      <c r="O1175" t="s">
        <v>65</v>
      </c>
      <c r="P1175" t="s">
        <v>116</v>
      </c>
      <c r="Q1175" t="str">
        <f t="shared" si="126"/>
        <v>Completed</v>
      </c>
      <c r="R1175" t="str">
        <f t="shared" si="127"/>
        <v>Store</v>
      </c>
      <c r="S1175" t="str">
        <v>Cash On Delivery</v>
      </c>
      <c r="T1175" t="str">
        <v>Furniture</v>
      </c>
      <c r="U1175" t="str">
        <f t="shared" si="128"/>
        <v>VALID</v>
      </c>
      <c r="V1175" t="str">
        <f t="shared" si="129"/>
        <v>NORMAL</v>
      </c>
      <c r="W1175" t="str">
        <f t="shared" si="130"/>
        <v>Valid</v>
      </c>
      <c r="X1175">
        <f t="shared" si="132"/>
        <v>191574.5</v>
      </c>
      <c r="Y1175">
        <f t="shared" si="131"/>
        <v>153259.6</v>
      </c>
    </row>
    <row r="1176" spans="1:25" x14ac:dyDescent="0.3">
      <c r="A1176" t="s">
        <v>1525</v>
      </c>
      <c r="B1176" s="1">
        <v>45811</v>
      </c>
      <c r="C1176" t="s">
        <v>535</v>
      </c>
      <c r="D1176" t="s">
        <v>29</v>
      </c>
      <c r="E1176" t="s">
        <v>30</v>
      </c>
      <c r="F1176" t="s">
        <v>31</v>
      </c>
      <c r="G1176" t="s">
        <v>32</v>
      </c>
      <c r="H1176" t="s">
        <v>75</v>
      </c>
      <c r="I1176">
        <v>5</v>
      </c>
      <c r="J1176">
        <v>3003.56</v>
      </c>
      <c r="K1176">
        <v>0.1</v>
      </c>
      <c r="L1176">
        <v>13516.02</v>
      </c>
      <c r="M1176" t="s">
        <v>23</v>
      </c>
      <c r="N1176" t="s">
        <v>49</v>
      </c>
      <c r="O1176" t="s">
        <v>65</v>
      </c>
      <c r="P1176" t="s">
        <v>111</v>
      </c>
      <c r="Q1176" t="str">
        <f t="shared" si="126"/>
        <v>Completed</v>
      </c>
      <c r="R1176" t="str">
        <f t="shared" si="127"/>
        <v>Online</v>
      </c>
      <c r="S1176" t="str">
        <v>Net Banking</v>
      </c>
      <c r="T1176" t="str">
        <v>Electronics</v>
      </c>
      <c r="U1176" t="str">
        <f t="shared" si="128"/>
        <v>VALID</v>
      </c>
      <c r="V1176" t="str">
        <f t="shared" si="129"/>
        <v>NORMAL</v>
      </c>
      <c r="W1176" t="str">
        <f t="shared" si="130"/>
        <v>Valid</v>
      </c>
      <c r="X1176">
        <f t="shared" si="132"/>
        <v>15017.8</v>
      </c>
      <c r="Y1176">
        <f t="shared" si="131"/>
        <v>13516.019999999999</v>
      </c>
    </row>
    <row r="1177" spans="1:25" x14ac:dyDescent="0.3">
      <c r="A1177" t="s">
        <v>1526</v>
      </c>
      <c r="B1177" s="1">
        <v>46157</v>
      </c>
      <c r="C1177" t="s">
        <v>190</v>
      </c>
      <c r="D1177" t="s">
        <v>85</v>
      </c>
      <c r="E1177" t="s">
        <v>86</v>
      </c>
      <c r="F1177" t="s">
        <v>20</v>
      </c>
      <c r="G1177" t="s">
        <v>21</v>
      </c>
      <c r="H1177" t="s">
        <v>41</v>
      </c>
      <c r="I1177">
        <v>3</v>
      </c>
      <c r="J1177">
        <v>1664.91</v>
      </c>
      <c r="K1177">
        <v>0.05</v>
      </c>
      <c r="L1177">
        <v>4744.99</v>
      </c>
      <c r="M1177" t="s">
        <v>23</v>
      </c>
      <c r="N1177" t="s">
        <v>58</v>
      </c>
      <c r="O1177" t="s">
        <v>65</v>
      </c>
      <c r="P1177" t="s">
        <v>26</v>
      </c>
      <c r="Q1177" t="str">
        <f t="shared" si="126"/>
        <v>Completed</v>
      </c>
      <c r="R1177" t="str">
        <f t="shared" si="127"/>
        <v>Online</v>
      </c>
      <c r="S1177" t="str">
        <v>Credit Card</v>
      </c>
      <c r="T1177" t="str">
        <v>Accessories</v>
      </c>
      <c r="U1177" t="str">
        <f t="shared" si="128"/>
        <v>VALID</v>
      </c>
      <c r="V1177" t="str">
        <f t="shared" si="129"/>
        <v>NORMAL</v>
      </c>
      <c r="W1177" t="str">
        <f t="shared" si="130"/>
        <v>Valid</v>
      </c>
      <c r="X1177">
        <f t="shared" si="132"/>
        <v>4994.7300000000005</v>
      </c>
      <c r="Y1177">
        <f t="shared" si="131"/>
        <v>4744.9935000000005</v>
      </c>
    </row>
    <row r="1178" spans="1:25" x14ac:dyDescent="0.3">
      <c r="A1178" t="s">
        <v>1527</v>
      </c>
      <c r="B1178" s="1">
        <v>45962</v>
      </c>
      <c r="C1178" t="s">
        <v>776</v>
      </c>
      <c r="D1178" t="s">
        <v>29</v>
      </c>
      <c r="E1178" t="s">
        <v>30</v>
      </c>
      <c r="F1178" t="s">
        <v>31</v>
      </c>
      <c r="G1178" t="s">
        <v>81</v>
      </c>
      <c r="H1178" t="s">
        <v>135</v>
      </c>
      <c r="I1178">
        <v>2</v>
      </c>
      <c r="J1178">
        <v>3141.12</v>
      </c>
      <c r="K1178">
        <v>0.08</v>
      </c>
      <c r="L1178">
        <v>5779.66</v>
      </c>
      <c r="M1178" t="s">
        <v>23</v>
      </c>
      <c r="N1178" t="s">
        <v>34</v>
      </c>
      <c r="O1178" t="s">
        <v>35</v>
      </c>
      <c r="P1178" t="s">
        <v>26</v>
      </c>
      <c r="Q1178" t="str">
        <f t="shared" si="126"/>
        <v>Cancelled</v>
      </c>
      <c r="R1178" t="str">
        <f t="shared" si="127"/>
        <v>Online</v>
      </c>
      <c r="S1178" t="str">
        <v>Cash On Delivery</v>
      </c>
      <c r="T1178" t="str">
        <v>Electronics</v>
      </c>
      <c r="U1178" t="str">
        <f t="shared" si="128"/>
        <v>VALID</v>
      </c>
      <c r="V1178" t="str">
        <f t="shared" si="129"/>
        <v>NORMAL</v>
      </c>
      <c r="W1178" t="str">
        <f t="shared" si="130"/>
        <v>Valid</v>
      </c>
      <c r="X1178">
        <f t="shared" si="132"/>
        <v>6282.24</v>
      </c>
      <c r="Y1178">
        <f t="shared" si="131"/>
        <v>5779.6607999999997</v>
      </c>
    </row>
    <row r="1179" spans="1:25" x14ac:dyDescent="0.3">
      <c r="A1179" t="s">
        <v>1528</v>
      </c>
      <c r="B1179" s="1">
        <v>46039</v>
      </c>
      <c r="C1179" t="s">
        <v>1480</v>
      </c>
      <c r="D1179" t="s">
        <v>38</v>
      </c>
      <c r="E1179" t="s">
        <v>39</v>
      </c>
      <c r="F1179" t="s">
        <v>40</v>
      </c>
      <c r="G1179" t="s">
        <v>81</v>
      </c>
      <c r="H1179" t="s">
        <v>98</v>
      </c>
      <c r="I1179">
        <v>3</v>
      </c>
      <c r="J1179">
        <v>1482.4</v>
      </c>
      <c r="K1179">
        <v>0.08</v>
      </c>
      <c r="L1179">
        <v>4091.42</v>
      </c>
      <c r="M1179" t="s">
        <v>23</v>
      </c>
      <c r="N1179" t="s">
        <v>49</v>
      </c>
      <c r="O1179" t="s">
        <v>65</v>
      </c>
      <c r="P1179" t="s">
        <v>111</v>
      </c>
      <c r="Q1179" t="str">
        <f t="shared" si="126"/>
        <v>Completed</v>
      </c>
      <c r="R1179" t="str">
        <f t="shared" si="127"/>
        <v>Online</v>
      </c>
      <c r="S1179" t="str">
        <v>Net Banking</v>
      </c>
      <c r="T1179" t="str">
        <v>Furniture</v>
      </c>
      <c r="U1179" t="str">
        <f t="shared" si="128"/>
        <v>VALID</v>
      </c>
      <c r="V1179" t="str">
        <f t="shared" si="129"/>
        <v>NORMAL</v>
      </c>
      <c r="W1179" t="str">
        <f t="shared" si="130"/>
        <v>Valid</v>
      </c>
      <c r="X1179">
        <f t="shared" si="132"/>
        <v>4447.2000000000007</v>
      </c>
      <c r="Y1179">
        <f t="shared" si="131"/>
        <v>4091.4240000000009</v>
      </c>
    </row>
    <row r="1180" spans="1:25" x14ac:dyDescent="0.3">
      <c r="A1180" t="s">
        <v>1529</v>
      </c>
      <c r="B1180" s="1">
        <v>46198</v>
      </c>
      <c r="C1180" t="s">
        <v>365</v>
      </c>
      <c r="D1180" t="s">
        <v>18</v>
      </c>
      <c r="E1180" t="s">
        <v>19</v>
      </c>
      <c r="F1180" t="s">
        <v>20</v>
      </c>
      <c r="G1180" t="s">
        <v>81</v>
      </c>
      <c r="H1180" t="s">
        <v>98</v>
      </c>
      <c r="I1180">
        <v>40</v>
      </c>
      <c r="J1180">
        <v>839.49</v>
      </c>
      <c r="K1180">
        <v>0.08</v>
      </c>
      <c r="L1180">
        <v>772.33</v>
      </c>
      <c r="M1180" t="s">
        <v>48</v>
      </c>
      <c r="N1180" t="s">
        <v>34</v>
      </c>
      <c r="O1180" t="s">
        <v>65</v>
      </c>
      <c r="P1180" t="s">
        <v>26</v>
      </c>
      <c r="Q1180" t="str">
        <f t="shared" si="126"/>
        <v>Completed</v>
      </c>
      <c r="R1180" t="str">
        <f t="shared" si="127"/>
        <v>Marketplace</v>
      </c>
      <c r="S1180" t="str">
        <v>Cash On Delivery</v>
      </c>
      <c r="T1180" t="str">
        <v>Accessories</v>
      </c>
      <c r="U1180" t="str">
        <f t="shared" si="128"/>
        <v>VALID</v>
      </c>
      <c r="V1180" t="str">
        <f t="shared" si="129"/>
        <v>NORMAL</v>
      </c>
      <c r="W1180" t="str">
        <f t="shared" si="130"/>
        <v>Valid</v>
      </c>
      <c r="X1180">
        <f t="shared" si="132"/>
        <v>33579.599999999999</v>
      </c>
      <c r="Y1180">
        <f t="shared" si="131"/>
        <v>30893.232</v>
      </c>
    </row>
    <row r="1181" spans="1:25" x14ac:dyDescent="0.3">
      <c r="A1181" t="s">
        <v>1530</v>
      </c>
      <c r="B1181" s="1">
        <v>46144</v>
      </c>
      <c r="C1181" t="s">
        <v>339</v>
      </c>
      <c r="D1181" t="s">
        <v>53</v>
      </c>
      <c r="E1181" t="s">
        <v>54</v>
      </c>
      <c r="F1181" t="s">
        <v>55</v>
      </c>
      <c r="G1181" t="s">
        <v>81</v>
      </c>
      <c r="H1181" t="s">
        <v>87</v>
      </c>
      <c r="I1181">
        <v>4</v>
      </c>
      <c r="J1181">
        <v>229.56</v>
      </c>
      <c r="K1181">
        <v>0.08</v>
      </c>
      <c r="L1181">
        <v>844.78</v>
      </c>
      <c r="M1181" t="s">
        <v>76</v>
      </c>
      <c r="N1181" t="s">
        <v>49</v>
      </c>
      <c r="O1181" t="s">
        <v>65</v>
      </c>
      <c r="P1181" t="s">
        <v>116</v>
      </c>
      <c r="Q1181" t="str">
        <f t="shared" si="126"/>
        <v>Completed</v>
      </c>
      <c r="R1181" t="str">
        <f t="shared" si="127"/>
        <v>Store</v>
      </c>
      <c r="S1181" t="str">
        <v>Net Banking</v>
      </c>
      <c r="T1181" t="str">
        <v>Stationery</v>
      </c>
      <c r="U1181" t="str">
        <f t="shared" si="128"/>
        <v>VALID</v>
      </c>
      <c r="V1181" t="str">
        <f t="shared" si="129"/>
        <v>NORMAL</v>
      </c>
      <c r="W1181" t="str">
        <f t="shared" si="130"/>
        <v>Valid</v>
      </c>
      <c r="X1181">
        <f t="shared" si="132"/>
        <v>918.24</v>
      </c>
      <c r="Y1181">
        <f t="shared" si="131"/>
        <v>844.7808</v>
      </c>
    </row>
    <row r="1182" spans="1:25" x14ac:dyDescent="0.3">
      <c r="A1182" t="s">
        <v>1531</v>
      </c>
      <c r="B1182" s="1">
        <v>45777</v>
      </c>
      <c r="C1182" t="s">
        <v>581</v>
      </c>
      <c r="D1182" t="s">
        <v>89</v>
      </c>
      <c r="E1182" t="s">
        <v>90</v>
      </c>
      <c r="F1182" t="s">
        <v>20</v>
      </c>
      <c r="G1182" t="s">
        <v>56</v>
      </c>
      <c r="H1182" t="s">
        <v>123</v>
      </c>
      <c r="I1182">
        <v>1</v>
      </c>
      <c r="J1182">
        <v>688.98</v>
      </c>
      <c r="K1182">
        <v>0.15</v>
      </c>
      <c r="L1182">
        <v>585.63</v>
      </c>
      <c r="M1182" t="s">
        <v>76</v>
      </c>
      <c r="N1182" t="s">
        <v>71</v>
      </c>
      <c r="O1182" t="s">
        <v>65</v>
      </c>
      <c r="P1182" t="s">
        <v>42</v>
      </c>
      <c r="Q1182" t="str">
        <f t="shared" si="126"/>
        <v>Completed</v>
      </c>
      <c r="R1182" t="str">
        <f t="shared" si="127"/>
        <v>Store</v>
      </c>
      <c r="S1182" t="str">
        <v>Upi</v>
      </c>
      <c r="T1182" t="str">
        <v>Accessories</v>
      </c>
      <c r="U1182" t="str">
        <f t="shared" si="128"/>
        <v>VALID</v>
      </c>
      <c r="V1182" t="str">
        <f t="shared" si="129"/>
        <v>NORMAL</v>
      </c>
      <c r="W1182" t="str">
        <f t="shared" si="130"/>
        <v>Valid</v>
      </c>
      <c r="X1182">
        <f t="shared" si="132"/>
        <v>688.98</v>
      </c>
      <c r="Y1182">
        <f t="shared" si="131"/>
        <v>585.63300000000004</v>
      </c>
    </row>
    <row r="1183" spans="1:25" x14ac:dyDescent="0.3">
      <c r="A1183" t="s">
        <v>1532</v>
      </c>
      <c r="B1183" s="1">
        <v>45534</v>
      </c>
      <c r="C1183" t="s">
        <v>100</v>
      </c>
      <c r="D1183" t="s">
        <v>85</v>
      </c>
      <c r="E1183" t="s">
        <v>86</v>
      </c>
      <c r="F1183" t="s">
        <v>20</v>
      </c>
      <c r="G1183" t="s">
        <v>32</v>
      </c>
      <c r="H1183" t="s">
        <v>47</v>
      </c>
      <c r="I1183">
        <v>2</v>
      </c>
      <c r="J1183">
        <v>1936.2</v>
      </c>
      <c r="K1183">
        <v>0.2</v>
      </c>
      <c r="L1183">
        <v>3097.92</v>
      </c>
      <c r="M1183" t="s">
        <v>76</v>
      </c>
      <c r="N1183" t="s">
        <v>49</v>
      </c>
      <c r="O1183" t="s">
        <v>65</v>
      </c>
      <c r="P1183" t="s">
        <v>59</v>
      </c>
      <c r="Q1183" t="str">
        <f t="shared" si="126"/>
        <v>Completed</v>
      </c>
      <c r="R1183" t="str">
        <f t="shared" si="127"/>
        <v>Store</v>
      </c>
      <c r="S1183" t="str">
        <v>Net Banking</v>
      </c>
      <c r="T1183" t="str">
        <v>Accessories</v>
      </c>
      <c r="U1183" t="str">
        <f t="shared" si="128"/>
        <v>VALID</v>
      </c>
      <c r="V1183" t="str">
        <f t="shared" si="129"/>
        <v>NORMAL</v>
      </c>
      <c r="W1183" t="str">
        <f t="shared" si="130"/>
        <v>Valid</v>
      </c>
      <c r="X1183">
        <f t="shared" si="132"/>
        <v>3872.4</v>
      </c>
      <c r="Y1183">
        <f t="shared" si="131"/>
        <v>3097.92</v>
      </c>
    </row>
    <row r="1184" spans="1:25" x14ac:dyDescent="0.3">
      <c r="A1184" t="s">
        <v>1533</v>
      </c>
      <c r="B1184" s="1">
        <v>45770</v>
      </c>
      <c r="C1184" t="s">
        <v>67</v>
      </c>
      <c r="D1184" t="s">
        <v>38</v>
      </c>
      <c r="E1184" t="s">
        <v>39</v>
      </c>
      <c r="F1184" t="s">
        <v>40</v>
      </c>
      <c r="G1184" t="s">
        <v>32</v>
      </c>
      <c r="H1184" t="s">
        <v>33</v>
      </c>
      <c r="I1184">
        <v>1</v>
      </c>
      <c r="J1184">
        <v>1599.31</v>
      </c>
      <c r="K1184">
        <v>0.1</v>
      </c>
      <c r="L1184">
        <v>1439.38</v>
      </c>
      <c r="M1184" t="s">
        <v>48</v>
      </c>
      <c r="N1184" t="s">
        <v>49</v>
      </c>
      <c r="O1184" t="s">
        <v>65</v>
      </c>
      <c r="P1184" t="s">
        <v>59</v>
      </c>
      <c r="Q1184" t="str">
        <f t="shared" si="126"/>
        <v>Completed</v>
      </c>
      <c r="R1184" t="str">
        <f t="shared" si="127"/>
        <v>Marketplace</v>
      </c>
      <c r="S1184" t="str">
        <v>Net Banking</v>
      </c>
      <c r="T1184" t="str">
        <v>Furniture</v>
      </c>
      <c r="U1184" t="str">
        <f t="shared" si="128"/>
        <v>VALID</v>
      </c>
      <c r="V1184" t="str">
        <f t="shared" si="129"/>
        <v>NORMAL</v>
      </c>
      <c r="W1184" t="str">
        <f t="shared" si="130"/>
        <v>Valid</v>
      </c>
      <c r="X1184">
        <f t="shared" si="132"/>
        <v>1599.31</v>
      </c>
      <c r="Y1184">
        <f t="shared" si="131"/>
        <v>1439.3789999999999</v>
      </c>
    </row>
    <row r="1185" spans="1:25" x14ac:dyDescent="0.3">
      <c r="A1185" t="s">
        <v>1534</v>
      </c>
      <c r="B1185" s="1">
        <v>45628</v>
      </c>
      <c r="C1185" t="s">
        <v>151</v>
      </c>
      <c r="D1185" t="s">
        <v>170</v>
      </c>
      <c r="E1185" t="s">
        <v>171</v>
      </c>
      <c r="F1185" t="s">
        <v>31</v>
      </c>
      <c r="G1185" t="s">
        <v>81</v>
      </c>
      <c r="H1185" t="s">
        <v>98</v>
      </c>
      <c r="I1185">
        <v>1</v>
      </c>
      <c r="J1185">
        <v>64046.879999999997</v>
      </c>
      <c r="K1185">
        <v>0.05</v>
      </c>
      <c r="L1185">
        <v>60844.54</v>
      </c>
      <c r="M1185" t="s">
        <v>76</v>
      </c>
      <c r="N1185" t="s">
        <v>58</v>
      </c>
      <c r="O1185" t="s">
        <v>65</v>
      </c>
      <c r="P1185" t="s">
        <v>116</v>
      </c>
      <c r="Q1185" t="str">
        <f t="shared" si="126"/>
        <v>Completed</v>
      </c>
      <c r="R1185" t="str">
        <f t="shared" si="127"/>
        <v>Store</v>
      </c>
      <c r="S1185" t="str">
        <v>Credit Card</v>
      </c>
      <c r="T1185" t="str">
        <v>Electronics</v>
      </c>
      <c r="U1185" t="str">
        <f t="shared" si="128"/>
        <v>VALID</v>
      </c>
      <c r="V1185" t="str">
        <f t="shared" si="129"/>
        <v>NORMAL</v>
      </c>
      <c r="W1185" t="str">
        <f t="shared" si="130"/>
        <v>Valid</v>
      </c>
      <c r="X1185">
        <f t="shared" si="132"/>
        <v>64046.879999999997</v>
      </c>
      <c r="Y1185">
        <f t="shared" si="131"/>
        <v>60844.536</v>
      </c>
    </row>
    <row r="1186" spans="1:25" x14ac:dyDescent="0.3">
      <c r="A1186" t="s">
        <v>1535</v>
      </c>
      <c r="B1186" s="1">
        <v>45574</v>
      </c>
      <c r="C1186" t="s">
        <v>350</v>
      </c>
      <c r="D1186" t="s">
        <v>131</v>
      </c>
      <c r="E1186" t="s">
        <v>132</v>
      </c>
      <c r="F1186" t="s">
        <v>40</v>
      </c>
      <c r="G1186" t="s">
        <v>21</v>
      </c>
      <c r="H1186" t="s">
        <v>41</v>
      </c>
      <c r="I1186">
        <v>5</v>
      </c>
      <c r="J1186">
        <v>9618.02</v>
      </c>
      <c r="K1186">
        <v>0.03</v>
      </c>
      <c r="L1186">
        <v>46647.4</v>
      </c>
      <c r="M1186" t="s">
        <v>23</v>
      </c>
      <c r="N1186" t="s">
        <v>71</v>
      </c>
      <c r="O1186" t="s">
        <v>65</v>
      </c>
      <c r="P1186" t="s">
        <v>102</v>
      </c>
      <c r="Q1186" t="str">
        <f t="shared" si="126"/>
        <v>Completed</v>
      </c>
      <c r="R1186" t="str">
        <f t="shared" si="127"/>
        <v>Online</v>
      </c>
      <c r="S1186" t="str">
        <v>Upi</v>
      </c>
      <c r="T1186" t="str">
        <v>Furniture</v>
      </c>
      <c r="U1186" t="str">
        <f t="shared" si="128"/>
        <v>VALID</v>
      </c>
      <c r="V1186" t="str">
        <f t="shared" si="129"/>
        <v>NORMAL</v>
      </c>
      <c r="W1186" t="str">
        <f t="shared" si="130"/>
        <v>Valid</v>
      </c>
      <c r="X1186">
        <f t="shared" si="132"/>
        <v>48090.100000000006</v>
      </c>
      <c r="Y1186">
        <f t="shared" si="131"/>
        <v>46647.397000000004</v>
      </c>
    </row>
    <row r="1187" spans="1:25" x14ac:dyDescent="0.3">
      <c r="A1187" t="s">
        <v>1536</v>
      </c>
      <c r="B1187" s="1">
        <v>45795</v>
      </c>
      <c r="C1187" t="s">
        <v>247</v>
      </c>
      <c r="D1187" t="s">
        <v>62</v>
      </c>
      <c r="E1187" t="s">
        <v>63</v>
      </c>
      <c r="F1187" t="s">
        <v>31</v>
      </c>
      <c r="G1187" t="s">
        <v>21</v>
      </c>
      <c r="H1187" t="s">
        <v>22</v>
      </c>
      <c r="I1187">
        <v>1</v>
      </c>
      <c r="J1187">
        <v>2804.24</v>
      </c>
      <c r="K1187">
        <v>0.05</v>
      </c>
      <c r="L1187">
        <v>2664.03</v>
      </c>
      <c r="M1187" t="s">
        <v>76</v>
      </c>
      <c r="N1187" t="s">
        <v>24</v>
      </c>
      <c r="O1187" t="s">
        <v>65</v>
      </c>
      <c r="P1187" t="s">
        <v>42</v>
      </c>
      <c r="Q1187" t="str">
        <f t="shared" si="126"/>
        <v>Completed</v>
      </c>
      <c r="R1187" t="str">
        <f t="shared" si="127"/>
        <v>Store</v>
      </c>
      <c r="S1187" t="str">
        <v>Debit Card</v>
      </c>
      <c r="T1187" t="str">
        <v>Electronics</v>
      </c>
      <c r="U1187" t="str">
        <f t="shared" si="128"/>
        <v>VALID</v>
      </c>
      <c r="V1187" t="str">
        <f t="shared" si="129"/>
        <v>NORMAL</v>
      </c>
      <c r="W1187" t="str">
        <f t="shared" si="130"/>
        <v>Valid</v>
      </c>
      <c r="X1187">
        <f t="shared" si="132"/>
        <v>2804.24</v>
      </c>
      <c r="Y1187">
        <f t="shared" si="131"/>
        <v>2664.0279999999998</v>
      </c>
    </row>
    <row r="1188" spans="1:25" x14ac:dyDescent="0.3">
      <c r="A1188" t="s">
        <v>1537</v>
      </c>
      <c r="B1188" s="1">
        <v>45601</v>
      </c>
      <c r="C1188" t="s">
        <v>1257</v>
      </c>
      <c r="D1188" t="s">
        <v>176</v>
      </c>
      <c r="E1188" t="s">
        <v>177</v>
      </c>
      <c r="F1188" t="s">
        <v>31</v>
      </c>
      <c r="G1188" t="s">
        <v>81</v>
      </c>
      <c r="H1188" t="s">
        <v>87</v>
      </c>
      <c r="I1188">
        <v>3</v>
      </c>
      <c r="J1188">
        <v>2173.9499999999998</v>
      </c>
      <c r="K1188">
        <v>0.05</v>
      </c>
      <c r="L1188">
        <v>6195.76</v>
      </c>
      <c r="M1188" t="s">
        <v>23</v>
      </c>
      <c r="N1188" t="s">
        <v>58</v>
      </c>
      <c r="O1188" t="s">
        <v>65</v>
      </c>
      <c r="P1188" t="s">
        <v>111</v>
      </c>
      <c r="Q1188" t="str">
        <f t="shared" si="126"/>
        <v>Completed</v>
      </c>
      <c r="R1188" t="str">
        <f t="shared" si="127"/>
        <v>Online</v>
      </c>
      <c r="S1188" t="str">
        <v>Credit Card</v>
      </c>
      <c r="T1188" t="str">
        <v>Electronics</v>
      </c>
      <c r="U1188" t="str">
        <f t="shared" si="128"/>
        <v>VALID</v>
      </c>
      <c r="V1188" t="str">
        <f t="shared" si="129"/>
        <v>NORMAL</v>
      </c>
      <c r="W1188" t="str">
        <f t="shared" si="130"/>
        <v>Valid</v>
      </c>
      <c r="X1188">
        <f t="shared" si="132"/>
        <v>6521.8499999999995</v>
      </c>
      <c r="Y1188">
        <f t="shared" si="131"/>
        <v>6195.7574999999997</v>
      </c>
    </row>
    <row r="1189" spans="1:25" x14ac:dyDescent="0.3">
      <c r="A1189" t="s">
        <v>1538</v>
      </c>
      <c r="B1189" s="1">
        <v>45333</v>
      </c>
      <c r="C1189" t="s">
        <v>309</v>
      </c>
      <c r="D1189" t="s">
        <v>170</v>
      </c>
      <c r="E1189" t="s">
        <v>171</v>
      </c>
      <c r="F1189" t="s">
        <v>31</v>
      </c>
      <c r="G1189" t="s">
        <v>21</v>
      </c>
      <c r="H1189" t="s">
        <v>93</v>
      </c>
      <c r="I1189">
        <v>2</v>
      </c>
      <c r="J1189">
        <v>67798.759999999995</v>
      </c>
      <c r="K1189">
        <v>0.15</v>
      </c>
      <c r="L1189">
        <v>115257.89</v>
      </c>
      <c r="M1189" t="s">
        <v>76</v>
      </c>
      <c r="N1189" t="s">
        <v>71</v>
      </c>
      <c r="O1189" t="s">
        <v>65</v>
      </c>
      <c r="P1189" t="s">
        <v>111</v>
      </c>
      <c r="Q1189" t="str">
        <f t="shared" si="126"/>
        <v>Completed</v>
      </c>
      <c r="R1189" t="str">
        <f t="shared" si="127"/>
        <v>Store</v>
      </c>
      <c r="S1189" t="str">
        <v>Upi</v>
      </c>
      <c r="T1189" t="str">
        <v>Electronics</v>
      </c>
      <c r="U1189" t="str">
        <f t="shared" si="128"/>
        <v>VALID</v>
      </c>
      <c r="V1189" t="str">
        <f t="shared" si="129"/>
        <v>NORMAL</v>
      </c>
      <c r="W1189" t="str">
        <f t="shared" si="130"/>
        <v>Valid</v>
      </c>
      <c r="X1189">
        <f t="shared" si="132"/>
        <v>135597.51999999999</v>
      </c>
      <c r="Y1189">
        <f t="shared" si="131"/>
        <v>115257.89199999999</v>
      </c>
    </row>
    <row r="1190" spans="1:25" x14ac:dyDescent="0.3">
      <c r="A1190" t="s">
        <v>1539</v>
      </c>
      <c r="B1190" s="1">
        <v>45526</v>
      </c>
      <c r="C1190" t="s">
        <v>78</v>
      </c>
      <c r="D1190" t="s">
        <v>170</v>
      </c>
      <c r="E1190" t="s">
        <v>171</v>
      </c>
      <c r="F1190" t="s">
        <v>31</v>
      </c>
      <c r="G1190" t="s">
        <v>21</v>
      </c>
      <c r="H1190" t="s">
        <v>41</v>
      </c>
      <c r="I1190">
        <v>2</v>
      </c>
      <c r="J1190">
        <v>63889.04</v>
      </c>
      <c r="K1190">
        <v>0.15</v>
      </c>
      <c r="L1190">
        <v>108611.37</v>
      </c>
      <c r="M1190" t="s">
        <v>23</v>
      </c>
      <c r="N1190" t="s">
        <v>58</v>
      </c>
      <c r="O1190" t="s">
        <v>65</v>
      </c>
      <c r="P1190" t="s">
        <v>102</v>
      </c>
      <c r="Q1190" t="str">
        <f t="shared" si="126"/>
        <v>Completed</v>
      </c>
      <c r="R1190" t="str">
        <f t="shared" si="127"/>
        <v>Online</v>
      </c>
      <c r="S1190" t="str">
        <v>Credit Card</v>
      </c>
      <c r="T1190" t="str">
        <v>Electronics</v>
      </c>
      <c r="U1190" t="str">
        <f t="shared" si="128"/>
        <v>VALID</v>
      </c>
      <c r="V1190" t="str">
        <f t="shared" si="129"/>
        <v>NORMAL</v>
      </c>
      <c r="W1190" t="str">
        <f t="shared" si="130"/>
        <v>Valid</v>
      </c>
      <c r="X1190">
        <f t="shared" si="132"/>
        <v>127778.08</v>
      </c>
      <c r="Y1190">
        <f t="shared" si="131"/>
        <v>108611.368</v>
      </c>
    </row>
    <row r="1191" spans="1:25" x14ac:dyDescent="0.3">
      <c r="A1191" t="s">
        <v>1540</v>
      </c>
      <c r="B1191" s="1">
        <v>45839</v>
      </c>
      <c r="C1191" t="s">
        <v>315</v>
      </c>
      <c r="D1191" t="s">
        <v>105</v>
      </c>
      <c r="E1191" t="s">
        <v>106</v>
      </c>
      <c r="F1191" t="s">
        <v>40</v>
      </c>
      <c r="G1191" t="s">
        <v>81</v>
      </c>
      <c r="H1191" t="s">
        <v>87</v>
      </c>
      <c r="I1191">
        <v>4</v>
      </c>
      <c r="J1191">
        <v>7128.76</v>
      </c>
      <c r="K1191">
        <v>0.1</v>
      </c>
      <c r="L1191">
        <v>25663.54</v>
      </c>
      <c r="M1191" t="s">
        <v>76</v>
      </c>
      <c r="N1191" t="s">
        <v>58</v>
      </c>
      <c r="O1191" t="s">
        <v>65</v>
      </c>
      <c r="P1191" t="s">
        <v>111</v>
      </c>
      <c r="Q1191" t="str">
        <f t="shared" si="126"/>
        <v>Completed</v>
      </c>
      <c r="R1191" t="str">
        <f t="shared" si="127"/>
        <v>Store</v>
      </c>
      <c r="S1191" t="str">
        <v>Credit Card</v>
      </c>
      <c r="T1191" t="str">
        <v>Furniture</v>
      </c>
      <c r="U1191" t="str">
        <f t="shared" si="128"/>
        <v>VALID</v>
      </c>
      <c r="V1191" t="str">
        <f t="shared" si="129"/>
        <v>NORMAL</v>
      </c>
      <c r="W1191" t="str">
        <f t="shared" si="130"/>
        <v>Valid</v>
      </c>
      <c r="X1191">
        <f t="shared" si="132"/>
        <v>28515.040000000001</v>
      </c>
      <c r="Y1191">
        <f t="shared" si="131"/>
        <v>25663.536</v>
      </c>
    </row>
    <row r="1192" spans="1:25" x14ac:dyDescent="0.3">
      <c r="A1192" t="s">
        <v>1541</v>
      </c>
      <c r="B1192" s="1">
        <v>45775</v>
      </c>
      <c r="C1192" t="s">
        <v>836</v>
      </c>
      <c r="D1192" t="s">
        <v>105</v>
      </c>
      <c r="E1192" t="s">
        <v>106</v>
      </c>
      <c r="F1192" t="s">
        <v>40</v>
      </c>
      <c r="G1192" t="s">
        <v>21</v>
      </c>
      <c r="H1192" t="s">
        <v>22</v>
      </c>
      <c r="I1192">
        <v>4</v>
      </c>
      <c r="J1192">
        <v>6729.83</v>
      </c>
      <c r="K1192">
        <v>0</v>
      </c>
      <c r="L1192">
        <v>26919.32</v>
      </c>
      <c r="M1192" t="s">
        <v>76</v>
      </c>
      <c r="N1192" t="s">
        <v>24</v>
      </c>
      <c r="O1192" t="s">
        <v>65</v>
      </c>
      <c r="P1192" t="s">
        <v>111</v>
      </c>
      <c r="Q1192" t="str">
        <f t="shared" si="126"/>
        <v>Completed</v>
      </c>
      <c r="R1192" t="str">
        <f t="shared" si="127"/>
        <v>Store</v>
      </c>
      <c r="S1192" t="str">
        <v>Debit Card</v>
      </c>
      <c r="T1192" t="str">
        <v>Furniture</v>
      </c>
      <c r="U1192" t="str">
        <f t="shared" si="128"/>
        <v>VALID</v>
      </c>
      <c r="V1192" t="str">
        <f t="shared" si="129"/>
        <v>NORMAL</v>
      </c>
      <c r="W1192" t="str">
        <f t="shared" si="130"/>
        <v>Valid</v>
      </c>
      <c r="X1192">
        <f t="shared" si="132"/>
        <v>26919.32</v>
      </c>
      <c r="Y1192">
        <f t="shared" si="131"/>
        <v>26919.32</v>
      </c>
    </row>
    <row r="1193" spans="1:25" x14ac:dyDescent="0.3">
      <c r="A1193" t="s">
        <v>1542</v>
      </c>
      <c r="B1193" s="1">
        <v>45709</v>
      </c>
      <c r="C1193" t="s">
        <v>373</v>
      </c>
      <c r="D1193" t="s">
        <v>85</v>
      </c>
      <c r="E1193" t="s">
        <v>86</v>
      </c>
      <c r="F1193" t="s">
        <v>20</v>
      </c>
      <c r="G1193" t="s">
        <v>32</v>
      </c>
      <c r="H1193" t="s">
        <v>75</v>
      </c>
      <c r="I1193">
        <v>4</v>
      </c>
      <c r="J1193">
        <v>1882.59</v>
      </c>
      <c r="K1193">
        <v>0.2</v>
      </c>
      <c r="L1193">
        <v>6024.29</v>
      </c>
      <c r="M1193" t="s">
        <v>23</v>
      </c>
      <c r="N1193" t="s">
        <v>24</v>
      </c>
      <c r="O1193" t="s">
        <v>25</v>
      </c>
      <c r="P1193" t="s">
        <v>26</v>
      </c>
      <c r="Q1193" t="str">
        <f t="shared" si="126"/>
        <v>Returned</v>
      </c>
      <c r="R1193" t="str">
        <f t="shared" si="127"/>
        <v>Online</v>
      </c>
      <c r="S1193" t="str">
        <v>Debit Card</v>
      </c>
      <c r="T1193" t="str">
        <v>Accessories</v>
      </c>
      <c r="U1193" t="str">
        <f t="shared" si="128"/>
        <v>VALID</v>
      </c>
      <c r="V1193" t="str">
        <f t="shared" si="129"/>
        <v>NORMAL</v>
      </c>
      <c r="W1193" t="str">
        <f t="shared" si="130"/>
        <v>Valid</v>
      </c>
      <c r="X1193">
        <f t="shared" si="132"/>
        <v>7530.36</v>
      </c>
      <c r="Y1193">
        <f t="shared" si="131"/>
        <v>6024.2879999999996</v>
      </c>
    </row>
    <row r="1194" spans="1:25" x14ac:dyDescent="0.3">
      <c r="A1194" t="s">
        <v>1543</v>
      </c>
      <c r="B1194" s="1">
        <v>45296</v>
      </c>
      <c r="C1194" t="s">
        <v>78</v>
      </c>
      <c r="D1194" t="s">
        <v>131</v>
      </c>
      <c r="E1194" t="s">
        <v>132</v>
      </c>
      <c r="F1194" t="s">
        <v>40</v>
      </c>
      <c r="G1194" t="s">
        <v>21</v>
      </c>
      <c r="H1194" t="s">
        <v>22</v>
      </c>
      <c r="I1194">
        <v>5</v>
      </c>
      <c r="J1194">
        <v>9146.17</v>
      </c>
      <c r="K1194">
        <v>0.08</v>
      </c>
      <c r="L1194">
        <v>42072.38</v>
      </c>
      <c r="M1194" t="s">
        <v>48</v>
      </c>
      <c r="N1194" t="s">
        <v>24</v>
      </c>
      <c r="O1194" t="s">
        <v>25</v>
      </c>
      <c r="P1194" t="s">
        <v>102</v>
      </c>
      <c r="Q1194" t="str">
        <f t="shared" si="126"/>
        <v>Returned</v>
      </c>
      <c r="R1194" t="str">
        <f t="shared" si="127"/>
        <v>Marketplace</v>
      </c>
      <c r="S1194" t="str">
        <v>Debit Card</v>
      </c>
      <c r="T1194" t="str">
        <v>Furniture</v>
      </c>
      <c r="U1194" t="str">
        <f t="shared" si="128"/>
        <v>VALID</v>
      </c>
      <c r="V1194" t="str">
        <f t="shared" si="129"/>
        <v>NORMAL</v>
      </c>
      <c r="W1194" t="str">
        <f t="shared" si="130"/>
        <v>Valid</v>
      </c>
      <c r="X1194">
        <f t="shared" si="132"/>
        <v>45730.85</v>
      </c>
      <c r="Y1194">
        <f t="shared" si="131"/>
        <v>42072.381999999998</v>
      </c>
    </row>
    <row r="1195" spans="1:25" x14ac:dyDescent="0.3">
      <c r="A1195" t="s">
        <v>1544</v>
      </c>
      <c r="B1195" s="1">
        <v>45679</v>
      </c>
      <c r="C1195" t="s">
        <v>409</v>
      </c>
      <c r="D1195" t="s">
        <v>170</v>
      </c>
      <c r="E1195" t="s">
        <v>171</v>
      </c>
      <c r="F1195" t="s">
        <v>31</v>
      </c>
      <c r="G1195" t="s">
        <v>32</v>
      </c>
      <c r="H1195" t="s">
        <v>33</v>
      </c>
      <c r="I1195">
        <v>3</v>
      </c>
      <c r="J1195">
        <v>60091.06</v>
      </c>
      <c r="K1195">
        <v>0</v>
      </c>
      <c r="L1195">
        <v>180273.18</v>
      </c>
      <c r="M1195" t="s">
        <v>76</v>
      </c>
      <c r="N1195" t="s">
        <v>24</v>
      </c>
      <c r="O1195" t="s">
        <v>25</v>
      </c>
      <c r="P1195" t="s">
        <v>42</v>
      </c>
      <c r="Q1195" t="str">
        <f t="shared" si="126"/>
        <v>Returned</v>
      </c>
      <c r="R1195" t="str">
        <f t="shared" si="127"/>
        <v>Store</v>
      </c>
      <c r="S1195" t="str">
        <v>Debit Card</v>
      </c>
      <c r="T1195" t="str">
        <v>Electronics</v>
      </c>
      <c r="U1195" t="str">
        <f t="shared" si="128"/>
        <v>VALID</v>
      </c>
      <c r="V1195" t="str">
        <f t="shared" si="129"/>
        <v>NORMAL</v>
      </c>
      <c r="W1195" t="str">
        <f t="shared" si="130"/>
        <v>Valid</v>
      </c>
      <c r="X1195">
        <f t="shared" si="132"/>
        <v>180273.18</v>
      </c>
      <c r="Y1195">
        <f t="shared" si="131"/>
        <v>180273.18</v>
      </c>
    </row>
    <row r="1196" spans="1:25" x14ac:dyDescent="0.3">
      <c r="A1196" t="s">
        <v>1545</v>
      </c>
      <c r="B1196" s="1">
        <v>45962</v>
      </c>
      <c r="C1196" t="s">
        <v>287</v>
      </c>
      <c r="D1196" t="s">
        <v>89</v>
      </c>
      <c r="E1196" t="s">
        <v>90</v>
      </c>
      <c r="F1196" t="s">
        <v>20</v>
      </c>
      <c r="G1196" t="s">
        <v>21</v>
      </c>
      <c r="H1196" t="s">
        <v>93</v>
      </c>
      <c r="I1196">
        <v>2</v>
      </c>
      <c r="J1196">
        <v>715.1</v>
      </c>
      <c r="K1196">
        <v>0.1</v>
      </c>
      <c r="L1196">
        <v>1287.18</v>
      </c>
      <c r="M1196" t="s">
        <v>23</v>
      </c>
      <c r="N1196" t="s">
        <v>34</v>
      </c>
      <c r="O1196" t="s">
        <v>35</v>
      </c>
      <c r="P1196" t="s">
        <v>72</v>
      </c>
      <c r="Q1196" t="str">
        <f t="shared" si="126"/>
        <v>Cancelled</v>
      </c>
      <c r="R1196" t="str">
        <f t="shared" si="127"/>
        <v>Online</v>
      </c>
      <c r="S1196" t="str">
        <v>Cash On Delivery</v>
      </c>
      <c r="T1196" t="str">
        <v>Accessories</v>
      </c>
      <c r="U1196" t="str">
        <f t="shared" si="128"/>
        <v>VALID</v>
      </c>
      <c r="V1196" t="str">
        <f t="shared" si="129"/>
        <v>NORMAL</v>
      </c>
      <c r="W1196" t="str">
        <f t="shared" si="130"/>
        <v>Valid</v>
      </c>
      <c r="X1196">
        <f t="shared" si="132"/>
        <v>1430.2</v>
      </c>
      <c r="Y1196">
        <f t="shared" si="131"/>
        <v>1287.18</v>
      </c>
    </row>
    <row r="1197" spans="1:25" x14ac:dyDescent="0.3">
      <c r="A1197" t="s">
        <v>1546</v>
      </c>
      <c r="B1197" s="1">
        <v>45636</v>
      </c>
      <c r="C1197" t="s">
        <v>355</v>
      </c>
      <c r="D1197" t="s">
        <v>79</v>
      </c>
      <c r="E1197" t="s">
        <v>80</v>
      </c>
      <c r="F1197" t="s">
        <v>31</v>
      </c>
      <c r="G1197" t="s">
        <v>32</v>
      </c>
      <c r="H1197" t="s">
        <v>68</v>
      </c>
      <c r="I1197">
        <v>5</v>
      </c>
      <c r="J1197">
        <v>11604.43</v>
      </c>
      <c r="K1197">
        <v>0.1</v>
      </c>
      <c r="L1197">
        <v>52219.94</v>
      </c>
      <c r="M1197" t="s">
        <v>48</v>
      </c>
      <c r="N1197" t="s">
        <v>71</v>
      </c>
      <c r="O1197" t="s">
        <v>35</v>
      </c>
      <c r="P1197" t="s">
        <v>102</v>
      </c>
      <c r="Q1197" t="str">
        <f t="shared" si="126"/>
        <v>Cancelled</v>
      </c>
      <c r="R1197" t="str">
        <f t="shared" si="127"/>
        <v>Marketplace</v>
      </c>
      <c r="S1197" t="str">
        <v>Upi</v>
      </c>
      <c r="T1197" t="str">
        <v>Electronics</v>
      </c>
      <c r="U1197" t="str">
        <f t="shared" si="128"/>
        <v>VALID</v>
      </c>
      <c r="V1197" t="str">
        <f t="shared" si="129"/>
        <v>NORMAL</v>
      </c>
      <c r="W1197" t="str">
        <f t="shared" si="130"/>
        <v>Valid</v>
      </c>
      <c r="X1197">
        <f t="shared" si="132"/>
        <v>58022.15</v>
      </c>
      <c r="Y1197">
        <f t="shared" si="131"/>
        <v>52219.934999999998</v>
      </c>
    </row>
    <row r="1198" spans="1:25" x14ac:dyDescent="0.3">
      <c r="A1198" t="s">
        <v>1547</v>
      </c>
      <c r="B1198" s="1">
        <v>45572</v>
      </c>
      <c r="C1198" t="s">
        <v>828</v>
      </c>
      <c r="D1198" t="s">
        <v>29</v>
      </c>
      <c r="E1198" t="s">
        <v>30</v>
      </c>
      <c r="F1198" t="s">
        <v>31</v>
      </c>
      <c r="G1198" t="s">
        <v>32</v>
      </c>
      <c r="H1198" t="s">
        <v>75</v>
      </c>
      <c r="I1198">
        <v>3</v>
      </c>
      <c r="J1198">
        <v>3391.3</v>
      </c>
      <c r="K1198">
        <v>0.08</v>
      </c>
      <c r="L1198">
        <v>9359.99</v>
      </c>
      <c r="M1198" t="s">
        <v>23</v>
      </c>
      <c r="N1198" t="s">
        <v>24</v>
      </c>
      <c r="O1198" t="s">
        <v>35</v>
      </c>
      <c r="P1198" t="s">
        <v>72</v>
      </c>
      <c r="Q1198" t="str">
        <f t="shared" si="126"/>
        <v>Cancelled</v>
      </c>
      <c r="R1198" t="str">
        <f t="shared" si="127"/>
        <v>Online</v>
      </c>
      <c r="S1198" t="str">
        <v>Debit Card</v>
      </c>
      <c r="T1198" t="str">
        <v>Electronics</v>
      </c>
      <c r="U1198" t="str">
        <f t="shared" si="128"/>
        <v>VALID</v>
      </c>
      <c r="V1198" t="str">
        <f t="shared" si="129"/>
        <v>NORMAL</v>
      </c>
      <c r="W1198" t="str">
        <f t="shared" si="130"/>
        <v>Valid</v>
      </c>
      <c r="X1198">
        <f t="shared" si="132"/>
        <v>10173.900000000001</v>
      </c>
      <c r="Y1198">
        <f t="shared" si="131"/>
        <v>9359.9880000000012</v>
      </c>
    </row>
    <row r="1199" spans="1:25" x14ac:dyDescent="0.3">
      <c r="A1199" t="s">
        <v>1548</v>
      </c>
      <c r="B1199" s="1">
        <v>45988</v>
      </c>
      <c r="C1199" t="s">
        <v>289</v>
      </c>
      <c r="D1199" t="s">
        <v>79</v>
      </c>
      <c r="E1199" t="s">
        <v>80</v>
      </c>
      <c r="F1199" t="s">
        <v>31</v>
      </c>
      <c r="G1199" t="s">
        <v>56</v>
      </c>
      <c r="H1199" t="s">
        <v>123</v>
      </c>
      <c r="I1199">
        <v>3</v>
      </c>
      <c r="J1199">
        <v>11945.98</v>
      </c>
      <c r="K1199">
        <v>0.08</v>
      </c>
      <c r="L1199">
        <v>32970.9</v>
      </c>
      <c r="M1199" t="s">
        <v>48</v>
      </c>
      <c r="O1199" t="s">
        <v>65</v>
      </c>
      <c r="P1199" t="s">
        <v>26</v>
      </c>
      <c r="Q1199" t="str">
        <f t="shared" si="126"/>
        <v>Completed</v>
      </c>
      <c r="R1199" t="str">
        <f t="shared" si="127"/>
        <v>Marketplace</v>
      </c>
      <c r="S1199" t="str">
        <v/>
      </c>
      <c r="T1199" t="str">
        <v>Electronics</v>
      </c>
      <c r="U1199" t="str">
        <f t="shared" si="128"/>
        <v>VALID</v>
      </c>
      <c r="V1199" t="str">
        <f t="shared" si="129"/>
        <v>NORMAL</v>
      </c>
      <c r="W1199" t="str">
        <f t="shared" si="130"/>
        <v>Valid</v>
      </c>
      <c r="X1199">
        <f t="shared" si="132"/>
        <v>35837.94</v>
      </c>
      <c r="Y1199">
        <f t="shared" si="131"/>
        <v>32970.904800000004</v>
      </c>
    </row>
    <row r="1200" spans="1:25" x14ac:dyDescent="0.3">
      <c r="A1200" t="s">
        <v>1549</v>
      </c>
      <c r="B1200" s="1">
        <v>46128</v>
      </c>
      <c r="C1200" t="s">
        <v>173</v>
      </c>
      <c r="D1200" t="s">
        <v>38</v>
      </c>
      <c r="E1200" t="s">
        <v>39</v>
      </c>
      <c r="F1200" t="s">
        <v>40</v>
      </c>
      <c r="G1200" t="s">
        <v>21</v>
      </c>
      <c r="H1200" t="s">
        <v>22</v>
      </c>
      <c r="I1200">
        <v>3</v>
      </c>
      <c r="J1200">
        <v>1654.5</v>
      </c>
      <c r="K1200">
        <v>0.2</v>
      </c>
      <c r="L1200">
        <v>3970.8</v>
      </c>
      <c r="M1200" t="s">
        <v>76</v>
      </c>
      <c r="N1200" t="s">
        <v>34</v>
      </c>
      <c r="O1200" t="s">
        <v>65</v>
      </c>
      <c r="P1200" t="s">
        <v>111</v>
      </c>
      <c r="Q1200" t="str">
        <f t="shared" si="126"/>
        <v>Completed</v>
      </c>
      <c r="R1200" t="str">
        <f t="shared" si="127"/>
        <v>Store</v>
      </c>
      <c r="S1200" t="str">
        <v>Cash On Delivery</v>
      </c>
      <c r="T1200" t="str">
        <v>Furniture</v>
      </c>
      <c r="U1200" t="str">
        <f t="shared" si="128"/>
        <v>VALID</v>
      </c>
      <c r="V1200" t="str">
        <f t="shared" si="129"/>
        <v>NORMAL</v>
      </c>
      <c r="W1200" t="str">
        <f t="shared" si="130"/>
        <v>Valid</v>
      </c>
      <c r="X1200">
        <f t="shared" si="132"/>
        <v>4963.5</v>
      </c>
      <c r="Y1200">
        <f t="shared" si="131"/>
        <v>3970.8</v>
      </c>
    </row>
    <row r="1201" spans="1:25" x14ac:dyDescent="0.3">
      <c r="A1201" t="s">
        <v>1550</v>
      </c>
      <c r="B1201" s="1">
        <v>45668</v>
      </c>
      <c r="C1201" t="s">
        <v>657</v>
      </c>
      <c r="D1201" t="s">
        <v>38</v>
      </c>
      <c r="E1201" t="s">
        <v>39</v>
      </c>
      <c r="F1201" t="s">
        <v>40</v>
      </c>
      <c r="G1201" t="s">
        <v>21</v>
      </c>
      <c r="H1201" t="s">
        <v>41</v>
      </c>
      <c r="I1201">
        <v>1</v>
      </c>
      <c r="J1201">
        <v>1534.26</v>
      </c>
      <c r="K1201">
        <v>0.15</v>
      </c>
      <c r="L1201">
        <v>1304.1199999999999</v>
      </c>
      <c r="M1201" t="s">
        <v>23</v>
      </c>
      <c r="N1201" t="s">
        <v>58</v>
      </c>
      <c r="O1201" t="s">
        <v>65</v>
      </c>
      <c r="P1201" t="s">
        <v>42</v>
      </c>
      <c r="Q1201" t="str">
        <f t="shared" si="126"/>
        <v>Completed</v>
      </c>
      <c r="R1201" t="str">
        <f t="shared" si="127"/>
        <v>Online</v>
      </c>
      <c r="S1201" t="str">
        <v>Credit Card</v>
      </c>
      <c r="T1201" t="str">
        <v>Furniture</v>
      </c>
      <c r="U1201" t="str">
        <f t="shared" si="128"/>
        <v>VALID</v>
      </c>
      <c r="V1201" t="str">
        <f t="shared" si="129"/>
        <v>NORMAL</v>
      </c>
      <c r="W1201" t="str">
        <f t="shared" si="130"/>
        <v>Valid</v>
      </c>
      <c r="X1201">
        <f t="shared" si="132"/>
        <v>1534.26</v>
      </c>
      <c r="Y1201">
        <f t="shared" si="131"/>
        <v>1304.1210000000001</v>
      </c>
    </row>
    <row r="1202" spans="1:25" x14ac:dyDescent="0.3">
      <c r="A1202" t="s">
        <v>1551</v>
      </c>
      <c r="B1202" s="1">
        <v>46174</v>
      </c>
      <c r="C1202" t="s">
        <v>1498</v>
      </c>
      <c r="D1202" t="s">
        <v>45</v>
      </c>
      <c r="E1202" t="s">
        <v>46</v>
      </c>
      <c r="F1202" t="s">
        <v>31</v>
      </c>
      <c r="G1202" t="s">
        <v>21</v>
      </c>
      <c r="H1202" t="s">
        <v>22</v>
      </c>
      <c r="I1202">
        <v>5</v>
      </c>
      <c r="J1202">
        <v>1795.22</v>
      </c>
      <c r="K1202">
        <v>0.2</v>
      </c>
      <c r="L1202">
        <v>7180.88</v>
      </c>
      <c r="M1202" t="s">
        <v>23</v>
      </c>
      <c r="N1202" t="s">
        <v>49</v>
      </c>
      <c r="O1202" t="s">
        <v>35</v>
      </c>
      <c r="P1202" t="s">
        <v>116</v>
      </c>
      <c r="Q1202" t="str">
        <f t="shared" si="126"/>
        <v>Cancelled</v>
      </c>
      <c r="R1202" t="str">
        <f t="shared" si="127"/>
        <v>Online</v>
      </c>
      <c r="S1202" t="str">
        <v>Net Banking</v>
      </c>
      <c r="T1202" t="str">
        <v>Electronics</v>
      </c>
      <c r="U1202" t="str">
        <f t="shared" si="128"/>
        <v>VALID</v>
      </c>
      <c r="V1202" t="str">
        <f t="shared" si="129"/>
        <v>NORMAL</v>
      </c>
      <c r="W1202" t="str">
        <f t="shared" si="130"/>
        <v>Valid</v>
      </c>
      <c r="X1202">
        <f t="shared" si="132"/>
        <v>8976.1</v>
      </c>
      <c r="Y1202">
        <f t="shared" si="131"/>
        <v>7180.88</v>
      </c>
    </row>
    <row r="1203" spans="1:25" x14ac:dyDescent="0.3">
      <c r="A1203" t="s">
        <v>1552</v>
      </c>
      <c r="B1203" s="1">
        <v>46004</v>
      </c>
      <c r="C1203" t="s">
        <v>445</v>
      </c>
      <c r="D1203" t="s">
        <v>29</v>
      </c>
      <c r="E1203" t="s">
        <v>30</v>
      </c>
      <c r="F1203" t="s">
        <v>31</v>
      </c>
      <c r="G1203" t="s">
        <v>56</v>
      </c>
      <c r="H1203" t="s">
        <v>64</v>
      </c>
      <c r="I1203">
        <v>2</v>
      </c>
      <c r="J1203">
        <v>2959.67</v>
      </c>
      <c r="K1203">
        <v>0.2</v>
      </c>
      <c r="L1203">
        <v>4735.47</v>
      </c>
      <c r="M1203" t="s">
        <v>48</v>
      </c>
      <c r="N1203" t="s">
        <v>24</v>
      </c>
      <c r="O1203" t="s">
        <v>35</v>
      </c>
      <c r="P1203" t="s">
        <v>26</v>
      </c>
      <c r="Q1203" t="str">
        <f t="shared" si="126"/>
        <v>Cancelled</v>
      </c>
      <c r="R1203" t="str">
        <f t="shared" si="127"/>
        <v>Marketplace</v>
      </c>
      <c r="S1203" t="str">
        <v>Debit Card</v>
      </c>
      <c r="T1203" t="str">
        <v>Electronics</v>
      </c>
      <c r="U1203" t="str">
        <f t="shared" si="128"/>
        <v>VALID</v>
      </c>
      <c r="V1203" t="str">
        <f t="shared" si="129"/>
        <v>NORMAL</v>
      </c>
      <c r="W1203" t="str">
        <f t="shared" si="130"/>
        <v>Valid</v>
      </c>
      <c r="X1203">
        <f t="shared" si="132"/>
        <v>5919.34</v>
      </c>
      <c r="Y1203">
        <f t="shared" si="131"/>
        <v>4735.4719999999998</v>
      </c>
    </row>
    <row r="1204" spans="1:25" x14ac:dyDescent="0.3">
      <c r="A1204" t="s">
        <v>1553</v>
      </c>
      <c r="B1204" s="1">
        <v>45843</v>
      </c>
      <c r="C1204" t="s">
        <v>227</v>
      </c>
      <c r="D1204" t="s">
        <v>79</v>
      </c>
      <c r="E1204" t="s">
        <v>80</v>
      </c>
      <c r="F1204" t="s">
        <v>31</v>
      </c>
      <c r="G1204" t="s">
        <v>32</v>
      </c>
      <c r="H1204" t="s">
        <v>33</v>
      </c>
      <c r="I1204">
        <v>3</v>
      </c>
      <c r="J1204">
        <v>12608.18</v>
      </c>
      <c r="K1204">
        <v>0.08</v>
      </c>
      <c r="L1204">
        <v>34798.58</v>
      </c>
      <c r="M1204" t="s">
        <v>76</v>
      </c>
      <c r="N1204" t="s">
        <v>58</v>
      </c>
      <c r="O1204" t="s">
        <v>25</v>
      </c>
      <c r="P1204" t="s">
        <v>26</v>
      </c>
      <c r="Q1204" t="str">
        <f t="shared" si="126"/>
        <v>Returned</v>
      </c>
      <c r="R1204" t="str">
        <f t="shared" si="127"/>
        <v>Store</v>
      </c>
      <c r="S1204" t="str">
        <v>Credit Card</v>
      </c>
      <c r="T1204" t="str">
        <v>Electronics</v>
      </c>
      <c r="U1204" t="str">
        <f t="shared" si="128"/>
        <v>VALID</v>
      </c>
      <c r="V1204" t="str">
        <f t="shared" si="129"/>
        <v>NORMAL</v>
      </c>
      <c r="W1204" t="str">
        <f t="shared" si="130"/>
        <v>Valid</v>
      </c>
      <c r="X1204">
        <f t="shared" si="132"/>
        <v>37824.54</v>
      </c>
      <c r="Y1204">
        <f t="shared" si="131"/>
        <v>34798.576800000003</v>
      </c>
    </row>
    <row r="1205" spans="1:25" x14ac:dyDescent="0.3">
      <c r="A1205" t="s">
        <v>1554</v>
      </c>
      <c r="B1205" s="1">
        <v>45707</v>
      </c>
      <c r="C1205" t="s">
        <v>230</v>
      </c>
      <c r="D1205" t="s">
        <v>29</v>
      </c>
      <c r="E1205" t="s">
        <v>30</v>
      </c>
      <c r="F1205" t="s">
        <v>31</v>
      </c>
      <c r="G1205" t="s">
        <v>21</v>
      </c>
      <c r="H1205" t="s">
        <v>93</v>
      </c>
      <c r="I1205">
        <v>4</v>
      </c>
      <c r="J1205">
        <v>3106.59</v>
      </c>
      <c r="K1205">
        <v>0.1</v>
      </c>
      <c r="L1205">
        <v>11183.72</v>
      </c>
      <c r="M1205" t="s">
        <v>76</v>
      </c>
      <c r="N1205" t="s">
        <v>34</v>
      </c>
      <c r="O1205" t="s">
        <v>65</v>
      </c>
      <c r="P1205" t="s">
        <v>50</v>
      </c>
      <c r="Q1205" t="str">
        <f t="shared" si="126"/>
        <v>Completed</v>
      </c>
      <c r="R1205" t="str">
        <f t="shared" si="127"/>
        <v>Store</v>
      </c>
      <c r="S1205" t="str">
        <v>Cash On Delivery</v>
      </c>
      <c r="T1205" t="str">
        <v>Electronics</v>
      </c>
      <c r="U1205" t="str">
        <f t="shared" si="128"/>
        <v>VALID</v>
      </c>
      <c r="V1205" t="str">
        <f t="shared" si="129"/>
        <v>NORMAL</v>
      </c>
      <c r="W1205" t="str">
        <f t="shared" si="130"/>
        <v>Valid</v>
      </c>
      <c r="X1205">
        <f t="shared" si="132"/>
        <v>12426.36</v>
      </c>
      <c r="Y1205">
        <f t="shared" si="131"/>
        <v>11183.724</v>
      </c>
    </row>
    <row r="1206" spans="1:25" x14ac:dyDescent="0.3">
      <c r="A1206" t="s">
        <v>1555</v>
      </c>
      <c r="B1206" s="1">
        <v>46132</v>
      </c>
      <c r="C1206" t="s">
        <v>556</v>
      </c>
      <c r="D1206" t="s">
        <v>18</v>
      </c>
      <c r="E1206" t="s">
        <v>19</v>
      </c>
      <c r="F1206" t="s">
        <v>20</v>
      </c>
      <c r="G1206" t="s">
        <v>56</v>
      </c>
      <c r="H1206" t="s">
        <v>64</v>
      </c>
      <c r="I1206">
        <v>1</v>
      </c>
      <c r="J1206">
        <v>807.26</v>
      </c>
      <c r="K1206">
        <v>0.05</v>
      </c>
      <c r="L1206">
        <v>766.9</v>
      </c>
      <c r="M1206" t="s">
        <v>48</v>
      </c>
      <c r="N1206" t="s">
        <v>24</v>
      </c>
      <c r="O1206" t="s">
        <v>35</v>
      </c>
      <c r="P1206" t="s">
        <v>42</v>
      </c>
      <c r="Q1206" t="str">
        <f t="shared" si="126"/>
        <v>Cancelled</v>
      </c>
      <c r="R1206" t="str">
        <f t="shared" si="127"/>
        <v>Marketplace</v>
      </c>
      <c r="S1206" t="str">
        <v>Debit Card</v>
      </c>
      <c r="T1206" t="str">
        <v>Accessories</v>
      </c>
      <c r="U1206" t="str">
        <f t="shared" si="128"/>
        <v>VALID</v>
      </c>
      <c r="V1206" t="str">
        <f t="shared" si="129"/>
        <v>NORMAL</v>
      </c>
      <c r="W1206" t="str">
        <f t="shared" si="130"/>
        <v>Valid</v>
      </c>
      <c r="X1206">
        <f t="shared" si="132"/>
        <v>807.26</v>
      </c>
      <c r="Y1206">
        <f t="shared" si="131"/>
        <v>766.89699999999993</v>
      </c>
    </row>
    <row r="1207" spans="1:25" x14ac:dyDescent="0.3">
      <c r="A1207" t="s">
        <v>1556</v>
      </c>
      <c r="B1207" s="1">
        <v>45374</v>
      </c>
      <c r="C1207" t="s">
        <v>289</v>
      </c>
      <c r="D1207" t="s">
        <v>121</v>
      </c>
      <c r="E1207" t="s">
        <v>122</v>
      </c>
      <c r="F1207" t="s">
        <v>55</v>
      </c>
      <c r="G1207" t="s">
        <v>21</v>
      </c>
      <c r="H1207" t="s">
        <v>93</v>
      </c>
      <c r="I1207">
        <v>2</v>
      </c>
      <c r="J1207">
        <v>438.3</v>
      </c>
      <c r="K1207">
        <v>0.1</v>
      </c>
      <c r="L1207">
        <v>788.94</v>
      </c>
      <c r="M1207" t="s">
        <v>23</v>
      </c>
      <c r="N1207" t="s">
        <v>49</v>
      </c>
      <c r="O1207" t="s">
        <v>65</v>
      </c>
      <c r="P1207" t="s">
        <v>26</v>
      </c>
      <c r="Q1207" t="str">
        <f t="shared" si="126"/>
        <v>Completed</v>
      </c>
      <c r="R1207" t="str">
        <f t="shared" si="127"/>
        <v>Online</v>
      </c>
      <c r="S1207" t="str">
        <v>Net Banking</v>
      </c>
      <c r="T1207" t="str">
        <v>Stationery</v>
      </c>
      <c r="U1207" t="str">
        <f t="shared" si="128"/>
        <v>VALID</v>
      </c>
      <c r="V1207" t="str">
        <f t="shared" si="129"/>
        <v>NORMAL</v>
      </c>
      <c r="W1207" t="str">
        <f t="shared" si="130"/>
        <v>Valid</v>
      </c>
      <c r="X1207">
        <f t="shared" si="132"/>
        <v>876.6</v>
      </c>
      <c r="Y1207">
        <f t="shared" si="131"/>
        <v>788.94</v>
      </c>
    </row>
    <row r="1208" spans="1:25" x14ac:dyDescent="0.3">
      <c r="A1208" t="s">
        <v>1557</v>
      </c>
      <c r="B1208" s="1">
        <v>45575</v>
      </c>
      <c r="C1208" t="s">
        <v>125</v>
      </c>
      <c r="D1208" t="s">
        <v>131</v>
      </c>
      <c r="E1208" t="s">
        <v>132</v>
      </c>
      <c r="F1208" t="s">
        <v>40</v>
      </c>
      <c r="G1208" t="s">
        <v>32</v>
      </c>
      <c r="H1208" t="s">
        <v>33</v>
      </c>
      <c r="I1208">
        <v>5</v>
      </c>
      <c r="J1208">
        <v>8846.19</v>
      </c>
      <c r="K1208">
        <v>0.05</v>
      </c>
      <c r="L1208">
        <v>42019.4</v>
      </c>
      <c r="M1208" t="s">
        <v>76</v>
      </c>
      <c r="N1208" t="s">
        <v>49</v>
      </c>
      <c r="O1208" t="s">
        <v>65</v>
      </c>
      <c r="P1208" t="s">
        <v>72</v>
      </c>
      <c r="Q1208" t="str">
        <f t="shared" si="126"/>
        <v>Completed</v>
      </c>
      <c r="R1208" t="str">
        <f t="shared" si="127"/>
        <v>Store</v>
      </c>
      <c r="S1208" t="str">
        <v>Net Banking</v>
      </c>
      <c r="T1208" t="str">
        <v>Furniture</v>
      </c>
      <c r="U1208" t="str">
        <f t="shared" si="128"/>
        <v>VALID</v>
      </c>
      <c r="V1208" t="str">
        <f t="shared" si="129"/>
        <v>NORMAL</v>
      </c>
      <c r="W1208" t="str">
        <f t="shared" si="130"/>
        <v>Valid</v>
      </c>
      <c r="X1208">
        <f t="shared" si="132"/>
        <v>44230.950000000004</v>
      </c>
      <c r="Y1208">
        <f t="shared" si="131"/>
        <v>42019.402500000004</v>
      </c>
    </row>
    <row r="1209" spans="1:25" x14ac:dyDescent="0.3">
      <c r="A1209" t="s">
        <v>1558</v>
      </c>
      <c r="B1209" s="1">
        <v>45544</v>
      </c>
      <c r="C1209" t="s">
        <v>576</v>
      </c>
      <c r="D1209" t="s">
        <v>96</v>
      </c>
      <c r="E1209" t="s">
        <v>97</v>
      </c>
      <c r="F1209" t="s">
        <v>31</v>
      </c>
      <c r="G1209" t="s">
        <v>21</v>
      </c>
      <c r="H1209" t="s">
        <v>126</v>
      </c>
      <c r="I1209">
        <v>5</v>
      </c>
      <c r="J1209">
        <v>1145.28</v>
      </c>
      <c r="K1209">
        <v>0.05</v>
      </c>
      <c r="L1209">
        <v>5440.08</v>
      </c>
      <c r="M1209" t="s">
        <v>23</v>
      </c>
      <c r="N1209" t="s">
        <v>24</v>
      </c>
      <c r="O1209" t="s">
        <v>35</v>
      </c>
      <c r="P1209" t="s">
        <v>111</v>
      </c>
      <c r="Q1209" t="str">
        <f t="shared" si="126"/>
        <v>Cancelled</v>
      </c>
      <c r="R1209" t="str">
        <f t="shared" si="127"/>
        <v>Online</v>
      </c>
      <c r="S1209" t="str">
        <v>Debit Card</v>
      </c>
      <c r="T1209" t="str">
        <v>Electronics</v>
      </c>
      <c r="U1209" t="str">
        <f t="shared" si="128"/>
        <v>VALID</v>
      </c>
      <c r="V1209" t="str">
        <f t="shared" si="129"/>
        <v>NORMAL</v>
      </c>
      <c r="W1209" t="str">
        <f t="shared" si="130"/>
        <v>Valid</v>
      </c>
      <c r="X1209">
        <f t="shared" si="132"/>
        <v>5726.4</v>
      </c>
      <c r="Y1209">
        <f t="shared" si="131"/>
        <v>5440.08</v>
      </c>
    </row>
    <row r="1210" spans="1:25" x14ac:dyDescent="0.3">
      <c r="A1210" t="s">
        <v>1559</v>
      </c>
      <c r="B1210" s="1">
        <v>45461</v>
      </c>
      <c r="C1210" t="s">
        <v>949</v>
      </c>
      <c r="D1210" t="s">
        <v>85</v>
      </c>
      <c r="E1210" t="s">
        <v>86</v>
      </c>
      <c r="F1210" t="s">
        <v>20</v>
      </c>
      <c r="G1210" t="s">
        <v>32</v>
      </c>
      <c r="H1210" t="s">
        <v>33</v>
      </c>
      <c r="I1210">
        <v>3</v>
      </c>
      <c r="J1210">
        <v>1884.11</v>
      </c>
      <c r="K1210">
        <v>0</v>
      </c>
      <c r="L1210">
        <v>5652.33</v>
      </c>
      <c r="M1210" t="s">
        <v>23</v>
      </c>
      <c r="N1210" t="s">
        <v>58</v>
      </c>
      <c r="O1210" t="s">
        <v>65</v>
      </c>
      <c r="P1210" t="s">
        <v>26</v>
      </c>
      <c r="Q1210" t="str">
        <f t="shared" si="126"/>
        <v>Completed</v>
      </c>
      <c r="R1210" t="str">
        <f t="shared" si="127"/>
        <v>Online</v>
      </c>
      <c r="S1210" t="str">
        <v>Credit Card</v>
      </c>
      <c r="T1210" t="str">
        <v>Accessories</v>
      </c>
      <c r="U1210" t="str">
        <f t="shared" si="128"/>
        <v>VALID</v>
      </c>
      <c r="V1210" t="str">
        <f t="shared" si="129"/>
        <v>NORMAL</v>
      </c>
      <c r="W1210" t="str">
        <f t="shared" si="130"/>
        <v>Valid</v>
      </c>
      <c r="X1210">
        <f t="shared" si="132"/>
        <v>5652.33</v>
      </c>
      <c r="Y1210">
        <f t="shared" si="131"/>
        <v>5652.33</v>
      </c>
    </row>
    <row r="1211" spans="1:25" x14ac:dyDescent="0.3">
      <c r="A1211" t="s">
        <v>1560</v>
      </c>
      <c r="B1211" s="1">
        <v>46059</v>
      </c>
      <c r="D1211" t="s">
        <v>170</v>
      </c>
      <c r="E1211" t="s">
        <v>171</v>
      </c>
      <c r="F1211" t="s">
        <v>31</v>
      </c>
      <c r="G1211" t="s">
        <v>21</v>
      </c>
      <c r="H1211" t="s">
        <v>22</v>
      </c>
      <c r="I1211">
        <v>4</v>
      </c>
      <c r="J1211">
        <v>60204.77</v>
      </c>
      <c r="K1211">
        <v>0.1</v>
      </c>
      <c r="L1211">
        <v>216737.17</v>
      </c>
      <c r="M1211" t="s">
        <v>48</v>
      </c>
      <c r="N1211" t="s">
        <v>24</v>
      </c>
      <c r="O1211" t="s">
        <v>65</v>
      </c>
      <c r="P1211" t="s">
        <v>26</v>
      </c>
      <c r="Q1211" t="str">
        <f t="shared" si="126"/>
        <v>Completed</v>
      </c>
      <c r="R1211" t="str">
        <f t="shared" si="127"/>
        <v>Marketplace</v>
      </c>
      <c r="S1211" t="str">
        <v>Debit Card</v>
      </c>
      <c r="T1211" t="str">
        <v>Electronics</v>
      </c>
      <c r="U1211" t="str">
        <f t="shared" si="128"/>
        <v>VALID</v>
      </c>
      <c r="V1211" t="str">
        <f t="shared" si="129"/>
        <v>NORMAL</v>
      </c>
      <c r="W1211" t="str">
        <f t="shared" si="130"/>
        <v>Valid</v>
      </c>
      <c r="X1211">
        <f t="shared" si="132"/>
        <v>240819.08</v>
      </c>
      <c r="Y1211">
        <f t="shared" si="131"/>
        <v>216737.17199999999</v>
      </c>
    </row>
    <row r="1212" spans="1:25" x14ac:dyDescent="0.3">
      <c r="A1212" t="s">
        <v>1561</v>
      </c>
      <c r="B1212" s="1">
        <v>45975</v>
      </c>
      <c r="C1212" t="s">
        <v>1211</v>
      </c>
      <c r="D1212" t="s">
        <v>121</v>
      </c>
      <c r="E1212" t="s">
        <v>122</v>
      </c>
      <c r="F1212" t="s">
        <v>55</v>
      </c>
      <c r="G1212" t="s">
        <v>56</v>
      </c>
      <c r="H1212" t="s">
        <v>101</v>
      </c>
      <c r="I1212">
        <v>1</v>
      </c>
      <c r="J1212">
        <v>456.39</v>
      </c>
      <c r="K1212">
        <v>0.2</v>
      </c>
      <c r="L1212">
        <v>365.11</v>
      </c>
      <c r="M1212" t="s">
        <v>48</v>
      </c>
      <c r="N1212" t="s">
        <v>34</v>
      </c>
      <c r="O1212" t="s">
        <v>65</v>
      </c>
      <c r="P1212" t="s">
        <v>102</v>
      </c>
      <c r="Q1212" t="str">
        <f t="shared" si="126"/>
        <v>Completed</v>
      </c>
      <c r="R1212" t="str">
        <f t="shared" si="127"/>
        <v>Marketplace</v>
      </c>
      <c r="S1212" t="str">
        <v>Cash On Delivery</v>
      </c>
      <c r="T1212" t="str">
        <v>Stationery</v>
      </c>
      <c r="U1212" t="str">
        <f t="shared" si="128"/>
        <v>VALID</v>
      </c>
      <c r="V1212" t="str">
        <f t="shared" si="129"/>
        <v>NORMAL</v>
      </c>
      <c r="W1212" t="str">
        <f t="shared" si="130"/>
        <v>Valid</v>
      </c>
      <c r="X1212">
        <f t="shared" si="132"/>
        <v>456.39</v>
      </c>
      <c r="Y1212">
        <f t="shared" si="131"/>
        <v>365.11199999999997</v>
      </c>
    </row>
    <row r="1213" spans="1:25" x14ac:dyDescent="0.3">
      <c r="A1213" t="s">
        <v>1562</v>
      </c>
      <c r="B1213" s="1">
        <v>45331</v>
      </c>
      <c r="C1213" t="s">
        <v>151</v>
      </c>
      <c r="D1213" t="s">
        <v>89</v>
      </c>
      <c r="E1213" t="s">
        <v>90</v>
      </c>
      <c r="F1213" t="s">
        <v>20</v>
      </c>
      <c r="G1213" t="s">
        <v>56</v>
      </c>
      <c r="H1213" t="s">
        <v>64</v>
      </c>
      <c r="I1213">
        <v>5</v>
      </c>
      <c r="J1213">
        <v>704.7</v>
      </c>
      <c r="K1213">
        <v>0</v>
      </c>
      <c r="L1213">
        <v>3523.5</v>
      </c>
      <c r="M1213" t="s">
        <v>23</v>
      </c>
      <c r="N1213" t="s">
        <v>49</v>
      </c>
      <c r="O1213" t="s">
        <v>65</v>
      </c>
      <c r="P1213" t="s">
        <v>111</v>
      </c>
      <c r="Q1213" t="str">
        <f t="shared" si="126"/>
        <v>Completed</v>
      </c>
      <c r="R1213" t="str">
        <f t="shared" si="127"/>
        <v>Online</v>
      </c>
      <c r="S1213" t="str">
        <v>Net Banking</v>
      </c>
      <c r="T1213" t="str">
        <v>Accessories</v>
      </c>
      <c r="U1213" t="str">
        <f t="shared" si="128"/>
        <v>VALID</v>
      </c>
      <c r="V1213" t="str">
        <f t="shared" si="129"/>
        <v>NORMAL</v>
      </c>
      <c r="W1213" t="str">
        <f t="shared" si="130"/>
        <v>Valid</v>
      </c>
      <c r="X1213">
        <f t="shared" si="132"/>
        <v>3523.5</v>
      </c>
      <c r="Y1213">
        <f t="shared" si="131"/>
        <v>3523.5</v>
      </c>
    </row>
    <row r="1214" spans="1:25" x14ac:dyDescent="0.3">
      <c r="A1214" t="s">
        <v>1563</v>
      </c>
      <c r="B1214" s="1">
        <v>45326</v>
      </c>
      <c r="C1214" t="s">
        <v>120</v>
      </c>
      <c r="D1214" t="s">
        <v>89</v>
      </c>
      <c r="E1214" t="s">
        <v>90</v>
      </c>
      <c r="F1214" t="s">
        <v>20</v>
      </c>
      <c r="G1214" t="s">
        <v>21</v>
      </c>
      <c r="H1214" t="s">
        <v>22</v>
      </c>
      <c r="I1214">
        <v>5</v>
      </c>
      <c r="J1214">
        <v>647.29</v>
      </c>
      <c r="K1214">
        <v>0</v>
      </c>
      <c r="L1214">
        <v>3236.45</v>
      </c>
      <c r="M1214" t="s">
        <v>23</v>
      </c>
      <c r="N1214" t="s">
        <v>49</v>
      </c>
      <c r="O1214" t="s">
        <v>35</v>
      </c>
      <c r="P1214" t="s">
        <v>72</v>
      </c>
      <c r="Q1214" t="str">
        <f t="shared" si="126"/>
        <v>Cancelled</v>
      </c>
      <c r="R1214" t="str">
        <f t="shared" si="127"/>
        <v>Online</v>
      </c>
      <c r="S1214" t="str">
        <v>Net Banking</v>
      </c>
      <c r="T1214" t="str">
        <v>Accessories</v>
      </c>
      <c r="U1214" t="str">
        <f t="shared" si="128"/>
        <v>VALID</v>
      </c>
      <c r="V1214" t="str">
        <f t="shared" si="129"/>
        <v>NORMAL</v>
      </c>
      <c r="W1214" t="str">
        <f t="shared" si="130"/>
        <v>Valid</v>
      </c>
      <c r="X1214">
        <f t="shared" si="132"/>
        <v>3236.45</v>
      </c>
      <c r="Y1214">
        <f t="shared" si="131"/>
        <v>3236.45</v>
      </c>
    </row>
    <row r="1215" spans="1:25" x14ac:dyDescent="0.3">
      <c r="A1215" t="s">
        <v>1564</v>
      </c>
      <c r="B1215" s="1">
        <v>45346</v>
      </c>
      <c r="C1215" t="s">
        <v>125</v>
      </c>
      <c r="D1215" t="s">
        <v>176</v>
      </c>
      <c r="E1215" t="s">
        <v>177</v>
      </c>
      <c r="F1215" t="s">
        <v>31</v>
      </c>
      <c r="G1215" t="s">
        <v>56</v>
      </c>
      <c r="H1215" t="s">
        <v>101</v>
      </c>
      <c r="I1215">
        <v>4</v>
      </c>
      <c r="J1215">
        <v>2101.21</v>
      </c>
      <c r="K1215">
        <v>0.05</v>
      </c>
      <c r="L1215">
        <v>7984.6</v>
      </c>
      <c r="M1215" t="s">
        <v>76</v>
      </c>
      <c r="N1215" t="s">
        <v>49</v>
      </c>
      <c r="O1215" t="s">
        <v>65</v>
      </c>
      <c r="Q1215" t="str">
        <f t="shared" si="126"/>
        <v>Completed</v>
      </c>
      <c r="R1215" t="str">
        <f t="shared" si="127"/>
        <v>Store</v>
      </c>
      <c r="S1215" t="str">
        <v>Net Banking</v>
      </c>
      <c r="T1215" t="str">
        <v>Electronics</v>
      </c>
      <c r="U1215" t="str">
        <f t="shared" si="128"/>
        <v>VALID</v>
      </c>
      <c r="V1215" t="str">
        <f t="shared" si="129"/>
        <v>NORMAL</v>
      </c>
      <c r="W1215" t="str">
        <f t="shared" si="130"/>
        <v>Valid</v>
      </c>
      <c r="X1215">
        <f t="shared" si="132"/>
        <v>8404.84</v>
      </c>
      <c r="Y1215">
        <f t="shared" si="131"/>
        <v>7984.598</v>
      </c>
    </row>
    <row r="1216" spans="1:25" x14ac:dyDescent="0.3">
      <c r="A1216" t="s">
        <v>1565</v>
      </c>
      <c r="B1216" s="1">
        <v>45710</v>
      </c>
      <c r="C1216" t="s">
        <v>315</v>
      </c>
      <c r="D1216" t="s">
        <v>62</v>
      </c>
      <c r="E1216" t="s">
        <v>63</v>
      </c>
      <c r="F1216" t="s">
        <v>31</v>
      </c>
      <c r="G1216" t="s">
        <v>56</v>
      </c>
      <c r="H1216" t="s">
        <v>57</v>
      </c>
      <c r="I1216">
        <v>1</v>
      </c>
      <c r="J1216">
        <v>2747.79</v>
      </c>
      <c r="K1216">
        <v>0.1</v>
      </c>
      <c r="L1216">
        <v>2473.0100000000002</v>
      </c>
      <c r="M1216" t="s">
        <v>76</v>
      </c>
      <c r="N1216" t="s">
        <v>24</v>
      </c>
      <c r="O1216" t="s">
        <v>65</v>
      </c>
      <c r="P1216" t="s">
        <v>50</v>
      </c>
      <c r="Q1216" t="str">
        <f t="shared" si="126"/>
        <v>Completed</v>
      </c>
      <c r="R1216" t="str">
        <f t="shared" si="127"/>
        <v>Store</v>
      </c>
      <c r="S1216" t="str">
        <v>Debit Card</v>
      </c>
      <c r="T1216" t="str">
        <v>Electronics</v>
      </c>
      <c r="U1216" t="str">
        <f t="shared" si="128"/>
        <v>VALID</v>
      </c>
      <c r="V1216" t="str">
        <f t="shared" si="129"/>
        <v>NORMAL</v>
      </c>
      <c r="W1216" t="str">
        <f t="shared" si="130"/>
        <v>Valid</v>
      </c>
      <c r="X1216">
        <f t="shared" si="132"/>
        <v>2747.79</v>
      </c>
      <c r="Y1216">
        <f t="shared" si="131"/>
        <v>2473.011</v>
      </c>
    </row>
    <row r="1217" spans="1:25" x14ac:dyDescent="0.3">
      <c r="A1217" t="s">
        <v>1566</v>
      </c>
      <c r="B1217" s="1">
        <v>45359</v>
      </c>
      <c r="C1217" t="s">
        <v>988</v>
      </c>
      <c r="D1217" t="s">
        <v>18</v>
      </c>
      <c r="E1217" t="s">
        <v>19</v>
      </c>
      <c r="F1217" t="s">
        <v>20</v>
      </c>
      <c r="G1217" t="s">
        <v>32</v>
      </c>
      <c r="H1217" t="s">
        <v>75</v>
      </c>
      <c r="I1217">
        <v>5</v>
      </c>
      <c r="J1217">
        <v>830.82</v>
      </c>
      <c r="K1217">
        <v>0.05</v>
      </c>
      <c r="L1217">
        <v>3946.39</v>
      </c>
      <c r="M1217" t="s">
        <v>48</v>
      </c>
      <c r="N1217" t="s">
        <v>34</v>
      </c>
      <c r="O1217" t="s">
        <v>65</v>
      </c>
      <c r="P1217" t="s">
        <v>26</v>
      </c>
      <c r="Q1217" t="str">
        <f t="shared" si="126"/>
        <v>Completed</v>
      </c>
      <c r="R1217" t="str">
        <f t="shared" si="127"/>
        <v>Marketplace</v>
      </c>
      <c r="S1217" t="str">
        <v>Cash On Delivery</v>
      </c>
      <c r="T1217" t="str">
        <v>Accessories</v>
      </c>
      <c r="U1217" t="str">
        <f t="shared" si="128"/>
        <v>VALID</v>
      </c>
      <c r="V1217" t="str">
        <f t="shared" si="129"/>
        <v>NORMAL</v>
      </c>
      <c r="W1217" t="str">
        <f t="shared" si="130"/>
        <v>Valid</v>
      </c>
      <c r="X1217">
        <f t="shared" si="132"/>
        <v>4154.1000000000004</v>
      </c>
      <c r="Y1217">
        <f t="shared" si="131"/>
        <v>3946.3950000000004</v>
      </c>
    </row>
    <row r="1218" spans="1:25" x14ac:dyDescent="0.3">
      <c r="A1218" t="s">
        <v>1567</v>
      </c>
      <c r="B1218" s="1">
        <v>45748</v>
      </c>
      <c r="C1218" t="s">
        <v>542</v>
      </c>
      <c r="D1218" t="s">
        <v>89</v>
      </c>
      <c r="E1218" t="s">
        <v>90</v>
      </c>
      <c r="F1218" t="s">
        <v>20</v>
      </c>
      <c r="G1218" t="s">
        <v>56</v>
      </c>
      <c r="H1218" t="s">
        <v>64</v>
      </c>
      <c r="I1218">
        <v>1</v>
      </c>
      <c r="J1218">
        <v>736.83</v>
      </c>
      <c r="K1218">
        <v>0.05</v>
      </c>
      <c r="L1218">
        <v>699.99</v>
      </c>
      <c r="M1218" t="s">
        <v>76</v>
      </c>
      <c r="N1218" t="s">
        <v>71</v>
      </c>
      <c r="O1218" t="s">
        <v>65</v>
      </c>
      <c r="P1218" t="s">
        <v>102</v>
      </c>
      <c r="Q1218" t="str">
        <f t="shared" si="126"/>
        <v>Completed</v>
      </c>
      <c r="R1218" t="str">
        <f t="shared" si="127"/>
        <v>Store</v>
      </c>
      <c r="S1218" t="str">
        <v>Upi</v>
      </c>
      <c r="T1218" t="str">
        <v>Accessories</v>
      </c>
      <c r="U1218" t="str">
        <f t="shared" si="128"/>
        <v>VALID</v>
      </c>
      <c r="V1218" t="str">
        <f t="shared" si="129"/>
        <v>NORMAL</v>
      </c>
      <c r="W1218" t="str">
        <f t="shared" si="130"/>
        <v>Valid</v>
      </c>
      <c r="X1218">
        <f t="shared" si="132"/>
        <v>736.83</v>
      </c>
      <c r="Y1218">
        <f t="shared" si="131"/>
        <v>699.98850000000004</v>
      </c>
    </row>
    <row r="1219" spans="1:25" x14ac:dyDescent="0.3">
      <c r="A1219" t="s">
        <v>1568</v>
      </c>
      <c r="B1219" s="1">
        <v>46190</v>
      </c>
      <c r="C1219" t="s">
        <v>839</v>
      </c>
      <c r="D1219" t="s">
        <v>45</v>
      </c>
      <c r="E1219" t="s">
        <v>46</v>
      </c>
      <c r="F1219" t="s">
        <v>31</v>
      </c>
      <c r="G1219" t="s">
        <v>81</v>
      </c>
      <c r="H1219" t="s">
        <v>135</v>
      </c>
      <c r="I1219">
        <v>4</v>
      </c>
      <c r="J1219">
        <v>1907.53</v>
      </c>
      <c r="K1219">
        <v>0.05</v>
      </c>
      <c r="L1219">
        <v>7248.61</v>
      </c>
      <c r="M1219" t="s">
        <v>48</v>
      </c>
      <c r="N1219" t="s">
        <v>34</v>
      </c>
      <c r="O1219" t="s">
        <v>35</v>
      </c>
      <c r="P1219" t="s">
        <v>102</v>
      </c>
      <c r="Q1219" t="str">
        <f t="shared" ref="Q1219:Q1282" si="133">PROPER(O1219)</f>
        <v>Cancelled</v>
      </c>
      <c r="R1219" t="str">
        <f t="shared" ref="R1219:R1282" si="134">PROPER(M1219)</f>
        <v>Marketplace</v>
      </c>
      <c r="S1219" t="str">
        <v>Cash On Delivery</v>
      </c>
      <c r="T1219" t="str">
        <v>Electronics</v>
      </c>
      <c r="U1219" t="str">
        <f t="shared" ref="U1219:U1282" si="135">IF(I1219&lt;=0,"INVALID","VALID")</f>
        <v>VALID</v>
      </c>
      <c r="V1219" t="str">
        <f t="shared" ref="V1219:V1282" si="136">IF(I1219&gt;100,"REVIEW","NORMAL")</f>
        <v>NORMAL</v>
      </c>
      <c r="W1219" t="str">
        <f t="shared" ref="W1219:W1282" si="137">IF(OR(K1219&lt;0,K1219&gt;1),"Invalid","Valid")</f>
        <v>Valid</v>
      </c>
      <c r="X1219">
        <f t="shared" si="132"/>
        <v>7630.12</v>
      </c>
      <c r="Y1219">
        <f t="shared" ref="Y1219:Y1282" si="138">I1219*J1219-(I1219*J1219*K1219)</f>
        <v>7248.6139999999996</v>
      </c>
    </row>
    <row r="1220" spans="1:25" x14ac:dyDescent="0.3">
      <c r="A1220" t="s">
        <v>1569</v>
      </c>
      <c r="B1220" s="1">
        <v>45784</v>
      </c>
      <c r="C1220" t="s">
        <v>848</v>
      </c>
      <c r="D1220" t="s">
        <v>170</v>
      </c>
      <c r="E1220" t="s">
        <v>171</v>
      </c>
      <c r="F1220" t="s">
        <v>31</v>
      </c>
      <c r="G1220" t="s">
        <v>32</v>
      </c>
      <c r="H1220" t="s">
        <v>75</v>
      </c>
      <c r="I1220">
        <v>5</v>
      </c>
      <c r="J1220">
        <v>66576.84</v>
      </c>
      <c r="K1220">
        <v>0.05</v>
      </c>
      <c r="L1220">
        <v>316239.99</v>
      </c>
      <c r="M1220" t="s">
        <v>76</v>
      </c>
      <c r="N1220" t="s">
        <v>34</v>
      </c>
      <c r="O1220" t="s">
        <v>35</v>
      </c>
      <c r="P1220" t="s">
        <v>102</v>
      </c>
      <c r="Q1220" t="str">
        <f t="shared" si="133"/>
        <v>Cancelled</v>
      </c>
      <c r="R1220" t="str">
        <f t="shared" si="134"/>
        <v>Store</v>
      </c>
      <c r="S1220" t="str">
        <v>Cash On Delivery</v>
      </c>
      <c r="T1220" t="str">
        <v>Electronics</v>
      </c>
      <c r="U1220" t="str">
        <f t="shared" si="135"/>
        <v>VALID</v>
      </c>
      <c r="V1220" t="str">
        <f t="shared" si="136"/>
        <v>NORMAL</v>
      </c>
      <c r="W1220" t="str">
        <f t="shared" si="137"/>
        <v>Valid</v>
      </c>
      <c r="X1220">
        <f t="shared" ref="X1220:X1283" si="139">I1220*J1220</f>
        <v>332884.19999999995</v>
      </c>
      <c r="Y1220">
        <f t="shared" si="138"/>
        <v>316239.98999999993</v>
      </c>
    </row>
    <row r="1221" spans="1:25" x14ac:dyDescent="0.3">
      <c r="A1221" t="s">
        <v>1570</v>
      </c>
      <c r="B1221" s="1">
        <v>45817</v>
      </c>
      <c r="C1221" t="s">
        <v>323</v>
      </c>
      <c r="D1221" t="s">
        <v>96</v>
      </c>
      <c r="E1221" t="s">
        <v>97</v>
      </c>
      <c r="F1221" t="s">
        <v>31</v>
      </c>
      <c r="G1221" t="s">
        <v>32</v>
      </c>
      <c r="H1221" t="s">
        <v>33</v>
      </c>
      <c r="I1221">
        <v>1</v>
      </c>
      <c r="J1221">
        <v>1139.52</v>
      </c>
      <c r="K1221">
        <v>0.03</v>
      </c>
      <c r="L1221">
        <v>1105.33</v>
      </c>
      <c r="M1221" t="s">
        <v>23</v>
      </c>
      <c r="N1221" t="s">
        <v>71</v>
      </c>
      <c r="O1221" t="s">
        <v>65</v>
      </c>
      <c r="P1221" t="s">
        <v>26</v>
      </c>
      <c r="Q1221" t="str">
        <f t="shared" si="133"/>
        <v>Completed</v>
      </c>
      <c r="R1221" t="str">
        <f t="shared" si="134"/>
        <v>Online</v>
      </c>
      <c r="S1221" t="str">
        <v>Upi</v>
      </c>
      <c r="T1221" t="str">
        <v>Electronics</v>
      </c>
      <c r="U1221" t="str">
        <f t="shared" si="135"/>
        <v>VALID</v>
      </c>
      <c r="V1221" t="str">
        <f t="shared" si="136"/>
        <v>NORMAL</v>
      </c>
      <c r="W1221" t="str">
        <f t="shared" si="137"/>
        <v>Valid</v>
      </c>
      <c r="X1221">
        <f t="shared" si="139"/>
        <v>1139.52</v>
      </c>
      <c r="Y1221">
        <f t="shared" si="138"/>
        <v>1105.3344</v>
      </c>
    </row>
    <row r="1222" spans="1:25" x14ac:dyDescent="0.3">
      <c r="A1222" t="s">
        <v>1571</v>
      </c>
      <c r="B1222" s="1">
        <v>46016</v>
      </c>
      <c r="C1222" t="s">
        <v>715</v>
      </c>
      <c r="D1222" t="s">
        <v>131</v>
      </c>
      <c r="E1222" t="s">
        <v>132</v>
      </c>
      <c r="F1222" t="s">
        <v>40</v>
      </c>
      <c r="G1222" t="s">
        <v>81</v>
      </c>
      <c r="H1222" t="s">
        <v>87</v>
      </c>
      <c r="I1222">
        <v>3</v>
      </c>
      <c r="J1222">
        <v>8999.3799999999992</v>
      </c>
      <c r="K1222">
        <v>0.15</v>
      </c>
      <c r="L1222">
        <v>22948.42</v>
      </c>
      <c r="M1222" t="s">
        <v>76</v>
      </c>
      <c r="N1222" t="s">
        <v>71</v>
      </c>
      <c r="O1222" t="s">
        <v>65</v>
      </c>
      <c r="P1222" t="s">
        <v>50</v>
      </c>
      <c r="Q1222" t="str">
        <f t="shared" si="133"/>
        <v>Completed</v>
      </c>
      <c r="R1222" t="str">
        <f t="shared" si="134"/>
        <v>Store</v>
      </c>
      <c r="S1222" t="str">
        <v>Upi</v>
      </c>
      <c r="T1222" t="str">
        <v>Furniture</v>
      </c>
      <c r="U1222" t="str">
        <f t="shared" si="135"/>
        <v>VALID</v>
      </c>
      <c r="V1222" t="str">
        <f t="shared" si="136"/>
        <v>NORMAL</v>
      </c>
      <c r="W1222" t="str">
        <f t="shared" si="137"/>
        <v>Valid</v>
      </c>
      <c r="X1222">
        <f t="shared" si="139"/>
        <v>26998.14</v>
      </c>
      <c r="Y1222">
        <f t="shared" si="138"/>
        <v>22948.419000000002</v>
      </c>
    </row>
    <row r="1223" spans="1:25" x14ac:dyDescent="0.3">
      <c r="A1223" t="s">
        <v>1572</v>
      </c>
      <c r="B1223" s="1">
        <v>45487</v>
      </c>
      <c r="C1223" t="s">
        <v>457</v>
      </c>
      <c r="D1223" t="s">
        <v>18</v>
      </c>
      <c r="E1223" t="s">
        <v>19</v>
      </c>
      <c r="F1223" t="s">
        <v>20</v>
      </c>
      <c r="G1223" t="s">
        <v>81</v>
      </c>
      <c r="H1223" t="s">
        <v>98</v>
      </c>
      <c r="I1223">
        <v>1</v>
      </c>
      <c r="J1223">
        <v>866.71</v>
      </c>
      <c r="K1223">
        <v>0.03</v>
      </c>
      <c r="L1223">
        <v>840.71</v>
      </c>
      <c r="M1223" t="s">
        <v>48</v>
      </c>
      <c r="N1223" t="s">
        <v>58</v>
      </c>
      <c r="O1223" t="s">
        <v>65</v>
      </c>
      <c r="P1223" t="s">
        <v>26</v>
      </c>
      <c r="Q1223" t="str">
        <f t="shared" si="133"/>
        <v>Completed</v>
      </c>
      <c r="R1223" t="str">
        <f t="shared" si="134"/>
        <v>Marketplace</v>
      </c>
      <c r="S1223" t="str">
        <v>Credit Card</v>
      </c>
      <c r="T1223" t="str">
        <v>Accessories</v>
      </c>
      <c r="U1223" t="str">
        <f t="shared" si="135"/>
        <v>VALID</v>
      </c>
      <c r="V1223" t="str">
        <f t="shared" si="136"/>
        <v>NORMAL</v>
      </c>
      <c r="W1223" t="str">
        <f t="shared" si="137"/>
        <v>Valid</v>
      </c>
      <c r="X1223">
        <f t="shared" si="139"/>
        <v>866.71</v>
      </c>
      <c r="Y1223">
        <f t="shared" si="138"/>
        <v>840.70870000000002</v>
      </c>
    </row>
    <row r="1224" spans="1:25" x14ac:dyDescent="0.3">
      <c r="A1224" t="s">
        <v>1573</v>
      </c>
      <c r="B1224" s="1">
        <v>45483</v>
      </c>
      <c r="C1224" t="s">
        <v>348</v>
      </c>
      <c r="D1224" t="s">
        <v>53</v>
      </c>
      <c r="E1224" t="s">
        <v>54</v>
      </c>
      <c r="F1224" t="s">
        <v>55</v>
      </c>
      <c r="G1224" t="s">
        <v>21</v>
      </c>
      <c r="H1224" t="s">
        <v>22</v>
      </c>
      <c r="I1224">
        <v>3</v>
      </c>
      <c r="J1224">
        <v>235.23</v>
      </c>
      <c r="K1224">
        <v>0</v>
      </c>
      <c r="L1224">
        <v>705.69</v>
      </c>
      <c r="M1224" t="s">
        <v>76</v>
      </c>
      <c r="N1224" t="s">
        <v>34</v>
      </c>
      <c r="O1224" t="s">
        <v>65</v>
      </c>
      <c r="P1224" t="s">
        <v>59</v>
      </c>
      <c r="Q1224" t="str">
        <f t="shared" si="133"/>
        <v>Completed</v>
      </c>
      <c r="R1224" t="str">
        <f t="shared" si="134"/>
        <v>Store</v>
      </c>
      <c r="S1224" t="str">
        <v>Cash On Delivery</v>
      </c>
      <c r="T1224" t="str">
        <v>Stationery</v>
      </c>
      <c r="U1224" t="str">
        <f t="shared" si="135"/>
        <v>VALID</v>
      </c>
      <c r="V1224" t="str">
        <f t="shared" si="136"/>
        <v>NORMAL</v>
      </c>
      <c r="W1224" t="str">
        <f t="shared" si="137"/>
        <v>Valid</v>
      </c>
      <c r="X1224">
        <f t="shared" si="139"/>
        <v>705.68999999999994</v>
      </c>
      <c r="Y1224">
        <f t="shared" si="138"/>
        <v>705.68999999999994</v>
      </c>
    </row>
    <row r="1225" spans="1:25" x14ac:dyDescent="0.3">
      <c r="A1225" t="s">
        <v>1574</v>
      </c>
      <c r="B1225" s="1">
        <v>46116</v>
      </c>
      <c r="C1225" t="s">
        <v>143</v>
      </c>
      <c r="D1225" t="s">
        <v>89</v>
      </c>
      <c r="E1225" t="s">
        <v>90</v>
      </c>
      <c r="F1225" t="s">
        <v>20</v>
      </c>
      <c r="G1225" t="s">
        <v>21</v>
      </c>
      <c r="H1225" t="s">
        <v>22</v>
      </c>
      <c r="I1225">
        <v>4</v>
      </c>
      <c r="J1225">
        <v>743.31</v>
      </c>
      <c r="K1225">
        <v>0.1</v>
      </c>
      <c r="L1225">
        <v>2675.92</v>
      </c>
      <c r="M1225" t="s">
        <v>76</v>
      </c>
      <c r="N1225" t="s">
        <v>34</v>
      </c>
      <c r="O1225" t="s">
        <v>35</v>
      </c>
      <c r="P1225" t="s">
        <v>26</v>
      </c>
      <c r="Q1225" t="str">
        <f t="shared" si="133"/>
        <v>Cancelled</v>
      </c>
      <c r="R1225" t="str">
        <f t="shared" si="134"/>
        <v>Store</v>
      </c>
      <c r="S1225" t="str">
        <v>Cash On Delivery</v>
      </c>
      <c r="T1225" t="str">
        <v>Accessories</v>
      </c>
      <c r="U1225" t="str">
        <f t="shared" si="135"/>
        <v>VALID</v>
      </c>
      <c r="V1225" t="str">
        <f t="shared" si="136"/>
        <v>NORMAL</v>
      </c>
      <c r="W1225" t="str">
        <f t="shared" si="137"/>
        <v>Valid</v>
      </c>
      <c r="X1225">
        <f t="shared" si="139"/>
        <v>2973.24</v>
      </c>
      <c r="Y1225">
        <f t="shared" si="138"/>
        <v>2675.9159999999997</v>
      </c>
    </row>
    <row r="1226" spans="1:25" x14ac:dyDescent="0.3">
      <c r="A1226" t="s">
        <v>1575</v>
      </c>
      <c r="B1226" s="1">
        <v>45635</v>
      </c>
      <c r="C1226" t="s">
        <v>552</v>
      </c>
      <c r="D1226" t="s">
        <v>105</v>
      </c>
      <c r="E1226" t="s">
        <v>106</v>
      </c>
      <c r="F1226" t="s">
        <v>40</v>
      </c>
      <c r="G1226" t="s">
        <v>56</v>
      </c>
      <c r="H1226" t="s">
        <v>101</v>
      </c>
      <c r="I1226">
        <v>2</v>
      </c>
      <c r="J1226">
        <v>7708.12</v>
      </c>
      <c r="K1226">
        <v>0.05</v>
      </c>
      <c r="L1226">
        <v>14645.43</v>
      </c>
      <c r="M1226" t="s">
        <v>23</v>
      </c>
      <c r="N1226" t="s">
        <v>58</v>
      </c>
      <c r="O1226" t="s">
        <v>65</v>
      </c>
      <c r="P1226" t="s">
        <v>42</v>
      </c>
      <c r="Q1226" t="str">
        <f t="shared" si="133"/>
        <v>Completed</v>
      </c>
      <c r="R1226" t="str">
        <f t="shared" si="134"/>
        <v>Online</v>
      </c>
      <c r="S1226" t="str">
        <v>Credit Card</v>
      </c>
      <c r="T1226" t="str">
        <v>Furniture</v>
      </c>
      <c r="U1226" t="str">
        <f t="shared" si="135"/>
        <v>VALID</v>
      </c>
      <c r="V1226" t="str">
        <f t="shared" si="136"/>
        <v>NORMAL</v>
      </c>
      <c r="W1226" t="str">
        <f t="shared" si="137"/>
        <v>Valid</v>
      </c>
      <c r="X1226">
        <f t="shared" si="139"/>
        <v>15416.24</v>
      </c>
      <c r="Y1226">
        <f t="shared" si="138"/>
        <v>14645.428</v>
      </c>
    </row>
    <row r="1227" spans="1:25" x14ac:dyDescent="0.3">
      <c r="A1227" t="s">
        <v>1576</v>
      </c>
      <c r="B1227" s="1">
        <v>45922</v>
      </c>
      <c r="C1227" t="s">
        <v>208</v>
      </c>
      <c r="D1227" t="s">
        <v>62</v>
      </c>
      <c r="E1227" t="s">
        <v>63</v>
      </c>
      <c r="F1227" t="s">
        <v>31</v>
      </c>
      <c r="G1227" t="s">
        <v>21</v>
      </c>
      <c r="H1227" t="s">
        <v>126</v>
      </c>
      <c r="I1227">
        <v>3</v>
      </c>
      <c r="J1227">
        <v>2940.73</v>
      </c>
      <c r="K1227">
        <v>0.03</v>
      </c>
      <c r="L1227">
        <v>8557.52</v>
      </c>
      <c r="M1227" t="s">
        <v>76</v>
      </c>
      <c r="N1227" t="s">
        <v>34</v>
      </c>
      <c r="O1227" t="s">
        <v>35</v>
      </c>
      <c r="P1227" t="s">
        <v>72</v>
      </c>
      <c r="Q1227" t="str">
        <f t="shared" si="133"/>
        <v>Cancelled</v>
      </c>
      <c r="R1227" t="str">
        <f t="shared" si="134"/>
        <v>Store</v>
      </c>
      <c r="S1227" t="str">
        <v>Cash On Delivery</v>
      </c>
      <c r="T1227" t="str">
        <v>Electronics</v>
      </c>
      <c r="U1227" t="str">
        <f t="shared" si="135"/>
        <v>VALID</v>
      </c>
      <c r="V1227" t="str">
        <f t="shared" si="136"/>
        <v>NORMAL</v>
      </c>
      <c r="W1227" t="str">
        <f t="shared" si="137"/>
        <v>Valid</v>
      </c>
      <c r="X1227">
        <f t="shared" si="139"/>
        <v>8822.19</v>
      </c>
      <c r="Y1227">
        <f t="shared" si="138"/>
        <v>8557.5243000000009</v>
      </c>
    </row>
    <row r="1228" spans="1:25" x14ac:dyDescent="0.3">
      <c r="A1228" t="s">
        <v>1577</v>
      </c>
      <c r="B1228" s="1">
        <v>45652</v>
      </c>
      <c r="C1228" t="s">
        <v>238</v>
      </c>
      <c r="D1228" t="s">
        <v>170</v>
      </c>
      <c r="E1228" t="s">
        <v>171</v>
      </c>
      <c r="F1228" t="s">
        <v>31</v>
      </c>
      <c r="G1228" t="s">
        <v>56</v>
      </c>
      <c r="H1228" t="s">
        <v>101</v>
      </c>
      <c r="I1228">
        <v>4</v>
      </c>
      <c r="J1228">
        <v>65259.47</v>
      </c>
      <c r="K1228">
        <v>0.03</v>
      </c>
      <c r="L1228">
        <v>253206.74</v>
      </c>
      <c r="M1228" t="s">
        <v>23</v>
      </c>
      <c r="N1228" t="s">
        <v>58</v>
      </c>
      <c r="O1228" t="s">
        <v>35</v>
      </c>
      <c r="P1228" t="s">
        <v>26</v>
      </c>
      <c r="Q1228" t="str">
        <f t="shared" si="133"/>
        <v>Cancelled</v>
      </c>
      <c r="R1228" t="str">
        <f t="shared" si="134"/>
        <v>Online</v>
      </c>
      <c r="S1228" t="str">
        <v>Credit Card</v>
      </c>
      <c r="T1228" t="str">
        <v>Electronics</v>
      </c>
      <c r="U1228" t="str">
        <f t="shared" si="135"/>
        <v>VALID</v>
      </c>
      <c r="V1228" t="str">
        <f t="shared" si="136"/>
        <v>NORMAL</v>
      </c>
      <c r="W1228" t="str">
        <f t="shared" si="137"/>
        <v>Valid</v>
      </c>
      <c r="X1228">
        <f t="shared" si="139"/>
        <v>261037.88</v>
      </c>
      <c r="Y1228">
        <f t="shared" si="138"/>
        <v>253206.74360000002</v>
      </c>
    </row>
    <row r="1229" spans="1:25" x14ac:dyDescent="0.3">
      <c r="A1229" t="s">
        <v>1578</v>
      </c>
      <c r="B1229" s="1">
        <v>46112</v>
      </c>
      <c r="C1229" t="s">
        <v>389</v>
      </c>
      <c r="D1229" t="s">
        <v>38</v>
      </c>
      <c r="E1229" t="s">
        <v>39</v>
      </c>
      <c r="F1229" t="s">
        <v>40</v>
      </c>
      <c r="G1229" t="s">
        <v>32</v>
      </c>
      <c r="H1229" t="s">
        <v>33</v>
      </c>
      <c r="I1229">
        <v>3</v>
      </c>
      <c r="J1229">
        <v>1703.19</v>
      </c>
      <c r="K1229">
        <v>0.2</v>
      </c>
      <c r="L1229">
        <v>4087.66</v>
      </c>
      <c r="M1229" t="s">
        <v>48</v>
      </c>
      <c r="N1229" t="s">
        <v>58</v>
      </c>
      <c r="O1229" t="s">
        <v>65</v>
      </c>
      <c r="P1229" t="s">
        <v>102</v>
      </c>
      <c r="Q1229" t="str">
        <f t="shared" si="133"/>
        <v>Completed</v>
      </c>
      <c r="R1229" t="str">
        <f t="shared" si="134"/>
        <v>Marketplace</v>
      </c>
      <c r="S1229" t="str">
        <v>Credit Card</v>
      </c>
      <c r="T1229" t="str">
        <v>Furniture</v>
      </c>
      <c r="U1229" t="str">
        <f t="shared" si="135"/>
        <v>VALID</v>
      </c>
      <c r="V1229" t="str">
        <f t="shared" si="136"/>
        <v>NORMAL</v>
      </c>
      <c r="W1229" t="str">
        <f t="shared" si="137"/>
        <v>Valid</v>
      </c>
      <c r="X1229">
        <f t="shared" si="139"/>
        <v>5109.57</v>
      </c>
      <c r="Y1229">
        <f t="shared" si="138"/>
        <v>4087.6559999999999</v>
      </c>
    </row>
    <row r="1230" spans="1:25" x14ac:dyDescent="0.3">
      <c r="A1230" t="s">
        <v>1579</v>
      </c>
      <c r="B1230" s="1">
        <v>45705</v>
      </c>
      <c r="C1230" t="s">
        <v>1195</v>
      </c>
      <c r="D1230" t="s">
        <v>62</v>
      </c>
      <c r="E1230" t="s">
        <v>63</v>
      </c>
      <c r="F1230" t="s">
        <v>31</v>
      </c>
      <c r="G1230" t="s">
        <v>56</v>
      </c>
      <c r="H1230" t="s">
        <v>57</v>
      </c>
      <c r="I1230">
        <v>5</v>
      </c>
      <c r="J1230">
        <v>2666.49</v>
      </c>
      <c r="K1230">
        <v>0.1</v>
      </c>
      <c r="L1230">
        <v>11999.2</v>
      </c>
      <c r="M1230" t="s">
        <v>48</v>
      </c>
      <c r="N1230" t="s">
        <v>49</v>
      </c>
      <c r="O1230" t="s">
        <v>25</v>
      </c>
      <c r="P1230" t="s">
        <v>111</v>
      </c>
      <c r="Q1230" t="str">
        <f t="shared" si="133"/>
        <v>Returned</v>
      </c>
      <c r="R1230" t="str">
        <f t="shared" si="134"/>
        <v>Marketplace</v>
      </c>
      <c r="S1230" t="str">
        <v>Net Banking</v>
      </c>
      <c r="T1230" t="str">
        <v>Electronics</v>
      </c>
      <c r="U1230" t="str">
        <f t="shared" si="135"/>
        <v>VALID</v>
      </c>
      <c r="V1230" t="str">
        <f t="shared" si="136"/>
        <v>NORMAL</v>
      </c>
      <c r="W1230" t="str">
        <f t="shared" si="137"/>
        <v>Valid</v>
      </c>
      <c r="X1230">
        <f t="shared" si="139"/>
        <v>13332.449999999999</v>
      </c>
      <c r="Y1230">
        <f t="shared" si="138"/>
        <v>11999.204999999998</v>
      </c>
    </row>
    <row r="1231" spans="1:25" x14ac:dyDescent="0.3">
      <c r="A1231" t="s">
        <v>1580</v>
      </c>
      <c r="B1231" s="1">
        <v>45899</v>
      </c>
      <c r="C1231" t="s">
        <v>125</v>
      </c>
      <c r="D1231" t="s">
        <v>53</v>
      </c>
      <c r="E1231" t="s">
        <v>54</v>
      </c>
      <c r="F1231" t="s">
        <v>55</v>
      </c>
      <c r="G1231" t="s">
        <v>32</v>
      </c>
      <c r="H1231" t="s">
        <v>68</v>
      </c>
      <c r="I1231">
        <v>1</v>
      </c>
      <c r="J1231">
        <v>235.63</v>
      </c>
      <c r="K1231">
        <v>0.08</v>
      </c>
      <c r="L1231">
        <v>216.78</v>
      </c>
      <c r="M1231" t="s">
        <v>76</v>
      </c>
      <c r="N1231" t="s">
        <v>34</v>
      </c>
      <c r="O1231" t="s">
        <v>65</v>
      </c>
      <c r="P1231" t="s">
        <v>72</v>
      </c>
      <c r="Q1231" t="str">
        <f t="shared" si="133"/>
        <v>Completed</v>
      </c>
      <c r="R1231" t="str">
        <f t="shared" si="134"/>
        <v>Store</v>
      </c>
      <c r="S1231" t="str">
        <v>Cash On Delivery</v>
      </c>
      <c r="T1231" t="str">
        <v>Stationery</v>
      </c>
      <c r="U1231" t="str">
        <f t="shared" si="135"/>
        <v>VALID</v>
      </c>
      <c r="V1231" t="str">
        <f t="shared" si="136"/>
        <v>NORMAL</v>
      </c>
      <c r="W1231" t="str">
        <f t="shared" si="137"/>
        <v>Valid</v>
      </c>
      <c r="X1231">
        <f t="shared" si="139"/>
        <v>235.63</v>
      </c>
      <c r="Y1231">
        <f t="shared" si="138"/>
        <v>216.77959999999999</v>
      </c>
    </row>
    <row r="1232" spans="1:25" x14ac:dyDescent="0.3">
      <c r="A1232" t="s">
        <v>1581</v>
      </c>
      <c r="B1232" s="1">
        <v>45400</v>
      </c>
      <c r="C1232" t="s">
        <v>262</v>
      </c>
      <c r="D1232" t="s">
        <v>105</v>
      </c>
      <c r="E1232" t="s">
        <v>106</v>
      </c>
      <c r="F1232" t="s">
        <v>40</v>
      </c>
      <c r="G1232" t="s">
        <v>56</v>
      </c>
      <c r="H1232" t="s">
        <v>101</v>
      </c>
      <c r="I1232">
        <v>1</v>
      </c>
      <c r="J1232">
        <v>6891.55</v>
      </c>
      <c r="K1232">
        <v>0.08</v>
      </c>
      <c r="L1232">
        <v>6340.23</v>
      </c>
      <c r="M1232" t="s">
        <v>48</v>
      </c>
      <c r="N1232" t="s">
        <v>34</v>
      </c>
      <c r="O1232" t="s">
        <v>65</v>
      </c>
      <c r="P1232" t="s">
        <v>72</v>
      </c>
      <c r="Q1232" t="str">
        <f t="shared" si="133"/>
        <v>Completed</v>
      </c>
      <c r="R1232" t="str">
        <f t="shared" si="134"/>
        <v>Marketplace</v>
      </c>
      <c r="S1232" t="str">
        <v>Cash On Delivery</v>
      </c>
      <c r="T1232" t="str">
        <v>Furniture</v>
      </c>
      <c r="U1232" t="str">
        <f t="shared" si="135"/>
        <v>VALID</v>
      </c>
      <c r="V1232" t="str">
        <f t="shared" si="136"/>
        <v>NORMAL</v>
      </c>
      <c r="W1232" t="str">
        <f t="shared" si="137"/>
        <v>Valid</v>
      </c>
      <c r="X1232">
        <f t="shared" si="139"/>
        <v>6891.55</v>
      </c>
      <c r="Y1232">
        <f t="shared" si="138"/>
        <v>6340.2260000000006</v>
      </c>
    </row>
    <row r="1233" spans="1:25" x14ac:dyDescent="0.3">
      <c r="A1233" t="s">
        <v>1582</v>
      </c>
      <c r="B1233" s="1">
        <v>46110</v>
      </c>
      <c r="C1233" t="s">
        <v>304</v>
      </c>
      <c r="D1233" t="s">
        <v>89</v>
      </c>
      <c r="E1233" t="s">
        <v>90</v>
      </c>
      <c r="F1233" t="s">
        <v>20</v>
      </c>
      <c r="G1233" t="s">
        <v>56</v>
      </c>
      <c r="H1233" t="s">
        <v>101</v>
      </c>
      <c r="I1233">
        <v>3</v>
      </c>
      <c r="J1233">
        <v>730.87</v>
      </c>
      <c r="K1233">
        <v>0</v>
      </c>
      <c r="L1233">
        <v>2192.61</v>
      </c>
      <c r="M1233" t="s">
        <v>76</v>
      </c>
      <c r="N1233" t="s">
        <v>24</v>
      </c>
      <c r="O1233" t="s">
        <v>65</v>
      </c>
      <c r="P1233" t="s">
        <v>111</v>
      </c>
      <c r="Q1233" t="str">
        <f t="shared" si="133"/>
        <v>Completed</v>
      </c>
      <c r="R1233" t="str">
        <f t="shared" si="134"/>
        <v>Store</v>
      </c>
      <c r="S1233" t="str">
        <v>Debit Card</v>
      </c>
      <c r="T1233" t="str">
        <v>Accessories</v>
      </c>
      <c r="U1233" t="str">
        <f t="shared" si="135"/>
        <v>VALID</v>
      </c>
      <c r="V1233" t="str">
        <f t="shared" si="136"/>
        <v>NORMAL</v>
      </c>
      <c r="W1233" t="str">
        <f t="shared" si="137"/>
        <v>Valid</v>
      </c>
      <c r="X1233">
        <f t="shared" si="139"/>
        <v>2192.61</v>
      </c>
      <c r="Y1233">
        <f t="shared" si="138"/>
        <v>2192.61</v>
      </c>
    </row>
    <row r="1234" spans="1:25" x14ac:dyDescent="0.3">
      <c r="A1234" t="s">
        <v>1583</v>
      </c>
      <c r="B1234" s="1">
        <v>45660</v>
      </c>
      <c r="C1234" t="s">
        <v>683</v>
      </c>
      <c r="D1234" t="s">
        <v>38</v>
      </c>
      <c r="E1234" t="s">
        <v>39</v>
      </c>
      <c r="F1234" t="s">
        <v>40</v>
      </c>
      <c r="G1234" t="s">
        <v>81</v>
      </c>
      <c r="H1234" t="s">
        <v>98</v>
      </c>
      <c r="I1234">
        <v>3</v>
      </c>
      <c r="J1234">
        <v>1656.25</v>
      </c>
      <c r="K1234">
        <v>0.05</v>
      </c>
      <c r="L1234">
        <v>4720.3100000000004</v>
      </c>
      <c r="M1234" t="s">
        <v>48</v>
      </c>
      <c r="N1234" t="s">
        <v>71</v>
      </c>
      <c r="O1234" t="s">
        <v>65</v>
      </c>
      <c r="P1234" t="s">
        <v>50</v>
      </c>
      <c r="Q1234" t="str">
        <f t="shared" si="133"/>
        <v>Completed</v>
      </c>
      <c r="R1234" t="str">
        <f t="shared" si="134"/>
        <v>Marketplace</v>
      </c>
      <c r="S1234" t="str">
        <v>Upi</v>
      </c>
      <c r="T1234" t="str">
        <v>Furniture</v>
      </c>
      <c r="U1234" t="str">
        <f t="shared" si="135"/>
        <v>VALID</v>
      </c>
      <c r="V1234" t="str">
        <f t="shared" si="136"/>
        <v>NORMAL</v>
      </c>
      <c r="W1234" t="str">
        <f t="shared" si="137"/>
        <v>Valid</v>
      </c>
      <c r="X1234">
        <f t="shared" si="139"/>
        <v>4968.75</v>
      </c>
      <c r="Y1234">
        <f t="shared" si="138"/>
        <v>4720.3125</v>
      </c>
    </row>
    <row r="1235" spans="1:25" x14ac:dyDescent="0.3">
      <c r="A1235" t="s">
        <v>1584</v>
      </c>
      <c r="B1235" s="1">
        <v>45294</v>
      </c>
      <c r="C1235" t="s">
        <v>311</v>
      </c>
      <c r="D1235" t="s">
        <v>85</v>
      </c>
      <c r="E1235" t="s">
        <v>86</v>
      </c>
      <c r="F1235" t="s">
        <v>20</v>
      </c>
      <c r="G1235" t="s">
        <v>81</v>
      </c>
      <c r="H1235" t="s">
        <v>87</v>
      </c>
      <c r="I1235">
        <v>3</v>
      </c>
      <c r="J1235">
        <v>1860.44</v>
      </c>
      <c r="K1235">
        <v>0.15</v>
      </c>
      <c r="L1235">
        <v>4744.12</v>
      </c>
      <c r="M1235" t="s">
        <v>76</v>
      </c>
      <c r="N1235" t="s">
        <v>49</v>
      </c>
      <c r="O1235" t="s">
        <v>65</v>
      </c>
      <c r="P1235" t="s">
        <v>50</v>
      </c>
      <c r="Q1235" t="str">
        <f t="shared" si="133"/>
        <v>Completed</v>
      </c>
      <c r="R1235" t="str">
        <f t="shared" si="134"/>
        <v>Store</v>
      </c>
      <c r="S1235" t="str">
        <v>Net Banking</v>
      </c>
      <c r="T1235" t="str">
        <v>Accessories</v>
      </c>
      <c r="U1235" t="str">
        <f t="shared" si="135"/>
        <v>VALID</v>
      </c>
      <c r="V1235" t="str">
        <f t="shared" si="136"/>
        <v>NORMAL</v>
      </c>
      <c r="W1235" t="str">
        <f t="shared" si="137"/>
        <v>Valid</v>
      </c>
      <c r="X1235">
        <f t="shared" si="139"/>
        <v>5581.32</v>
      </c>
      <c r="Y1235">
        <f t="shared" si="138"/>
        <v>4744.1219999999994</v>
      </c>
    </row>
    <row r="1236" spans="1:25" x14ac:dyDescent="0.3">
      <c r="A1236" t="s">
        <v>1585</v>
      </c>
      <c r="B1236" s="1">
        <v>45820</v>
      </c>
      <c r="C1236" t="s">
        <v>554</v>
      </c>
      <c r="D1236" t="s">
        <v>79</v>
      </c>
      <c r="E1236" t="s">
        <v>80</v>
      </c>
      <c r="F1236" t="s">
        <v>31</v>
      </c>
      <c r="G1236" t="s">
        <v>56</v>
      </c>
      <c r="H1236" t="s">
        <v>57</v>
      </c>
      <c r="I1236">
        <v>5</v>
      </c>
      <c r="J1236">
        <v>11989.98</v>
      </c>
      <c r="K1236">
        <v>0</v>
      </c>
      <c r="L1236">
        <v>59949.9</v>
      </c>
      <c r="M1236" t="s">
        <v>76</v>
      </c>
      <c r="N1236" t="s">
        <v>49</v>
      </c>
      <c r="O1236" t="s">
        <v>65</v>
      </c>
      <c r="P1236" t="s">
        <v>102</v>
      </c>
      <c r="Q1236" t="str">
        <f t="shared" si="133"/>
        <v>Completed</v>
      </c>
      <c r="R1236" t="str">
        <f t="shared" si="134"/>
        <v>Store</v>
      </c>
      <c r="S1236" t="str">
        <v>Net Banking</v>
      </c>
      <c r="T1236" t="str">
        <v>Electronics</v>
      </c>
      <c r="U1236" t="str">
        <f t="shared" si="135"/>
        <v>VALID</v>
      </c>
      <c r="V1236" t="str">
        <f t="shared" si="136"/>
        <v>NORMAL</v>
      </c>
      <c r="W1236" t="str">
        <f t="shared" si="137"/>
        <v>Valid</v>
      </c>
      <c r="X1236">
        <f t="shared" si="139"/>
        <v>59949.899999999994</v>
      </c>
      <c r="Y1236">
        <f t="shared" si="138"/>
        <v>59949.899999999994</v>
      </c>
    </row>
    <row r="1237" spans="1:25" x14ac:dyDescent="0.3">
      <c r="A1237" t="s">
        <v>1586</v>
      </c>
      <c r="B1237" s="1">
        <v>45957</v>
      </c>
      <c r="C1237" t="s">
        <v>424</v>
      </c>
      <c r="D1237" t="s">
        <v>131</v>
      </c>
      <c r="E1237" t="s">
        <v>132</v>
      </c>
      <c r="F1237" t="s">
        <v>40</v>
      </c>
      <c r="G1237" t="s">
        <v>32</v>
      </c>
      <c r="H1237" t="s">
        <v>33</v>
      </c>
      <c r="I1237">
        <v>5</v>
      </c>
      <c r="J1237">
        <v>9638.5400000000009</v>
      </c>
      <c r="K1237">
        <v>0.1</v>
      </c>
      <c r="L1237">
        <v>43373.43</v>
      </c>
      <c r="M1237" t="s">
        <v>23</v>
      </c>
      <c r="N1237" t="s">
        <v>24</v>
      </c>
      <c r="O1237" t="s">
        <v>35</v>
      </c>
      <c r="P1237" t="s">
        <v>42</v>
      </c>
      <c r="Q1237" t="str">
        <f t="shared" si="133"/>
        <v>Cancelled</v>
      </c>
      <c r="R1237" t="str">
        <f t="shared" si="134"/>
        <v>Online</v>
      </c>
      <c r="S1237" t="str">
        <v>Debit Card</v>
      </c>
      <c r="T1237" t="str">
        <v>Furniture</v>
      </c>
      <c r="U1237" t="str">
        <f t="shared" si="135"/>
        <v>VALID</v>
      </c>
      <c r="V1237" t="str">
        <f t="shared" si="136"/>
        <v>NORMAL</v>
      </c>
      <c r="W1237" t="str">
        <f t="shared" si="137"/>
        <v>Valid</v>
      </c>
      <c r="X1237">
        <f t="shared" si="139"/>
        <v>48192.700000000004</v>
      </c>
      <c r="Y1237">
        <f t="shared" si="138"/>
        <v>43373.430000000008</v>
      </c>
    </row>
    <row r="1238" spans="1:25" x14ac:dyDescent="0.3">
      <c r="A1238" t="s">
        <v>1587</v>
      </c>
      <c r="B1238" s="1">
        <v>45708</v>
      </c>
      <c r="C1238" t="s">
        <v>848</v>
      </c>
      <c r="D1238" t="s">
        <v>170</v>
      </c>
      <c r="E1238" t="s">
        <v>171</v>
      </c>
      <c r="F1238" t="s">
        <v>31</v>
      </c>
      <c r="G1238" t="s">
        <v>21</v>
      </c>
      <c r="H1238" t="s">
        <v>41</v>
      </c>
      <c r="I1238">
        <v>5</v>
      </c>
      <c r="J1238">
        <v>64917.72</v>
      </c>
      <c r="K1238">
        <v>0.15</v>
      </c>
      <c r="L1238">
        <v>275900.31</v>
      </c>
      <c r="M1238" t="s">
        <v>23</v>
      </c>
      <c r="N1238" t="s">
        <v>58</v>
      </c>
      <c r="O1238" t="s">
        <v>25</v>
      </c>
      <c r="P1238" t="s">
        <v>116</v>
      </c>
      <c r="Q1238" t="str">
        <f t="shared" si="133"/>
        <v>Returned</v>
      </c>
      <c r="R1238" t="str">
        <f t="shared" si="134"/>
        <v>Online</v>
      </c>
      <c r="S1238" t="str">
        <v>Credit Card</v>
      </c>
      <c r="T1238" t="str">
        <v>Electronics</v>
      </c>
      <c r="U1238" t="str">
        <f t="shared" si="135"/>
        <v>VALID</v>
      </c>
      <c r="V1238" t="str">
        <f t="shared" si="136"/>
        <v>NORMAL</v>
      </c>
      <c r="W1238" t="str">
        <f t="shared" si="137"/>
        <v>Valid</v>
      </c>
      <c r="X1238">
        <f t="shared" si="139"/>
        <v>324588.59999999998</v>
      </c>
      <c r="Y1238">
        <f t="shared" si="138"/>
        <v>275900.31</v>
      </c>
    </row>
    <row r="1239" spans="1:25" x14ac:dyDescent="0.3">
      <c r="A1239" t="s">
        <v>1588</v>
      </c>
      <c r="B1239" s="1">
        <v>45447</v>
      </c>
      <c r="C1239" t="s">
        <v>419</v>
      </c>
      <c r="D1239" t="s">
        <v>170</v>
      </c>
      <c r="E1239" t="s">
        <v>171</v>
      </c>
      <c r="F1239" t="s">
        <v>31</v>
      </c>
      <c r="G1239" t="s">
        <v>56</v>
      </c>
      <c r="H1239" t="s">
        <v>57</v>
      </c>
      <c r="J1239">
        <v>64560.94</v>
      </c>
      <c r="K1239">
        <v>0.15</v>
      </c>
      <c r="L1239">
        <v>164630.39999999999</v>
      </c>
      <c r="M1239" t="s">
        <v>48</v>
      </c>
      <c r="N1239" t="s">
        <v>58</v>
      </c>
      <c r="O1239" t="s">
        <v>35</v>
      </c>
      <c r="P1239" t="s">
        <v>26</v>
      </c>
      <c r="Q1239" t="str">
        <f t="shared" si="133"/>
        <v>Cancelled</v>
      </c>
      <c r="R1239" t="str">
        <f t="shared" si="134"/>
        <v>Marketplace</v>
      </c>
      <c r="S1239" t="str">
        <v>Credit Card</v>
      </c>
      <c r="T1239" t="str">
        <v>Electronics</v>
      </c>
      <c r="U1239" t="str">
        <f t="shared" si="135"/>
        <v>INVALID</v>
      </c>
      <c r="V1239" t="str">
        <f t="shared" si="136"/>
        <v>NORMAL</v>
      </c>
      <c r="W1239" t="str">
        <f t="shared" si="137"/>
        <v>Valid</v>
      </c>
      <c r="X1239">
        <f t="shared" si="139"/>
        <v>0</v>
      </c>
      <c r="Y1239">
        <f t="shared" si="138"/>
        <v>0</v>
      </c>
    </row>
    <row r="1240" spans="1:25" x14ac:dyDescent="0.3">
      <c r="A1240" t="s">
        <v>1589</v>
      </c>
      <c r="B1240" s="1">
        <v>45505</v>
      </c>
      <c r="C1240" t="s">
        <v>424</v>
      </c>
      <c r="D1240" t="s">
        <v>89</v>
      </c>
      <c r="E1240" t="s">
        <v>90</v>
      </c>
      <c r="F1240" t="s">
        <v>20</v>
      </c>
      <c r="G1240" t="s">
        <v>56</v>
      </c>
      <c r="H1240" t="s">
        <v>123</v>
      </c>
      <c r="I1240">
        <v>3</v>
      </c>
      <c r="J1240">
        <v>688.04</v>
      </c>
      <c r="K1240">
        <v>0.08</v>
      </c>
      <c r="L1240">
        <v>1898.99</v>
      </c>
      <c r="M1240" t="s">
        <v>48</v>
      </c>
      <c r="N1240" t="s">
        <v>34</v>
      </c>
      <c r="O1240" t="s">
        <v>25</v>
      </c>
      <c r="P1240" t="s">
        <v>111</v>
      </c>
      <c r="Q1240" t="str">
        <f t="shared" si="133"/>
        <v>Returned</v>
      </c>
      <c r="R1240" t="str">
        <f t="shared" si="134"/>
        <v>Marketplace</v>
      </c>
      <c r="S1240" t="str">
        <v>Cash On Delivery</v>
      </c>
      <c r="T1240" t="str">
        <v>Accessories</v>
      </c>
      <c r="U1240" t="str">
        <f t="shared" si="135"/>
        <v>VALID</v>
      </c>
      <c r="V1240" t="str">
        <f t="shared" si="136"/>
        <v>NORMAL</v>
      </c>
      <c r="W1240" t="str">
        <f t="shared" si="137"/>
        <v>Valid</v>
      </c>
      <c r="X1240">
        <f t="shared" si="139"/>
        <v>2064.12</v>
      </c>
      <c r="Y1240">
        <f t="shared" si="138"/>
        <v>1898.9903999999999</v>
      </c>
    </row>
    <row r="1241" spans="1:25" x14ac:dyDescent="0.3">
      <c r="A1241" t="s">
        <v>1590</v>
      </c>
      <c r="B1241" s="1">
        <v>45933</v>
      </c>
      <c r="C1241" t="s">
        <v>166</v>
      </c>
      <c r="D1241" t="s">
        <v>18</v>
      </c>
      <c r="E1241" t="s">
        <v>19</v>
      </c>
      <c r="F1241" t="s">
        <v>20</v>
      </c>
      <c r="G1241" t="s">
        <v>32</v>
      </c>
      <c r="H1241" t="s">
        <v>33</v>
      </c>
      <c r="I1241">
        <v>1</v>
      </c>
      <c r="J1241">
        <v>860.49</v>
      </c>
      <c r="K1241">
        <v>0.1</v>
      </c>
      <c r="L1241">
        <v>774.44</v>
      </c>
      <c r="M1241" t="s">
        <v>48</v>
      </c>
      <c r="N1241" t="s">
        <v>49</v>
      </c>
      <c r="O1241" t="s">
        <v>65</v>
      </c>
      <c r="P1241" t="s">
        <v>102</v>
      </c>
      <c r="Q1241" t="str">
        <f t="shared" si="133"/>
        <v>Completed</v>
      </c>
      <c r="R1241" t="str">
        <f t="shared" si="134"/>
        <v>Marketplace</v>
      </c>
      <c r="S1241" t="str">
        <v>Net Banking</v>
      </c>
      <c r="T1241" t="str">
        <v>Accessories</v>
      </c>
      <c r="U1241" t="str">
        <f t="shared" si="135"/>
        <v>VALID</v>
      </c>
      <c r="V1241" t="str">
        <f t="shared" si="136"/>
        <v>NORMAL</v>
      </c>
      <c r="W1241" t="str">
        <f t="shared" si="137"/>
        <v>Valid</v>
      </c>
      <c r="X1241">
        <f t="shared" si="139"/>
        <v>860.49</v>
      </c>
      <c r="Y1241">
        <f t="shared" si="138"/>
        <v>774.44100000000003</v>
      </c>
    </row>
    <row r="1242" spans="1:25" x14ac:dyDescent="0.3">
      <c r="A1242" t="s">
        <v>1591</v>
      </c>
      <c r="B1242" s="1">
        <v>45381</v>
      </c>
      <c r="C1242" t="s">
        <v>695</v>
      </c>
      <c r="D1242" t="s">
        <v>176</v>
      </c>
      <c r="E1242" t="s">
        <v>177</v>
      </c>
      <c r="F1242" t="s">
        <v>31</v>
      </c>
      <c r="G1242" t="s">
        <v>81</v>
      </c>
      <c r="H1242" t="s">
        <v>87</v>
      </c>
      <c r="I1242">
        <v>2</v>
      </c>
      <c r="J1242">
        <v>2290.09</v>
      </c>
      <c r="K1242">
        <v>0.03</v>
      </c>
      <c r="L1242">
        <v>4442.7700000000004</v>
      </c>
      <c r="M1242" t="s">
        <v>48</v>
      </c>
      <c r="N1242" t="s">
        <v>58</v>
      </c>
      <c r="O1242" t="s">
        <v>65</v>
      </c>
      <c r="P1242" t="s">
        <v>72</v>
      </c>
      <c r="Q1242" t="str">
        <f t="shared" si="133"/>
        <v>Completed</v>
      </c>
      <c r="R1242" t="str">
        <f t="shared" si="134"/>
        <v>Marketplace</v>
      </c>
      <c r="S1242" t="str">
        <v>Credit Card</v>
      </c>
      <c r="T1242" t="str">
        <v>Electronics</v>
      </c>
      <c r="U1242" t="str">
        <f t="shared" si="135"/>
        <v>VALID</v>
      </c>
      <c r="V1242" t="str">
        <f t="shared" si="136"/>
        <v>NORMAL</v>
      </c>
      <c r="W1242" t="str">
        <f t="shared" si="137"/>
        <v>Valid</v>
      </c>
      <c r="X1242">
        <f t="shared" si="139"/>
        <v>4580.18</v>
      </c>
      <c r="Y1242">
        <f t="shared" si="138"/>
        <v>4442.7746000000006</v>
      </c>
    </row>
    <row r="1243" spans="1:25" x14ac:dyDescent="0.3">
      <c r="A1243" t="s">
        <v>1592</v>
      </c>
      <c r="B1243" s="1">
        <v>45408</v>
      </c>
      <c r="C1243" t="s">
        <v>723</v>
      </c>
      <c r="D1243" t="s">
        <v>121</v>
      </c>
      <c r="E1243" t="s">
        <v>122</v>
      </c>
      <c r="F1243" t="s">
        <v>55</v>
      </c>
      <c r="G1243" t="s">
        <v>56</v>
      </c>
      <c r="H1243" t="s">
        <v>123</v>
      </c>
      <c r="I1243">
        <v>5</v>
      </c>
      <c r="J1243">
        <v>484.59</v>
      </c>
      <c r="K1243">
        <v>0</v>
      </c>
      <c r="L1243">
        <v>2422.9499999999998</v>
      </c>
      <c r="M1243" t="s">
        <v>23</v>
      </c>
      <c r="N1243" t="s">
        <v>24</v>
      </c>
      <c r="O1243" t="s">
        <v>25</v>
      </c>
      <c r="P1243" t="s">
        <v>50</v>
      </c>
      <c r="Q1243" t="str">
        <f t="shared" si="133"/>
        <v>Returned</v>
      </c>
      <c r="R1243" t="str">
        <f t="shared" si="134"/>
        <v>Online</v>
      </c>
      <c r="S1243" t="str">
        <v>Debit Card</v>
      </c>
      <c r="T1243" t="str">
        <v>Stationery</v>
      </c>
      <c r="U1243" t="str">
        <f t="shared" si="135"/>
        <v>VALID</v>
      </c>
      <c r="V1243" t="str">
        <f t="shared" si="136"/>
        <v>NORMAL</v>
      </c>
      <c r="W1243" t="str">
        <f t="shared" si="137"/>
        <v>Valid</v>
      </c>
      <c r="X1243">
        <f t="shared" si="139"/>
        <v>2422.9499999999998</v>
      </c>
      <c r="Y1243">
        <f t="shared" si="138"/>
        <v>2422.9499999999998</v>
      </c>
    </row>
    <row r="1244" spans="1:25" x14ac:dyDescent="0.3">
      <c r="A1244" t="s">
        <v>1593</v>
      </c>
      <c r="B1244" s="1">
        <v>45629</v>
      </c>
      <c r="C1244" t="s">
        <v>297</v>
      </c>
      <c r="D1244" t="s">
        <v>121</v>
      </c>
      <c r="E1244" t="s">
        <v>122</v>
      </c>
      <c r="F1244" t="s">
        <v>55</v>
      </c>
      <c r="G1244" t="s">
        <v>32</v>
      </c>
      <c r="H1244" t="s">
        <v>47</v>
      </c>
      <c r="I1244">
        <v>5</v>
      </c>
      <c r="J1244">
        <v>414.64</v>
      </c>
      <c r="K1244">
        <v>0</v>
      </c>
      <c r="L1244">
        <v>2073.1999999999998</v>
      </c>
      <c r="M1244" t="s">
        <v>23</v>
      </c>
      <c r="N1244" t="s">
        <v>24</v>
      </c>
      <c r="O1244" t="s">
        <v>25</v>
      </c>
      <c r="P1244" t="s">
        <v>26</v>
      </c>
      <c r="Q1244" t="str">
        <f t="shared" si="133"/>
        <v>Returned</v>
      </c>
      <c r="R1244" t="str">
        <f t="shared" si="134"/>
        <v>Online</v>
      </c>
      <c r="S1244" t="str">
        <v>Debit Card</v>
      </c>
      <c r="T1244" t="str">
        <v>Stationery</v>
      </c>
      <c r="U1244" t="str">
        <f t="shared" si="135"/>
        <v>VALID</v>
      </c>
      <c r="V1244" t="str">
        <f t="shared" si="136"/>
        <v>NORMAL</v>
      </c>
      <c r="W1244" t="str">
        <f t="shared" si="137"/>
        <v>Valid</v>
      </c>
      <c r="X1244">
        <f t="shared" si="139"/>
        <v>2073.1999999999998</v>
      </c>
      <c r="Y1244">
        <f t="shared" si="138"/>
        <v>2073.1999999999998</v>
      </c>
    </row>
    <row r="1245" spans="1:25" x14ac:dyDescent="0.3">
      <c r="A1245" t="s">
        <v>1594</v>
      </c>
      <c r="B1245" s="1">
        <v>46194</v>
      </c>
      <c r="C1245" t="s">
        <v>404</v>
      </c>
      <c r="D1245" t="s">
        <v>176</v>
      </c>
      <c r="E1245" t="s">
        <v>177</v>
      </c>
      <c r="F1245" t="s">
        <v>31</v>
      </c>
      <c r="G1245" t="s">
        <v>81</v>
      </c>
      <c r="H1245" t="s">
        <v>82</v>
      </c>
      <c r="I1245">
        <v>4</v>
      </c>
      <c r="J1245">
        <v>2051.0700000000002</v>
      </c>
      <c r="K1245">
        <v>0.1</v>
      </c>
      <c r="L1245">
        <v>7383.85</v>
      </c>
      <c r="M1245" t="s">
        <v>48</v>
      </c>
      <c r="N1245" t="s">
        <v>71</v>
      </c>
      <c r="O1245" t="s">
        <v>65</v>
      </c>
      <c r="P1245" t="s">
        <v>111</v>
      </c>
      <c r="Q1245" t="str">
        <f t="shared" si="133"/>
        <v>Completed</v>
      </c>
      <c r="R1245" t="str">
        <f t="shared" si="134"/>
        <v>Marketplace</v>
      </c>
      <c r="S1245" t="str">
        <v>Upi</v>
      </c>
      <c r="T1245" t="str">
        <v>Electronics</v>
      </c>
      <c r="U1245" t="str">
        <f t="shared" si="135"/>
        <v>VALID</v>
      </c>
      <c r="V1245" t="str">
        <f t="shared" si="136"/>
        <v>NORMAL</v>
      </c>
      <c r="W1245" t="str">
        <f t="shared" si="137"/>
        <v>Valid</v>
      </c>
      <c r="X1245">
        <f t="shared" si="139"/>
        <v>8204.2800000000007</v>
      </c>
      <c r="Y1245">
        <f t="shared" si="138"/>
        <v>7383.8520000000008</v>
      </c>
    </row>
    <row r="1246" spans="1:25" x14ac:dyDescent="0.3">
      <c r="A1246" t="s">
        <v>1595</v>
      </c>
      <c r="B1246" s="1">
        <v>46104</v>
      </c>
      <c r="C1246" t="s">
        <v>61</v>
      </c>
      <c r="D1246" t="s">
        <v>89</v>
      </c>
      <c r="E1246" t="s">
        <v>90</v>
      </c>
      <c r="F1246" t="s">
        <v>20</v>
      </c>
      <c r="G1246" t="s">
        <v>81</v>
      </c>
      <c r="H1246" t="s">
        <v>98</v>
      </c>
      <c r="I1246">
        <v>1</v>
      </c>
      <c r="J1246">
        <v>655.43</v>
      </c>
      <c r="K1246">
        <v>0.1</v>
      </c>
      <c r="L1246">
        <v>589.89</v>
      </c>
      <c r="M1246" t="s">
        <v>76</v>
      </c>
      <c r="N1246" t="s">
        <v>49</v>
      </c>
      <c r="O1246" t="s">
        <v>65</v>
      </c>
      <c r="P1246" t="s">
        <v>72</v>
      </c>
      <c r="Q1246" t="str">
        <f t="shared" si="133"/>
        <v>Completed</v>
      </c>
      <c r="R1246" t="str">
        <f t="shared" si="134"/>
        <v>Store</v>
      </c>
      <c r="S1246" t="str">
        <v>Net Banking</v>
      </c>
      <c r="T1246" t="str">
        <v>Accessories</v>
      </c>
      <c r="U1246" t="str">
        <f t="shared" si="135"/>
        <v>VALID</v>
      </c>
      <c r="V1246" t="str">
        <f t="shared" si="136"/>
        <v>NORMAL</v>
      </c>
      <c r="W1246" t="str">
        <f t="shared" si="137"/>
        <v>Valid</v>
      </c>
      <c r="X1246">
        <f t="shared" si="139"/>
        <v>655.43</v>
      </c>
      <c r="Y1246">
        <f t="shared" si="138"/>
        <v>589.88699999999994</v>
      </c>
    </row>
    <row r="1247" spans="1:25" x14ac:dyDescent="0.3">
      <c r="A1247" t="s">
        <v>1596</v>
      </c>
      <c r="B1247" s="1">
        <v>45533</v>
      </c>
      <c r="C1247" t="s">
        <v>44</v>
      </c>
      <c r="D1247" t="s">
        <v>62</v>
      </c>
      <c r="E1247" t="s">
        <v>63</v>
      </c>
      <c r="F1247" t="s">
        <v>31</v>
      </c>
      <c r="G1247" t="s">
        <v>32</v>
      </c>
      <c r="H1247" t="s">
        <v>68</v>
      </c>
      <c r="I1247">
        <v>3</v>
      </c>
      <c r="J1247">
        <v>2960.82</v>
      </c>
      <c r="K1247">
        <v>0</v>
      </c>
      <c r="L1247">
        <v>8882.4599999999991</v>
      </c>
      <c r="M1247" t="s">
        <v>48</v>
      </c>
      <c r="N1247" t="s">
        <v>24</v>
      </c>
      <c r="O1247" t="s">
        <v>65</v>
      </c>
      <c r="P1247" t="s">
        <v>59</v>
      </c>
      <c r="Q1247" t="str">
        <f t="shared" si="133"/>
        <v>Completed</v>
      </c>
      <c r="R1247" t="str">
        <f t="shared" si="134"/>
        <v>Marketplace</v>
      </c>
      <c r="S1247" t="str">
        <v>Debit Card</v>
      </c>
      <c r="T1247" t="str">
        <v>Electronics</v>
      </c>
      <c r="U1247" t="str">
        <f t="shared" si="135"/>
        <v>VALID</v>
      </c>
      <c r="V1247" t="str">
        <f t="shared" si="136"/>
        <v>NORMAL</v>
      </c>
      <c r="W1247" t="str">
        <f t="shared" si="137"/>
        <v>Valid</v>
      </c>
      <c r="X1247">
        <f t="shared" si="139"/>
        <v>8882.4600000000009</v>
      </c>
      <c r="Y1247">
        <f t="shared" si="138"/>
        <v>8882.4600000000009</v>
      </c>
    </row>
    <row r="1248" spans="1:25" x14ac:dyDescent="0.3">
      <c r="A1248" t="s">
        <v>1597</v>
      </c>
      <c r="B1248" s="1">
        <v>45497</v>
      </c>
      <c r="C1248" t="s">
        <v>1008</v>
      </c>
      <c r="D1248" t="s">
        <v>62</v>
      </c>
      <c r="E1248" t="s">
        <v>63</v>
      </c>
      <c r="F1248" t="s">
        <v>31</v>
      </c>
      <c r="G1248" t="s">
        <v>32</v>
      </c>
      <c r="H1248" t="s">
        <v>68</v>
      </c>
      <c r="I1248">
        <v>1</v>
      </c>
      <c r="J1248">
        <v>2911.42</v>
      </c>
      <c r="K1248">
        <v>0.15</v>
      </c>
      <c r="L1248">
        <v>2474.71</v>
      </c>
      <c r="M1248" t="s">
        <v>48</v>
      </c>
      <c r="N1248" t="s">
        <v>58</v>
      </c>
      <c r="O1248" t="s">
        <v>35</v>
      </c>
      <c r="P1248" t="s">
        <v>59</v>
      </c>
      <c r="Q1248" t="str">
        <f t="shared" si="133"/>
        <v>Cancelled</v>
      </c>
      <c r="R1248" t="str">
        <f t="shared" si="134"/>
        <v>Marketplace</v>
      </c>
      <c r="S1248" t="str">
        <v>Credit Card</v>
      </c>
      <c r="T1248" t="str">
        <v>Electronics</v>
      </c>
      <c r="U1248" t="str">
        <f t="shared" si="135"/>
        <v>VALID</v>
      </c>
      <c r="V1248" t="str">
        <f t="shared" si="136"/>
        <v>NORMAL</v>
      </c>
      <c r="W1248" t="str">
        <f t="shared" si="137"/>
        <v>Valid</v>
      </c>
      <c r="X1248">
        <f t="shared" si="139"/>
        <v>2911.42</v>
      </c>
      <c r="Y1248">
        <f t="shared" si="138"/>
        <v>2474.7069999999999</v>
      </c>
    </row>
    <row r="1249" spans="1:25" x14ac:dyDescent="0.3">
      <c r="A1249" t="s">
        <v>1598</v>
      </c>
      <c r="B1249" s="1">
        <v>45315</v>
      </c>
      <c r="C1249" t="s">
        <v>488</v>
      </c>
      <c r="D1249" t="s">
        <v>18</v>
      </c>
      <c r="E1249" t="s">
        <v>19</v>
      </c>
      <c r="F1249" t="s">
        <v>20</v>
      </c>
      <c r="G1249" t="s">
        <v>56</v>
      </c>
      <c r="H1249" t="s">
        <v>101</v>
      </c>
      <c r="I1249">
        <v>5</v>
      </c>
      <c r="J1249">
        <v>863.72</v>
      </c>
      <c r="K1249">
        <v>0.15</v>
      </c>
      <c r="L1249">
        <v>3670.81</v>
      </c>
      <c r="M1249" t="s">
        <v>76</v>
      </c>
      <c r="N1249" t="s">
        <v>58</v>
      </c>
      <c r="O1249" t="s">
        <v>65</v>
      </c>
      <c r="P1249" t="s">
        <v>42</v>
      </c>
      <c r="Q1249" t="str">
        <f t="shared" si="133"/>
        <v>Completed</v>
      </c>
      <c r="R1249" t="str">
        <f t="shared" si="134"/>
        <v>Store</v>
      </c>
      <c r="S1249" t="str">
        <v>Credit Card</v>
      </c>
      <c r="T1249" t="str">
        <v>Accessories</v>
      </c>
      <c r="U1249" t="str">
        <f t="shared" si="135"/>
        <v>VALID</v>
      </c>
      <c r="V1249" t="str">
        <f t="shared" si="136"/>
        <v>NORMAL</v>
      </c>
      <c r="W1249" t="str">
        <f t="shared" si="137"/>
        <v>Valid</v>
      </c>
      <c r="X1249">
        <f t="shared" si="139"/>
        <v>4318.6000000000004</v>
      </c>
      <c r="Y1249">
        <f t="shared" si="138"/>
        <v>3670.8100000000004</v>
      </c>
    </row>
    <row r="1250" spans="1:25" x14ac:dyDescent="0.3">
      <c r="A1250" t="s">
        <v>1599</v>
      </c>
      <c r="B1250" s="1">
        <v>46119</v>
      </c>
      <c r="C1250" t="s">
        <v>587</v>
      </c>
      <c r="D1250" t="s">
        <v>89</v>
      </c>
      <c r="E1250" t="s">
        <v>90</v>
      </c>
      <c r="F1250" t="s">
        <v>20</v>
      </c>
      <c r="G1250" t="s">
        <v>81</v>
      </c>
      <c r="H1250" t="s">
        <v>98</v>
      </c>
      <c r="I1250">
        <v>4</v>
      </c>
      <c r="J1250">
        <v>749.02</v>
      </c>
      <c r="K1250">
        <v>0.2</v>
      </c>
      <c r="L1250">
        <v>2396.86</v>
      </c>
      <c r="M1250" t="s">
        <v>76</v>
      </c>
      <c r="N1250" t="s">
        <v>49</v>
      </c>
      <c r="O1250" t="s">
        <v>65</v>
      </c>
      <c r="P1250" t="s">
        <v>50</v>
      </c>
      <c r="Q1250" t="str">
        <f t="shared" si="133"/>
        <v>Completed</v>
      </c>
      <c r="R1250" t="str">
        <f t="shared" si="134"/>
        <v>Store</v>
      </c>
      <c r="S1250" t="str">
        <v>Net Banking</v>
      </c>
      <c r="T1250" t="str">
        <v>Accessories</v>
      </c>
      <c r="U1250" t="str">
        <f t="shared" si="135"/>
        <v>VALID</v>
      </c>
      <c r="V1250" t="str">
        <f t="shared" si="136"/>
        <v>NORMAL</v>
      </c>
      <c r="W1250" t="str">
        <f t="shared" si="137"/>
        <v>Valid</v>
      </c>
      <c r="X1250">
        <f t="shared" si="139"/>
        <v>2996.08</v>
      </c>
      <c r="Y1250">
        <f t="shared" si="138"/>
        <v>2396.864</v>
      </c>
    </row>
    <row r="1251" spans="1:25" x14ac:dyDescent="0.3">
      <c r="A1251" t="s">
        <v>1600</v>
      </c>
      <c r="B1251" s="1">
        <v>45654</v>
      </c>
      <c r="C1251" t="s">
        <v>599</v>
      </c>
      <c r="D1251" t="s">
        <v>105</v>
      </c>
      <c r="E1251" t="s">
        <v>106</v>
      </c>
      <c r="F1251" t="s">
        <v>40</v>
      </c>
      <c r="G1251" t="s">
        <v>21</v>
      </c>
      <c r="H1251" t="s">
        <v>126</v>
      </c>
      <c r="I1251">
        <v>2</v>
      </c>
      <c r="J1251">
        <v>7290.71</v>
      </c>
      <c r="K1251">
        <v>0.05</v>
      </c>
      <c r="L1251">
        <v>13852.35</v>
      </c>
      <c r="M1251" t="s">
        <v>48</v>
      </c>
      <c r="N1251" t="s">
        <v>71</v>
      </c>
      <c r="O1251" t="s">
        <v>25</v>
      </c>
      <c r="P1251" t="s">
        <v>102</v>
      </c>
      <c r="Q1251" t="str">
        <f t="shared" si="133"/>
        <v>Returned</v>
      </c>
      <c r="R1251" t="str">
        <f t="shared" si="134"/>
        <v>Marketplace</v>
      </c>
      <c r="S1251" t="str">
        <v>Upi</v>
      </c>
      <c r="T1251" t="str">
        <v>Furniture</v>
      </c>
      <c r="U1251" t="str">
        <f t="shared" si="135"/>
        <v>VALID</v>
      </c>
      <c r="V1251" t="str">
        <f t="shared" si="136"/>
        <v>NORMAL</v>
      </c>
      <c r="W1251" t="str">
        <f t="shared" si="137"/>
        <v>Valid</v>
      </c>
      <c r="X1251">
        <f t="shared" si="139"/>
        <v>14581.42</v>
      </c>
      <c r="Y1251">
        <f t="shared" si="138"/>
        <v>13852.349</v>
      </c>
    </row>
    <row r="1252" spans="1:25" x14ac:dyDescent="0.3">
      <c r="A1252" t="s">
        <v>1601</v>
      </c>
      <c r="B1252" s="1">
        <v>45329</v>
      </c>
      <c r="C1252" t="s">
        <v>373</v>
      </c>
      <c r="D1252" t="s">
        <v>105</v>
      </c>
      <c r="E1252" t="s">
        <v>106</v>
      </c>
      <c r="F1252" t="s">
        <v>40</v>
      </c>
      <c r="G1252" t="s">
        <v>56</v>
      </c>
      <c r="H1252" t="s">
        <v>57</v>
      </c>
      <c r="I1252">
        <v>3</v>
      </c>
      <c r="J1252">
        <v>7325.32</v>
      </c>
      <c r="K1252">
        <v>0.15</v>
      </c>
      <c r="L1252">
        <v>18679.57</v>
      </c>
      <c r="M1252" t="s">
        <v>76</v>
      </c>
      <c r="N1252" t="s">
        <v>34</v>
      </c>
      <c r="O1252" t="s">
        <v>65</v>
      </c>
      <c r="P1252" t="s">
        <v>102</v>
      </c>
      <c r="Q1252" t="str">
        <f t="shared" si="133"/>
        <v>Completed</v>
      </c>
      <c r="R1252" t="str">
        <f t="shared" si="134"/>
        <v>Store</v>
      </c>
      <c r="S1252" t="str">
        <v>Cash On Delivery</v>
      </c>
      <c r="T1252" t="str">
        <v>Furniture</v>
      </c>
      <c r="U1252" t="str">
        <f t="shared" si="135"/>
        <v>VALID</v>
      </c>
      <c r="V1252" t="str">
        <f t="shared" si="136"/>
        <v>NORMAL</v>
      </c>
      <c r="W1252" t="str">
        <f t="shared" si="137"/>
        <v>Valid</v>
      </c>
      <c r="X1252">
        <f t="shared" si="139"/>
        <v>21975.96</v>
      </c>
      <c r="Y1252">
        <f t="shared" si="138"/>
        <v>18679.565999999999</v>
      </c>
    </row>
    <row r="1253" spans="1:25" x14ac:dyDescent="0.3">
      <c r="A1253" t="s">
        <v>1602</v>
      </c>
      <c r="B1253" s="1">
        <v>46115</v>
      </c>
      <c r="C1253" t="s">
        <v>236</v>
      </c>
      <c r="D1253" t="s">
        <v>170</v>
      </c>
      <c r="E1253" t="s">
        <v>171</v>
      </c>
      <c r="F1253" t="s">
        <v>31</v>
      </c>
      <c r="G1253" t="s">
        <v>32</v>
      </c>
      <c r="H1253" t="s">
        <v>33</v>
      </c>
      <c r="I1253">
        <v>1</v>
      </c>
      <c r="J1253">
        <v>62487.45</v>
      </c>
      <c r="K1253">
        <v>0.15</v>
      </c>
      <c r="L1253">
        <v>53114.33</v>
      </c>
      <c r="M1253" t="s">
        <v>23</v>
      </c>
      <c r="N1253" t="s">
        <v>24</v>
      </c>
      <c r="O1253" t="s">
        <v>65</v>
      </c>
      <c r="P1253" t="s">
        <v>72</v>
      </c>
      <c r="Q1253" t="str">
        <f t="shared" si="133"/>
        <v>Completed</v>
      </c>
      <c r="R1253" t="str">
        <f t="shared" si="134"/>
        <v>Online</v>
      </c>
      <c r="S1253" t="str">
        <v>Debit Card</v>
      </c>
      <c r="T1253" t="str">
        <v>Electronics</v>
      </c>
      <c r="U1253" t="str">
        <f t="shared" si="135"/>
        <v>VALID</v>
      </c>
      <c r="V1253" t="str">
        <f t="shared" si="136"/>
        <v>NORMAL</v>
      </c>
      <c r="W1253" t="str">
        <f t="shared" si="137"/>
        <v>Valid</v>
      </c>
      <c r="X1253">
        <f t="shared" si="139"/>
        <v>62487.45</v>
      </c>
      <c r="Y1253">
        <f t="shared" si="138"/>
        <v>53114.332499999997</v>
      </c>
    </row>
    <row r="1254" spans="1:25" x14ac:dyDescent="0.3">
      <c r="A1254" t="s">
        <v>1603</v>
      </c>
      <c r="B1254" s="1">
        <v>45690</v>
      </c>
      <c r="C1254" t="s">
        <v>287</v>
      </c>
      <c r="D1254" t="s">
        <v>18</v>
      </c>
      <c r="E1254" t="s">
        <v>19</v>
      </c>
      <c r="F1254" t="s">
        <v>20</v>
      </c>
      <c r="G1254" t="s">
        <v>56</v>
      </c>
      <c r="H1254" t="s">
        <v>123</v>
      </c>
      <c r="I1254">
        <v>2</v>
      </c>
      <c r="J1254">
        <v>817.26</v>
      </c>
      <c r="K1254">
        <v>0.03</v>
      </c>
      <c r="L1254">
        <v>1585.48</v>
      </c>
      <c r="M1254" t="s">
        <v>23</v>
      </c>
      <c r="N1254" t="s">
        <v>49</v>
      </c>
      <c r="O1254" t="s">
        <v>65</v>
      </c>
      <c r="P1254" t="s">
        <v>111</v>
      </c>
      <c r="Q1254" t="str">
        <f t="shared" si="133"/>
        <v>Completed</v>
      </c>
      <c r="R1254" t="str">
        <f t="shared" si="134"/>
        <v>Online</v>
      </c>
      <c r="S1254" t="str">
        <v>Net Banking</v>
      </c>
      <c r="T1254" t="str">
        <v>Accessories</v>
      </c>
      <c r="U1254" t="str">
        <f t="shared" si="135"/>
        <v>VALID</v>
      </c>
      <c r="V1254" t="str">
        <f t="shared" si="136"/>
        <v>NORMAL</v>
      </c>
      <c r="W1254" t="str">
        <f t="shared" si="137"/>
        <v>Valid</v>
      </c>
      <c r="X1254">
        <f t="shared" si="139"/>
        <v>1634.52</v>
      </c>
      <c r="Y1254">
        <f t="shared" si="138"/>
        <v>1585.4844000000001</v>
      </c>
    </row>
    <row r="1255" spans="1:25" x14ac:dyDescent="0.3">
      <c r="A1255" t="s">
        <v>1604</v>
      </c>
      <c r="B1255" s="1">
        <v>45843</v>
      </c>
      <c r="C1255" t="s">
        <v>188</v>
      </c>
      <c r="D1255" t="s">
        <v>176</v>
      </c>
      <c r="E1255" t="s">
        <v>177</v>
      </c>
      <c r="F1255" t="s">
        <v>31</v>
      </c>
      <c r="G1255" t="s">
        <v>21</v>
      </c>
      <c r="H1255" t="s">
        <v>41</v>
      </c>
      <c r="I1255">
        <v>5</v>
      </c>
      <c r="J1255">
        <v>2096.66</v>
      </c>
      <c r="K1255">
        <v>0.03</v>
      </c>
      <c r="L1255">
        <v>10168.799999999999</v>
      </c>
      <c r="M1255" t="s">
        <v>48</v>
      </c>
      <c r="N1255" t="s">
        <v>71</v>
      </c>
      <c r="O1255" t="s">
        <v>65</v>
      </c>
      <c r="P1255" t="s">
        <v>116</v>
      </c>
      <c r="Q1255" t="str">
        <f t="shared" si="133"/>
        <v>Completed</v>
      </c>
      <c r="R1255" t="str">
        <f t="shared" si="134"/>
        <v>Marketplace</v>
      </c>
      <c r="S1255" t="str">
        <v>Upi</v>
      </c>
      <c r="T1255" t="str">
        <v>Electronics</v>
      </c>
      <c r="U1255" t="str">
        <f t="shared" si="135"/>
        <v>VALID</v>
      </c>
      <c r="V1255" t="str">
        <f t="shared" si="136"/>
        <v>NORMAL</v>
      </c>
      <c r="W1255" t="str">
        <f t="shared" si="137"/>
        <v>Valid</v>
      </c>
      <c r="X1255">
        <f t="shared" si="139"/>
        <v>10483.299999999999</v>
      </c>
      <c r="Y1255">
        <f t="shared" si="138"/>
        <v>10168.800999999999</v>
      </c>
    </row>
    <row r="1256" spans="1:25" x14ac:dyDescent="0.3">
      <c r="A1256" t="s">
        <v>1605</v>
      </c>
      <c r="B1256" s="1">
        <v>45492</v>
      </c>
      <c r="C1256" t="s">
        <v>657</v>
      </c>
      <c r="D1256" t="s">
        <v>53</v>
      </c>
      <c r="E1256" t="s">
        <v>54</v>
      </c>
      <c r="F1256" t="s">
        <v>55</v>
      </c>
      <c r="G1256" t="s">
        <v>21</v>
      </c>
      <c r="H1256" t="s">
        <v>93</v>
      </c>
      <c r="I1256">
        <v>3</v>
      </c>
      <c r="J1256">
        <v>224.36</v>
      </c>
      <c r="K1256">
        <v>0.08</v>
      </c>
      <c r="L1256">
        <v>619.23</v>
      </c>
      <c r="M1256" t="s">
        <v>48</v>
      </c>
      <c r="N1256" t="s">
        <v>58</v>
      </c>
      <c r="O1256" t="s">
        <v>25</v>
      </c>
      <c r="P1256" t="s">
        <v>26</v>
      </c>
      <c r="Q1256" t="str">
        <f t="shared" si="133"/>
        <v>Returned</v>
      </c>
      <c r="R1256" t="str">
        <f t="shared" si="134"/>
        <v>Marketplace</v>
      </c>
      <c r="S1256" t="str">
        <v>Credit Card</v>
      </c>
      <c r="T1256" t="str">
        <v>Stationery</v>
      </c>
      <c r="U1256" t="str">
        <f t="shared" si="135"/>
        <v>VALID</v>
      </c>
      <c r="V1256" t="str">
        <f t="shared" si="136"/>
        <v>NORMAL</v>
      </c>
      <c r="W1256" t="str">
        <f t="shared" si="137"/>
        <v>Valid</v>
      </c>
      <c r="X1256">
        <f t="shared" si="139"/>
        <v>673.08</v>
      </c>
      <c r="Y1256">
        <f t="shared" si="138"/>
        <v>619.23360000000002</v>
      </c>
    </row>
    <row r="1257" spans="1:25" x14ac:dyDescent="0.3">
      <c r="A1257" t="s">
        <v>1606</v>
      </c>
      <c r="B1257" s="1">
        <v>45487</v>
      </c>
      <c r="C1257" t="s">
        <v>149</v>
      </c>
      <c r="D1257" t="s">
        <v>18</v>
      </c>
      <c r="E1257" t="s">
        <v>19</v>
      </c>
      <c r="F1257" t="s">
        <v>20</v>
      </c>
      <c r="G1257" t="s">
        <v>81</v>
      </c>
      <c r="H1257" t="s">
        <v>82</v>
      </c>
      <c r="I1257">
        <v>2</v>
      </c>
      <c r="J1257">
        <v>835.25</v>
      </c>
      <c r="K1257">
        <v>0.05</v>
      </c>
      <c r="L1257">
        <v>1586.97</v>
      </c>
      <c r="M1257" t="s">
        <v>23</v>
      </c>
      <c r="N1257" t="s">
        <v>58</v>
      </c>
      <c r="O1257" t="s">
        <v>65</v>
      </c>
      <c r="P1257" t="s">
        <v>50</v>
      </c>
      <c r="Q1257" t="str">
        <f t="shared" si="133"/>
        <v>Completed</v>
      </c>
      <c r="R1257" t="str">
        <f t="shared" si="134"/>
        <v>Online</v>
      </c>
      <c r="S1257" t="str">
        <v>Credit Card</v>
      </c>
      <c r="T1257" t="str">
        <v>Accessories</v>
      </c>
      <c r="U1257" t="str">
        <f t="shared" si="135"/>
        <v>VALID</v>
      </c>
      <c r="V1257" t="str">
        <f t="shared" si="136"/>
        <v>NORMAL</v>
      </c>
      <c r="W1257" t="str">
        <f t="shared" si="137"/>
        <v>Valid</v>
      </c>
      <c r="X1257">
        <f t="shared" si="139"/>
        <v>1670.5</v>
      </c>
      <c r="Y1257">
        <f t="shared" si="138"/>
        <v>1586.9749999999999</v>
      </c>
    </row>
    <row r="1258" spans="1:25" x14ac:dyDescent="0.3">
      <c r="A1258" t="s">
        <v>1607</v>
      </c>
      <c r="B1258" s="1">
        <v>46129</v>
      </c>
      <c r="C1258" t="s">
        <v>1241</v>
      </c>
      <c r="D1258" t="s">
        <v>105</v>
      </c>
      <c r="E1258" t="s">
        <v>106</v>
      </c>
      <c r="F1258" t="s">
        <v>40</v>
      </c>
      <c r="G1258" t="s">
        <v>56</v>
      </c>
      <c r="H1258" t="s">
        <v>57</v>
      </c>
      <c r="I1258">
        <v>4</v>
      </c>
      <c r="J1258">
        <v>7748.49</v>
      </c>
      <c r="K1258">
        <v>0.15</v>
      </c>
      <c r="L1258">
        <v>26344.87</v>
      </c>
      <c r="M1258" t="s">
        <v>23</v>
      </c>
      <c r="N1258" t="s">
        <v>71</v>
      </c>
      <c r="O1258" t="s">
        <v>65</v>
      </c>
      <c r="P1258" t="s">
        <v>111</v>
      </c>
      <c r="Q1258" t="str">
        <f t="shared" si="133"/>
        <v>Completed</v>
      </c>
      <c r="R1258" t="str">
        <f t="shared" si="134"/>
        <v>Online</v>
      </c>
      <c r="S1258" t="str">
        <v>Upi</v>
      </c>
      <c r="T1258" t="str">
        <v>Furniture</v>
      </c>
      <c r="U1258" t="str">
        <f t="shared" si="135"/>
        <v>VALID</v>
      </c>
      <c r="V1258" t="str">
        <f t="shared" si="136"/>
        <v>NORMAL</v>
      </c>
      <c r="W1258" t="str">
        <f t="shared" si="137"/>
        <v>Valid</v>
      </c>
      <c r="X1258">
        <f t="shared" si="139"/>
        <v>30993.96</v>
      </c>
      <c r="Y1258">
        <f t="shared" si="138"/>
        <v>26344.865999999998</v>
      </c>
    </row>
    <row r="1259" spans="1:25" x14ac:dyDescent="0.3">
      <c r="A1259" t="s">
        <v>1608</v>
      </c>
      <c r="B1259" s="1">
        <v>46171</v>
      </c>
      <c r="C1259" t="s">
        <v>247</v>
      </c>
      <c r="D1259" t="s">
        <v>29</v>
      </c>
      <c r="E1259" t="s">
        <v>30</v>
      </c>
      <c r="F1259" t="s">
        <v>31</v>
      </c>
      <c r="G1259" t="s">
        <v>21</v>
      </c>
      <c r="H1259" t="s">
        <v>22</v>
      </c>
      <c r="I1259">
        <v>2</v>
      </c>
      <c r="J1259">
        <v>3220.3</v>
      </c>
      <c r="K1259">
        <v>0.1</v>
      </c>
      <c r="L1259">
        <v>5796.54</v>
      </c>
      <c r="M1259" t="s">
        <v>48</v>
      </c>
      <c r="N1259" t="s">
        <v>34</v>
      </c>
      <c r="O1259" t="s">
        <v>35</v>
      </c>
      <c r="P1259" t="s">
        <v>26</v>
      </c>
      <c r="Q1259" t="str">
        <f t="shared" si="133"/>
        <v>Cancelled</v>
      </c>
      <c r="R1259" t="str">
        <f t="shared" si="134"/>
        <v>Marketplace</v>
      </c>
      <c r="S1259" t="str">
        <v>Cash On Delivery</v>
      </c>
      <c r="T1259" t="str">
        <v>Electronics</v>
      </c>
      <c r="U1259" t="str">
        <f t="shared" si="135"/>
        <v>VALID</v>
      </c>
      <c r="V1259" t="str">
        <f t="shared" si="136"/>
        <v>NORMAL</v>
      </c>
      <c r="W1259" t="str">
        <f t="shared" si="137"/>
        <v>Valid</v>
      </c>
      <c r="X1259">
        <f t="shared" si="139"/>
        <v>6440.6</v>
      </c>
      <c r="Y1259">
        <f t="shared" si="138"/>
        <v>5796.54</v>
      </c>
    </row>
    <row r="1260" spans="1:25" x14ac:dyDescent="0.3">
      <c r="A1260" t="s">
        <v>1609</v>
      </c>
      <c r="B1260" s="1">
        <v>45510</v>
      </c>
      <c r="C1260" t="s">
        <v>389</v>
      </c>
      <c r="D1260" t="s">
        <v>85</v>
      </c>
      <c r="E1260" t="s">
        <v>86</v>
      </c>
      <c r="F1260" t="s">
        <v>20</v>
      </c>
      <c r="G1260" t="s">
        <v>21</v>
      </c>
      <c r="H1260" t="s">
        <v>41</v>
      </c>
      <c r="I1260">
        <v>3</v>
      </c>
      <c r="J1260">
        <v>1729.34</v>
      </c>
      <c r="K1260">
        <v>0.03</v>
      </c>
      <c r="L1260">
        <v>5032.38</v>
      </c>
      <c r="M1260" t="s">
        <v>48</v>
      </c>
      <c r="N1260" t="s">
        <v>34</v>
      </c>
      <c r="O1260" t="s">
        <v>65</v>
      </c>
      <c r="P1260" t="s">
        <v>50</v>
      </c>
      <c r="Q1260" t="str">
        <f t="shared" si="133"/>
        <v>Completed</v>
      </c>
      <c r="R1260" t="str">
        <f t="shared" si="134"/>
        <v>Marketplace</v>
      </c>
      <c r="S1260" t="str">
        <v>Cash On Delivery</v>
      </c>
      <c r="T1260" t="str">
        <v>Accessories</v>
      </c>
      <c r="U1260" t="str">
        <f t="shared" si="135"/>
        <v>VALID</v>
      </c>
      <c r="V1260" t="str">
        <f t="shared" si="136"/>
        <v>NORMAL</v>
      </c>
      <c r="W1260" t="str">
        <f t="shared" si="137"/>
        <v>Valid</v>
      </c>
      <c r="X1260">
        <f t="shared" si="139"/>
        <v>5188.0199999999995</v>
      </c>
      <c r="Y1260">
        <f t="shared" si="138"/>
        <v>5032.3793999999998</v>
      </c>
    </row>
    <row r="1261" spans="1:25" x14ac:dyDescent="0.3">
      <c r="A1261" t="s">
        <v>1610</v>
      </c>
      <c r="B1261" s="1">
        <v>45322</v>
      </c>
      <c r="C1261" t="s">
        <v>560</v>
      </c>
      <c r="D1261" t="s">
        <v>85</v>
      </c>
      <c r="E1261" t="s">
        <v>86</v>
      </c>
      <c r="F1261" t="s">
        <v>20</v>
      </c>
      <c r="G1261" t="s">
        <v>56</v>
      </c>
      <c r="H1261" t="s">
        <v>123</v>
      </c>
      <c r="I1261">
        <v>1</v>
      </c>
      <c r="J1261">
        <v>1763.68</v>
      </c>
      <c r="K1261">
        <v>0.2</v>
      </c>
      <c r="L1261">
        <v>1410.94</v>
      </c>
      <c r="M1261" t="s">
        <v>76</v>
      </c>
      <c r="N1261" t="s">
        <v>49</v>
      </c>
      <c r="O1261" t="s">
        <v>65</v>
      </c>
      <c r="P1261" t="s">
        <v>111</v>
      </c>
      <c r="Q1261" t="str">
        <f t="shared" si="133"/>
        <v>Completed</v>
      </c>
      <c r="R1261" t="str">
        <f t="shared" si="134"/>
        <v>Store</v>
      </c>
      <c r="S1261" t="str">
        <v>Net Banking</v>
      </c>
      <c r="T1261" t="str">
        <v>Accessories</v>
      </c>
      <c r="U1261" t="str">
        <f t="shared" si="135"/>
        <v>VALID</v>
      </c>
      <c r="V1261" t="str">
        <f t="shared" si="136"/>
        <v>NORMAL</v>
      </c>
      <c r="W1261" t="str">
        <f t="shared" si="137"/>
        <v>Valid</v>
      </c>
      <c r="X1261">
        <f t="shared" si="139"/>
        <v>1763.68</v>
      </c>
      <c r="Y1261">
        <f t="shared" si="138"/>
        <v>1410.944</v>
      </c>
    </row>
    <row r="1262" spans="1:25" x14ac:dyDescent="0.3">
      <c r="A1262" t="s">
        <v>1611</v>
      </c>
      <c r="B1262" s="1">
        <v>45464</v>
      </c>
      <c r="C1262" t="s">
        <v>277</v>
      </c>
      <c r="D1262" t="s">
        <v>29</v>
      </c>
      <c r="E1262" t="s">
        <v>30</v>
      </c>
      <c r="F1262" t="s">
        <v>31</v>
      </c>
      <c r="G1262" t="s">
        <v>32</v>
      </c>
      <c r="H1262" t="s">
        <v>47</v>
      </c>
      <c r="I1262">
        <v>5</v>
      </c>
      <c r="J1262">
        <v>3417.39</v>
      </c>
      <c r="K1262">
        <v>0</v>
      </c>
      <c r="L1262">
        <v>17086.95</v>
      </c>
      <c r="M1262" t="s">
        <v>48</v>
      </c>
      <c r="N1262" t="s">
        <v>71</v>
      </c>
      <c r="O1262" t="s">
        <v>65</v>
      </c>
      <c r="P1262" t="s">
        <v>26</v>
      </c>
      <c r="Q1262" t="str">
        <f t="shared" si="133"/>
        <v>Completed</v>
      </c>
      <c r="R1262" t="str">
        <f t="shared" si="134"/>
        <v>Marketplace</v>
      </c>
      <c r="S1262" t="str">
        <v>Upi</v>
      </c>
      <c r="T1262" t="str">
        <v>Electronics</v>
      </c>
      <c r="U1262" t="str">
        <f t="shared" si="135"/>
        <v>VALID</v>
      </c>
      <c r="V1262" t="str">
        <f t="shared" si="136"/>
        <v>NORMAL</v>
      </c>
      <c r="W1262" t="str">
        <f t="shared" si="137"/>
        <v>Valid</v>
      </c>
      <c r="X1262">
        <f t="shared" si="139"/>
        <v>17086.95</v>
      </c>
      <c r="Y1262">
        <f t="shared" si="138"/>
        <v>17086.95</v>
      </c>
    </row>
    <row r="1263" spans="1:25" x14ac:dyDescent="0.3">
      <c r="A1263" t="s">
        <v>1612</v>
      </c>
      <c r="B1263" s="1">
        <v>45861</v>
      </c>
      <c r="C1263" t="s">
        <v>397</v>
      </c>
      <c r="D1263" t="s">
        <v>18</v>
      </c>
      <c r="E1263" t="s">
        <v>19</v>
      </c>
      <c r="F1263" t="s">
        <v>20</v>
      </c>
      <c r="G1263" t="s">
        <v>81</v>
      </c>
      <c r="H1263" t="s">
        <v>98</v>
      </c>
      <c r="I1263">
        <v>3</v>
      </c>
      <c r="J1263">
        <v>809.57</v>
      </c>
      <c r="K1263">
        <v>0.08</v>
      </c>
      <c r="L1263">
        <v>2234.41</v>
      </c>
      <c r="M1263" t="s">
        <v>23</v>
      </c>
      <c r="N1263" t="s">
        <v>34</v>
      </c>
      <c r="O1263" t="s">
        <v>25</v>
      </c>
      <c r="P1263" t="s">
        <v>42</v>
      </c>
      <c r="Q1263" t="str">
        <f t="shared" si="133"/>
        <v>Returned</v>
      </c>
      <c r="R1263" t="str">
        <f t="shared" si="134"/>
        <v>Online</v>
      </c>
      <c r="S1263" t="str">
        <v>Cash On Delivery</v>
      </c>
      <c r="T1263" t="str">
        <v>Accessories</v>
      </c>
      <c r="U1263" t="str">
        <f t="shared" si="135"/>
        <v>VALID</v>
      </c>
      <c r="V1263" t="str">
        <f t="shared" si="136"/>
        <v>NORMAL</v>
      </c>
      <c r="W1263" t="str">
        <f t="shared" si="137"/>
        <v>Valid</v>
      </c>
      <c r="X1263">
        <f t="shared" si="139"/>
        <v>2428.71</v>
      </c>
      <c r="Y1263">
        <f t="shared" si="138"/>
        <v>2234.4132</v>
      </c>
    </row>
    <row r="1264" spans="1:25" x14ac:dyDescent="0.3">
      <c r="A1264" t="s">
        <v>1613</v>
      </c>
      <c r="B1264" s="1">
        <v>45932</v>
      </c>
      <c r="C1264" t="s">
        <v>476</v>
      </c>
      <c r="D1264" t="s">
        <v>85</v>
      </c>
      <c r="E1264" t="s">
        <v>86</v>
      </c>
      <c r="F1264" t="s">
        <v>20</v>
      </c>
      <c r="G1264" t="s">
        <v>32</v>
      </c>
      <c r="H1264" t="s">
        <v>75</v>
      </c>
      <c r="I1264">
        <v>2</v>
      </c>
      <c r="J1264">
        <v>1770.56</v>
      </c>
      <c r="K1264">
        <v>0.2</v>
      </c>
      <c r="L1264">
        <v>2832.9</v>
      </c>
      <c r="M1264" t="s">
        <v>76</v>
      </c>
      <c r="N1264" t="s">
        <v>34</v>
      </c>
      <c r="O1264" t="s">
        <v>65</v>
      </c>
      <c r="P1264" t="s">
        <v>42</v>
      </c>
      <c r="Q1264" t="str">
        <f t="shared" si="133"/>
        <v>Completed</v>
      </c>
      <c r="R1264" t="str">
        <f t="shared" si="134"/>
        <v>Store</v>
      </c>
      <c r="S1264" t="str">
        <v>Cash On Delivery</v>
      </c>
      <c r="T1264" t="str">
        <v>Accessories</v>
      </c>
      <c r="U1264" t="str">
        <f t="shared" si="135"/>
        <v>VALID</v>
      </c>
      <c r="V1264" t="str">
        <f t="shared" si="136"/>
        <v>NORMAL</v>
      </c>
      <c r="W1264" t="str">
        <f t="shared" si="137"/>
        <v>Valid</v>
      </c>
      <c r="X1264">
        <f t="shared" si="139"/>
        <v>3541.12</v>
      </c>
      <c r="Y1264">
        <f t="shared" si="138"/>
        <v>2832.8959999999997</v>
      </c>
    </row>
    <row r="1265" spans="1:25" x14ac:dyDescent="0.3">
      <c r="A1265" t="s">
        <v>1614</v>
      </c>
      <c r="B1265" s="1">
        <v>46168</v>
      </c>
      <c r="C1265" t="s">
        <v>67</v>
      </c>
      <c r="D1265" t="s">
        <v>29</v>
      </c>
      <c r="E1265" t="s">
        <v>30</v>
      </c>
      <c r="F1265" t="s">
        <v>31</v>
      </c>
      <c r="G1265" t="s">
        <v>56</v>
      </c>
      <c r="H1265" t="s">
        <v>101</v>
      </c>
      <c r="I1265">
        <v>1</v>
      </c>
      <c r="J1265">
        <v>3285.91</v>
      </c>
      <c r="K1265">
        <v>0.2</v>
      </c>
      <c r="L1265">
        <v>2628.73</v>
      </c>
      <c r="M1265" t="s">
        <v>23</v>
      </c>
      <c r="N1265" t="s">
        <v>58</v>
      </c>
      <c r="O1265" t="s">
        <v>65</v>
      </c>
      <c r="P1265" t="s">
        <v>72</v>
      </c>
      <c r="Q1265" t="str">
        <f t="shared" si="133"/>
        <v>Completed</v>
      </c>
      <c r="R1265" t="str">
        <f t="shared" si="134"/>
        <v>Online</v>
      </c>
      <c r="S1265" t="str">
        <v>Credit Card</v>
      </c>
      <c r="T1265" t="str">
        <v>Electronics</v>
      </c>
      <c r="U1265" t="str">
        <f t="shared" si="135"/>
        <v>VALID</v>
      </c>
      <c r="V1265" t="str">
        <f t="shared" si="136"/>
        <v>NORMAL</v>
      </c>
      <c r="W1265" t="str">
        <f t="shared" si="137"/>
        <v>Valid</v>
      </c>
      <c r="X1265">
        <f t="shared" si="139"/>
        <v>3285.91</v>
      </c>
      <c r="Y1265">
        <f t="shared" si="138"/>
        <v>2628.7280000000001</v>
      </c>
    </row>
    <row r="1266" spans="1:25" x14ac:dyDescent="0.3">
      <c r="A1266" t="s">
        <v>1615</v>
      </c>
      <c r="B1266" s="1">
        <v>45956</v>
      </c>
      <c r="C1266" t="s">
        <v>554</v>
      </c>
      <c r="D1266" t="s">
        <v>38</v>
      </c>
      <c r="E1266" t="s">
        <v>39</v>
      </c>
      <c r="F1266" t="s">
        <v>40</v>
      </c>
      <c r="G1266" t="s">
        <v>81</v>
      </c>
      <c r="H1266" t="s">
        <v>135</v>
      </c>
      <c r="I1266">
        <v>3</v>
      </c>
      <c r="J1266">
        <v>1679.86</v>
      </c>
      <c r="K1266">
        <v>0</v>
      </c>
      <c r="L1266">
        <v>5039.58</v>
      </c>
      <c r="M1266" t="s">
        <v>23</v>
      </c>
      <c r="N1266" t="s">
        <v>34</v>
      </c>
      <c r="O1266" t="s">
        <v>35</v>
      </c>
      <c r="P1266" t="s">
        <v>42</v>
      </c>
      <c r="Q1266" t="str">
        <f t="shared" si="133"/>
        <v>Cancelled</v>
      </c>
      <c r="R1266" t="str">
        <f t="shared" si="134"/>
        <v>Online</v>
      </c>
      <c r="S1266" t="str">
        <v>Cash On Delivery</v>
      </c>
      <c r="T1266" t="str">
        <v>Furniture</v>
      </c>
      <c r="U1266" t="str">
        <f t="shared" si="135"/>
        <v>VALID</v>
      </c>
      <c r="V1266" t="str">
        <f t="shared" si="136"/>
        <v>NORMAL</v>
      </c>
      <c r="W1266" t="str">
        <f t="shared" si="137"/>
        <v>Valid</v>
      </c>
      <c r="X1266">
        <f t="shared" si="139"/>
        <v>5039.58</v>
      </c>
      <c r="Y1266">
        <f t="shared" si="138"/>
        <v>5039.58</v>
      </c>
    </row>
    <row r="1267" spans="1:25" x14ac:dyDescent="0.3">
      <c r="A1267" t="s">
        <v>1616</v>
      </c>
      <c r="B1267" s="1">
        <v>45591</v>
      </c>
      <c r="C1267" t="s">
        <v>556</v>
      </c>
      <c r="D1267" t="s">
        <v>96</v>
      </c>
      <c r="E1267" t="s">
        <v>97</v>
      </c>
      <c r="F1267" t="s">
        <v>31</v>
      </c>
      <c r="G1267" t="s">
        <v>32</v>
      </c>
      <c r="H1267" t="s">
        <v>75</v>
      </c>
      <c r="I1267">
        <v>2</v>
      </c>
      <c r="J1267">
        <v>1130.4100000000001</v>
      </c>
      <c r="K1267">
        <v>0.03</v>
      </c>
      <c r="L1267">
        <v>2193</v>
      </c>
      <c r="M1267" t="s">
        <v>23</v>
      </c>
      <c r="N1267" t="s">
        <v>71</v>
      </c>
      <c r="O1267" t="s">
        <v>65</v>
      </c>
      <c r="P1267" t="s">
        <v>102</v>
      </c>
      <c r="Q1267" t="str">
        <f t="shared" si="133"/>
        <v>Completed</v>
      </c>
      <c r="R1267" t="str">
        <f t="shared" si="134"/>
        <v>Online</v>
      </c>
      <c r="S1267" t="str">
        <v>Upi</v>
      </c>
      <c r="T1267" t="str">
        <v>Electronics</v>
      </c>
      <c r="U1267" t="str">
        <f t="shared" si="135"/>
        <v>VALID</v>
      </c>
      <c r="V1267" t="str">
        <f t="shared" si="136"/>
        <v>NORMAL</v>
      </c>
      <c r="W1267" t="str">
        <f t="shared" si="137"/>
        <v>Valid</v>
      </c>
      <c r="X1267">
        <f t="shared" si="139"/>
        <v>2260.8200000000002</v>
      </c>
      <c r="Y1267">
        <f t="shared" si="138"/>
        <v>2192.9954000000002</v>
      </c>
    </row>
    <row r="1268" spans="1:25" x14ac:dyDescent="0.3">
      <c r="A1268" t="s">
        <v>1617</v>
      </c>
      <c r="B1268" s="1">
        <v>45689</v>
      </c>
      <c r="C1268" t="s">
        <v>241</v>
      </c>
      <c r="D1268" t="s">
        <v>176</v>
      </c>
      <c r="E1268" t="s">
        <v>177</v>
      </c>
      <c r="F1268" t="s">
        <v>31</v>
      </c>
      <c r="G1268" t="s">
        <v>81</v>
      </c>
      <c r="I1268">
        <v>2</v>
      </c>
      <c r="J1268">
        <v>2349.1999999999998</v>
      </c>
      <c r="K1268">
        <v>0.08</v>
      </c>
      <c r="L1268">
        <v>4322.53</v>
      </c>
      <c r="M1268" t="s">
        <v>76</v>
      </c>
      <c r="N1268" t="s">
        <v>34</v>
      </c>
      <c r="O1268" t="s">
        <v>25</v>
      </c>
      <c r="P1268" t="s">
        <v>72</v>
      </c>
      <c r="Q1268" t="str">
        <f t="shared" si="133"/>
        <v>Returned</v>
      </c>
      <c r="R1268" t="str">
        <f t="shared" si="134"/>
        <v>Store</v>
      </c>
      <c r="S1268" t="str">
        <v>Cash On Delivery</v>
      </c>
      <c r="T1268" t="str">
        <v>Electronics</v>
      </c>
      <c r="U1268" t="str">
        <f t="shared" si="135"/>
        <v>VALID</v>
      </c>
      <c r="V1268" t="str">
        <f t="shared" si="136"/>
        <v>NORMAL</v>
      </c>
      <c r="W1268" t="str">
        <f t="shared" si="137"/>
        <v>Valid</v>
      </c>
      <c r="X1268">
        <f t="shared" si="139"/>
        <v>4698.3999999999996</v>
      </c>
      <c r="Y1268">
        <f t="shared" si="138"/>
        <v>4322.5279999999993</v>
      </c>
    </row>
    <row r="1269" spans="1:25" x14ac:dyDescent="0.3">
      <c r="A1269" t="s">
        <v>1618</v>
      </c>
      <c r="B1269" s="1">
        <v>45392</v>
      </c>
      <c r="C1269" t="s">
        <v>370</v>
      </c>
      <c r="D1269" t="s">
        <v>89</v>
      </c>
      <c r="E1269" t="s">
        <v>90</v>
      </c>
      <c r="F1269" t="s">
        <v>20</v>
      </c>
      <c r="G1269" t="s">
        <v>32</v>
      </c>
      <c r="H1269" t="s">
        <v>33</v>
      </c>
      <c r="I1269">
        <v>2</v>
      </c>
      <c r="J1269">
        <v>718.86</v>
      </c>
      <c r="K1269">
        <v>0.08</v>
      </c>
      <c r="L1269">
        <v>1322.7</v>
      </c>
      <c r="M1269" t="s">
        <v>48</v>
      </c>
      <c r="N1269" t="s">
        <v>71</v>
      </c>
      <c r="O1269" t="s">
        <v>65</v>
      </c>
      <c r="P1269" t="s">
        <v>102</v>
      </c>
      <c r="Q1269" t="str">
        <f t="shared" si="133"/>
        <v>Completed</v>
      </c>
      <c r="R1269" t="str">
        <f t="shared" si="134"/>
        <v>Marketplace</v>
      </c>
      <c r="S1269" t="str">
        <v>Upi</v>
      </c>
      <c r="T1269" t="str">
        <v>Accessories</v>
      </c>
      <c r="U1269" t="str">
        <f t="shared" si="135"/>
        <v>VALID</v>
      </c>
      <c r="V1269" t="str">
        <f t="shared" si="136"/>
        <v>NORMAL</v>
      </c>
      <c r="W1269" t="str">
        <f t="shared" si="137"/>
        <v>Valid</v>
      </c>
      <c r="X1269">
        <f t="shared" si="139"/>
        <v>1437.72</v>
      </c>
      <c r="Y1269">
        <f t="shared" si="138"/>
        <v>1322.7024000000001</v>
      </c>
    </row>
    <row r="1270" spans="1:25" x14ac:dyDescent="0.3">
      <c r="A1270" t="s">
        <v>1619</v>
      </c>
      <c r="B1270" s="1">
        <v>45453</v>
      </c>
      <c r="C1270" t="s">
        <v>466</v>
      </c>
      <c r="D1270" t="s">
        <v>89</v>
      </c>
      <c r="E1270" t="s">
        <v>90</v>
      </c>
      <c r="F1270" t="s">
        <v>20</v>
      </c>
      <c r="G1270" t="s">
        <v>56</v>
      </c>
      <c r="H1270" t="s">
        <v>123</v>
      </c>
      <c r="I1270">
        <v>2</v>
      </c>
      <c r="J1270">
        <v>662.79</v>
      </c>
      <c r="K1270">
        <v>0</v>
      </c>
      <c r="L1270">
        <v>1325.58</v>
      </c>
      <c r="M1270" t="s">
        <v>23</v>
      </c>
      <c r="N1270" t="s">
        <v>49</v>
      </c>
      <c r="O1270" t="s">
        <v>65</v>
      </c>
      <c r="P1270" t="s">
        <v>59</v>
      </c>
      <c r="Q1270" t="str">
        <f t="shared" si="133"/>
        <v>Completed</v>
      </c>
      <c r="R1270" t="str">
        <f t="shared" si="134"/>
        <v>Online</v>
      </c>
      <c r="S1270" t="str">
        <v>Net Banking</v>
      </c>
      <c r="T1270" t="str">
        <v>Accessories</v>
      </c>
      <c r="U1270" t="str">
        <f t="shared" si="135"/>
        <v>VALID</v>
      </c>
      <c r="V1270" t="str">
        <f t="shared" si="136"/>
        <v>NORMAL</v>
      </c>
      <c r="W1270" t="str">
        <f t="shared" si="137"/>
        <v>Valid</v>
      </c>
      <c r="X1270">
        <f t="shared" si="139"/>
        <v>1325.58</v>
      </c>
      <c r="Y1270">
        <f t="shared" si="138"/>
        <v>1325.58</v>
      </c>
    </row>
    <row r="1271" spans="1:25" x14ac:dyDescent="0.3">
      <c r="A1271" t="s">
        <v>1620</v>
      </c>
      <c r="B1271" s="1">
        <v>45648</v>
      </c>
      <c r="C1271" t="s">
        <v>556</v>
      </c>
      <c r="D1271" t="s">
        <v>170</v>
      </c>
      <c r="E1271" t="s">
        <v>171</v>
      </c>
      <c r="F1271" t="s">
        <v>31</v>
      </c>
      <c r="G1271" t="s">
        <v>81</v>
      </c>
      <c r="H1271" t="s">
        <v>82</v>
      </c>
      <c r="I1271">
        <v>3</v>
      </c>
      <c r="J1271">
        <v>61239.26</v>
      </c>
      <c r="K1271">
        <v>0.05</v>
      </c>
      <c r="L1271">
        <v>174531.89</v>
      </c>
      <c r="M1271" t="s">
        <v>76</v>
      </c>
      <c r="N1271" t="s">
        <v>34</v>
      </c>
      <c r="O1271" t="s">
        <v>65</v>
      </c>
      <c r="P1271" t="s">
        <v>26</v>
      </c>
      <c r="Q1271" t="str">
        <f t="shared" si="133"/>
        <v>Completed</v>
      </c>
      <c r="R1271" t="str">
        <f t="shared" si="134"/>
        <v>Store</v>
      </c>
      <c r="S1271" t="str">
        <v>Cash On Delivery</v>
      </c>
      <c r="T1271" t="str">
        <v>Electronics</v>
      </c>
      <c r="U1271" t="str">
        <f t="shared" si="135"/>
        <v>VALID</v>
      </c>
      <c r="V1271" t="str">
        <f t="shared" si="136"/>
        <v>NORMAL</v>
      </c>
      <c r="W1271" t="str">
        <f t="shared" si="137"/>
        <v>Valid</v>
      </c>
      <c r="X1271">
        <f t="shared" si="139"/>
        <v>183717.78</v>
      </c>
      <c r="Y1271">
        <f t="shared" si="138"/>
        <v>174531.891</v>
      </c>
    </row>
    <row r="1272" spans="1:25" x14ac:dyDescent="0.3">
      <c r="A1272" t="s">
        <v>1621</v>
      </c>
      <c r="B1272" s="1">
        <v>45978</v>
      </c>
      <c r="C1272" t="s">
        <v>355</v>
      </c>
      <c r="D1272" t="s">
        <v>79</v>
      </c>
      <c r="E1272" t="s">
        <v>80</v>
      </c>
      <c r="F1272" t="s">
        <v>31</v>
      </c>
      <c r="G1272" t="s">
        <v>21</v>
      </c>
      <c r="H1272" t="s">
        <v>22</v>
      </c>
      <c r="I1272">
        <v>4</v>
      </c>
      <c r="J1272">
        <v>13018.98</v>
      </c>
      <c r="K1272">
        <v>0.1</v>
      </c>
      <c r="L1272">
        <v>46868.33</v>
      </c>
      <c r="M1272" t="s">
        <v>76</v>
      </c>
      <c r="N1272" t="s">
        <v>24</v>
      </c>
      <c r="O1272" t="s">
        <v>65</v>
      </c>
      <c r="P1272" t="s">
        <v>72</v>
      </c>
      <c r="Q1272" t="str">
        <f t="shared" si="133"/>
        <v>Completed</v>
      </c>
      <c r="R1272" t="str">
        <f t="shared" si="134"/>
        <v>Store</v>
      </c>
      <c r="S1272" t="str">
        <v>Debit Card</v>
      </c>
      <c r="T1272" t="str">
        <v>Electronics</v>
      </c>
      <c r="U1272" t="str">
        <f t="shared" si="135"/>
        <v>VALID</v>
      </c>
      <c r="V1272" t="str">
        <f t="shared" si="136"/>
        <v>NORMAL</v>
      </c>
      <c r="W1272" t="str">
        <f t="shared" si="137"/>
        <v>Valid</v>
      </c>
      <c r="X1272">
        <f t="shared" si="139"/>
        <v>52075.92</v>
      </c>
      <c r="Y1272">
        <f t="shared" si="138"/>
        <v>46868.327999999994</v>
      </c>
    </row>
    <row r="1273" spans="1:25" x14ac:dyDescent="0.3">
      <c r="A1273" t="s">
        <v>1622</v>
      </c>
      <c r="B1273" s="1">
        <v>45368</v>
      </c>
      <c r="C1273" t="s">
        <v>118</v>
      </c>
      <c r="D1273" t="s">
        <v>18</v>
      </c>
      <c r="E1273" t="s">
        <v>19</v>
      </c>
      <c r="F1273" t="s">
        <v>20</v>
      </c>
      <c r="G1273" t="s">
        <v>32</v>
      </c>
      <c r="H1273" t="s">
        <v>47</v>
      </c>
      <c r="I1273">
        <v>3</v>
      </c>
      <c r="J1273">
        <v>872.56</v>
      </c>
      <c r="K1273">
        <v>0.2</v>
      </c>
      <c r="L1273">
        <v>2094.14</v>
      </c>
      <c r="M1273" t="s">
        <v>76</v>
      </c>
      <c r="N1273" t="s">
        <v>34</v>
      </c>
      <c r="O1273" t="s">
        <v>25</v>
      </c>
      <c r="P1273" t="s">
        <v>50</v>
      </c>
      <c r="Q1273" t="str">
        <f t="shared" si="133"/>
        <v>Returned</v>
      </c>
      <c r="R1273" t="str">
        <f t="shared" si="134"/>
        <v>Store</v>
      </c>
      <c r="S1273" t="str">
        <v>Cash On Delivery</v>
      </c>
      <c r="T1273" t="str">
        <v>Accessories</v>
      </c>
      <c r="U1273" t="str">
        <f t="shared" si="135"/>
        <v>VALID</v>
      </c>
      <c r="V1273" t="str">
        <f t="shared" si="136"/>
        <v>NORMAL</v>
      </c>
      <c r="W1273" t="str">
        <f t="shared" si="137"/>
        <v>Valid</v>
      </c>
      <c r="X1273">
        <f t="shared" si="139"/>
        <v>2617.6799999999998</v>
      </c>
      <c r="Y1273">
        <f t="shared" si="138"/>
        <v>2094.1439999999998</v>
      </c>
    </row>
    <row r="1274" spans="1:25" x14ac:dyDescent="0.3">
      <c r="A1274" t="s">
        <v>1623</v>
      </c>
      <c r="B1274" s="1">
        <v>45894</v>
      </c>
      <c r="C1274" t="s">
        <v>648</v>
      </c>
      <c r="D1274" t="s">
        <v>29</v>
      </c>
      <c r="E1274" t="s">
        <v>30</v>
      </c>
      <c r="F1274" t="s">
        <v>31</v>
      </c>
      <c r="G1274" t="s">
        <v>32</v>
      </c>
      <c r="H1274" t="s">
        <v>33</v>
      </c>
      <c r="I1274">
        <v>2</v>
      </c>
      <c r="J1274">
        <v>3024.37</v>
      </c>
      <c r="K1274">
        <v>0.2</v>
      </c>
      <c r="L1274">
        <v>4838.99</v>
      </c>
      <c r="M1274" t="s">
        <v>48</v>
      </c>
      <c r="N1274" t="s">
        <v>49</v>
      </c>
      <c r="O1274" t="s">
        <v>35</v>
      </c>
      <c r="P1274" t="s">
        <v>102</v>
      </c>
      <c r="Q1274" t="str">
        <f t="shared" si="133"/>
        <v>Cancelled</v>
      </c>
      <c r="R1274" t="str">
        <f t="shared" si="134"/>
        <v>Marketplace</v>
      </c>
      <c r="S1274" t="str">
        <v>Net Banking</v>
      </c>
      <c r="T1274" t="str">
        <v>Electronics</v>
      </c>
      <c r="U1274" t="str">
        <f t="shared" si="135"/>
        <v>VALID</v>
      </c>
      <c r="V1274" t="str">
        <f t="shared" si="136"/>
        <v>NORMAL</v>
      </c>
      <c r="W1274" t="str">
        <f t="shared" si="137"/>
        <v>Valid</v>
      </c>
      <c r="X1274">
        <f t="shared" si="139"/>
        <v>6048.74</v>
      </c>
      <c r="Y1274">
        <f t="shared" si="138"/>
        <v>4838.9920000000002</v>
      </c>
    </row>
    <row r="1275" spans="1:25" x14ac:dyDescent="0.3">
      <c r="A1275" t="s">
        <v>1624</v>
      </c>
      <c r="B1275" s="1">
        <v>45535</v>
      </c>
      <c r="C1275" t="s">
        <v>141</v>
      </c>
      <c r="D1275" t="s">
        <v>176</v>
      </c>
      <c r="E1275" t="s">
        <v>177</v>
      </c>
      <c r="F1275" t="s">
        <v>31</v>
      </c>
      <c r="G1275" t="s">
        <v>56</v>
      </c>
      <c r="H1275" t="s">
        <v>57</v>
      </c>
      <c r="I1275">
        <v>5</v>
      </c>
      <c r="J1275">
        <v>2287.13</v>
      </c>
      <c r="K1275">
        <v>0.05</v>
      </c>
      <c r="L1275">
        <v>10863.87</v>
      </c>
      <c r="M1275" t="s">
        <v>48</v>
      </c>
      <c r="N1275" t="s">
        <v>58</v>
      </c>
      <c r="O1275" t="s">
        <v>65</v>
      </c>
      <c r="P1275" t="s">
        <v>59</v>
      </c>
      <c r="Q1275" t="str">
        <f t="shared" si="133"/>
        <v>Completed</v>
      </c>
      <c r="R1275" t="str">
        <f t="shared" si="134"/>
        <v>Marketplace</v>
      </c>
      <c r="S1275" t="str">
        <v>Credit Card</v>
      </c>
      <c r="T1275" t="str">
        <v>Electronics</v>
      </c>
      <c r="U1275" t="str">
        <f t="shared" si="135"/>
        <v>VALID</v>
      </c>
      <c r="V1275" t="str">
        <f t="shared" si="136"/>
        <v>NORMAL</v>
      </c>
      <c r="W1275" t="str">
        <f t="shared" si="137"/>
        <v>Valid</v>
      </c>
      <c r="X1275">
        <f t="shared" si="139"/>
        <v>11435.650000000001</v>
      </c>
      <c r="Y1275">
        <f t="shared" si="138"/>
        <v>10863.867500000002</v>
      </c>
    </row>
    <row r="1276" spans="1:25" x14ac:dyDescent="0.3">
      <c r="A1276" t="s">
        <v>1625</v>
      </c>
      <c r="B1276" s="1">
        <v>45350</v>
      </c>
      <c r="C1276" t="s">
        <v>264</v>
      </c>
      <c r="D1276" t="s">
        <v>85</v>
      </c>
      <c r="E1276" t="s">
        <v>86</v>
      </c>
      <c r="F1276" t="s">
        <v>20</v>
      </c>
      <c r="G1276" t="s">
        <v>56</v>
      </c>
      <c r="H1276" t="s">
        <v>101</v>
      </c>
      <c r="I1276">
        <v>2</v>
      </c>
      <c r="J1276">
        <v>1686.44</v>
      </c>
      <c r="K1276">
        <v>0</v>
      </c>
      <c r="L1276">
        <v>3372.88</v>
      </c>
      <c r="M1276" t="s">
        <v>23</v>
      </c>
      <c r="N1276" t="s">
        <v>71</v>
      </c>
      <c r="O1276" t="s">
        <v>65</v>
      </c>
      <c r="P1276" t="s">
        <v>59</v>
      </c>
      <c r="Q1276" t="str">
        <f t="shared" si="133"/>
        <v>Completed</v>
      </c>
      <c r="R1276" t="str">
        <f t="shared" si="134"/>
        <v>Online</v>
      </c>
      <c r="S1276" t="str">
        <v>Upi</v>
      </c>
      <c r="T1276" t="str">
        <v>Accessories</v>
      </c>
      <c r="U1276" t="str">
        <f t="shared" si="135"/>
        <v>VALID</v>
      </c>
      <c r="V1276" t="str">
        <f t="shared" si="136"/>
        <v>NORMAL</v>
      </c>
      <c r="W1276" t="str">
        <f t="shared" si="137"/>
        <v>Valid</v>
      </c>
      <c r="X1276">
        <f t="shared" si="139"/>
        <v>3372.88</v>
      </c>
      <c r="Y1276">
        <f t="shared" si="138"/>
        <v>3372.88</v>
      </c>
    </row>
    <row r="1277" spans="1:25" x14ac:dyDescent="0.3">
      <c r="A1277" t="s">
        <v>1626</v>
      </c>
      <c r="B1277" s="1">
        <v>46126</v>
      </c>
      <c r="C1277" t="s">
        <v>466</v>
      </c>
      <c r="D1277" t="s">
        <v>96</v>
      </c>
      <c r="E1277" t="s">
        <v>97</v>
      </c>
      <c r="F1277" t="s">
        <v>31</v>
      </c>
      <c r="G1277" t="s">
        <v>56</v>
      </c>
      <c r="H1277" t="s">
        <v>57</v>
      </c>
      <c r="I1277">
        <v>4</v>
      </c>
      <c r="J1277">
        <v>1246.6300000000001</v>
      </c>
      <c r="K1277">
        <v>0.03</v>
      </c>
      <c r="L1277">
        <v>4836.92</v>
      </c>
      <c r="M1277" t="s">
        <v>23</v>
      </c>
      <c r="N1277" t="s">
        <v>24</v>
      </c>
      <c r="O1277" t="s">
        <v>35</v>
      </c>
      <c r="P1277" t="s">
        <v>72</v>
      </c>
      <c r="Q1277" t="str">
        <f t="shared" si="133"/>
        <v>Cancelled</v>
      </c>
      <c r="R1277" t="str">
        <f t="shared" si="134"/>
        <v>Online</v>
      </c>
      <c r="S1277" t="str">
        <v>Debit Card</v>
      </c>
      <c r="T1277" t="str">
        <v>Electronics</v>
      </c>
      <c r="U1277" t="str">
        <f t="shared" si="135"/>
        <v>VALID</v>
      </c>
      <c r="V1277" t="str">
        <f t="shared" si="136"/>
        <v>NORMAL</v>
      </c>
      <c r="W1277" t="str">
        <f t="shared" si="137"/>
        <v>Valid</v>
      </c>
      <c r="X1277">
        <f t="shared" si="139"/>
        <v>4986.5200000000004</v>
      </c>
      <c r="Y1277">
        <f t="shared" si="138"/>
        <v>4836.9244000000008</v>
      </c>
    </row>
    <row r="1278" spans="1:25" x14ac:dyDescent="0.3">
      <c r="A1278" t="s">
        <v>1627</v>
      </c>
      <c r="B1278" s="1">
        <v>45704</v>
      </c>
      <c r="C1278" t="s">
        <v>379</v>
      </c>
      <c r="D1278" t="s">
        <v>29</v>
      </c>
      <c r="E1278" t="s">
        <v>30</v>
      </c>
      <c r="F1278" t="s">
        <v>31</v>
      </c>
      <c r="G1278" t="s">
        <v>32</v>
      </c>
      <c r="H1278" t="s">
        <v>47</v>
      </c>
      <c r="I1278">
        <v>3</v>
      </c>
      <c r="J1278">
        <v>3086.19</v>
      </c>
      <c r="K1278">
        <v>0.2</v>
      </c>
      <c r="L1278">
        <v>7406.86</v>
      </c>
      <c r="M1278" t="s">
        <v>23</v>
      </c>
      <c r="N1278" t="s">
        <v>71</v>
      </c>
      <c r="O1278" t="s">
        <v>65</v>
      </c>
      <c r="P1278" t="s">
        <v>102</v>
      </c>
      <c r="Q1278" t="str">
        <f t="shared" si="133"/>
        <v>Completed</v>
      </c>
      <c r="R1278" t="str">
        <f t="shared" si="134"/>
        <v>Online</v>
      </c>
      <c r="S1278" t="str">
        <v>Upi</v>
      </c>
      <c r="T1278" t="str">
        <v>Electronics</v>
      </c>
      <c r="U1278" t="str">
        <f t="shared" si="135"/>
        <v>VALID</v>
      </c>
      <c r="V1278" t="str">
        <f t="shared" si="136"/>
        <v>NORMAL</v>
      </c>
      <c r="W1278" t="str">
        <f t="shared" si="137"/>
        <v>Valid</v>
      </c>
      <c r="X1278">
        <f t="shared" si="139"/>
        <v>9258.57</v>
      </c>
      <c r="Y1278">
        <f t="shared" si="138"/>
        <v>7406.8559999999998</v>
      </c>
    </row>
    <row r="1279" spans="1:25" x14ac:dyDescent="0.3">
      <c r="A1279" t="s">
        <v>1628</v>
      </c>
      <c r="B1279" s="1">
        <v>45934</v>
      </c>
      <c r="C1279" t="s">
        <v>480</v>
      </c>
      <c r="D1279" t="s">
        <v>45</v>
      </c>
      <c r="E1279" t="s">
        <v>46</v>
      </c>
      <c r="F1279" t="s">
        <v>31</v>
      </c>
      <c r="G1279" t="s">
        <v>56</v>
      </c>
      <c r="H1279" t="s">
        <v>57</v>
      </c>
      <c r="I1279">
        <v>5</v>
      </c>
      <c r="J1279">
        <v>1789.63</v>
      </c>
      <c r="K1279">
        <v>0.03</v>
      </c>
      <c r="L1279">
        <v>8679.7099999999991</v>
      </c>
      <c r="M1279" t="s">
        <v>48</v>
      </c>
      <c r="N1279" t="s">
        <v>71</v>
      </c>
      <c r="O1279" t="s">
        <v>65</v>
      </c>
      <c r="P1279" t="s">
        <v>26</v>
      </c>
      <c r="Q1279" t="str">
        <f t="shared" si="133"/>
        <v>Completed</v>
      </c>
      <c r="R1279" t="str">
        <f t="shared" si="134"/>
        <v>Marketplace</v>
      </c>
      <c r="S1279" t="str">
        <v>Upi</v>
      </c>
      <c r="T1279" t="str">
        <v>Electronics</v>
      </c>
      <c r="U1279" t="str">
        <f t="shared" si="135"/>
        <v>VALID</v>
      </c>
      <c r="V1279" t="str">
        <f t="shared" si="136"/>
        <v>NORMAL</v>
      </c>
      <c r="W1279" t="str">
        <f t="shared" si="137"/>
        <v>Valid</v>
      </c>
      <c r="X1279">
        <f t="shared" si="139"/>
        <v>8948.1500000000015</v>
      </c>
      <c r="Y1279">
        <f t="shared" si="138"/>
        <v>8679.7055000000018</v>
      </c>
    </row>
    <row r="1280" spans="1:25" x14ac:dyDescent="0.3">
      <c r="A1280" t="s">
        <v>1629</v>
      </c>
      <c r="B1280" s="1">
        <v>45674</v>
      </c>
      <c r="C1280" t="s">
        <v>457</v>
      </c>
      <c r="D1280" t="s">
        <v>29</v>
      </c>
      <c r="E1280" t="s">
        <v>30</v>
      </c>
      <c r="F1280" t="s">
        <v>31</v>
      </c>
      <c r="G1280" t="s">
        <v>21</v>
      </c>
      <c r="H1280" t="s">
        <v>93</v>
      </c>
      <c r="I1280">
        <v>2</v>
      </c>
      <c r="J1280">
        <v>3402.09</v>
      </c>
      <c r="K1280">
        <v>0</v>
      </c>
      <c r="L1280">
        <v>6804.18</v>
      </c>
      <c r="M1280" t="s">
        <v>23</v>
      </c>
      <c r="N1280" t="s">
        <v>58</v>
      </c>
      <c r="O1280" t="s">
        <v>65</v>
      </c>
      <c r="P1280" t="s">
        <v>50</v>
      </c>
      <c r="Q1280" t="str">
        <f t="shared" si="133"/>
        <v>Completed</v>
      </c>
      <c r="R1280" t="str">
        <f t="shared" si="134"/>
        <v>Online</v>
      </c>
      <c r="S1280" t="str">
        <v>Credit Card</v>
      </c>
      <c r="T1280" t="str">
        <v>Electronics</v>
      </c>
      <c r="U1280" t="str">
        <f t="shared" si="135"/>
        <v>VALID</v>
      </c>
      <c r="V1280" t="str">
        <f t="shared" si="136"/>
        <v>NORMAL</v>
      </c>
      <c r="W1280" t="str">
        <f t="shared" si="137"/>
        <v>Valid</v>
      </c>
      <c r="X1280">
        <f t="shared" si="139"/>
        <v>6804.18</v>
      </c>
      <c r="Y1280">
        <f t="shared" si="138"/>
        <v>6804.18</v>
      </c>
    </row>
    <row r="1281" spans="1:25" x14ac:dyDescent="0.3">
      <c r="A1281" t="s">
        <v>1630</v>
      </c>
      <c r="B1281" s="1">
        <v>45573</v>
      </c>
      <c r="C1281" t="s">
        <v>550</v>
      </c>
      <c r="D1281" t="s">
        <v>89</v>
      </c>
      <c r="E1281" t="s">
        <v>90</v>
      </c>
      <c r="F1281" t="s">
        <v>20</v>
      </c>
      <c r="G1281" t="s">
        <v>81</v>
      </c>
      <c r="H1281" t="s">
        <v>135</v>
      </c>
      <c r="I1281">
        <v>3</v>
      </c>
      <c r="J1281">
        <v>746.9</v>
      </c>
      <c r="K1281">
        <v>0.08</v>
      </c>
      <c r="L1281">
        <v>2061.44</v>
      </c>
      <c r="M1281" t="s">
        <v>48</v>
      </c>
      <c r="N1281" t="s">
        <v>58</v>
      </c>
      <c r="O1281" t="s">
        <v>35</v>
      </c>
      <c r="P1281" t="s">
        <v>59</v>
      </c>
      <c r="Q1281" t="str">
        <f t="shared" si="133"/>
        <v>Cancelled</v>
      </c>
      <c r="R1281" t="str">
        <f t="shared" si="134"/>
        <v>Marketplace</v>
      </c>
      <c r="S1281" t="str">
        <v>Credit Card</v>
      </c>
      <c r="T1281" t="str">
        <v>Accessories</v>
      </c>
      <c r="U1281" t="str">
        <f t="shared" si="135"/>
        <v>VALID</v>
      </c>
      <c r="V1281" t="str">
        <f t="shared" si="136"/>
        <v>NORMAL</v>
      </c>
      <c r="W1281" t="str">
        <f t="shared" si="137"/>
        <v>Valid</v>
      </c>
      <c r="X1281">
        <f t="shared" si="139"/>
        <v>2240.6999999999998</v>
      </c>
      <c r="Y1281">
        <f t="shared" si="138"/>
        <v>2061.444</v>
      </c>
    </row>
    <row r="1282" spans="1:25" x14ac:dyDescent="0.3">
      <c r="A1282" t="s">
        <v>1631</v>
      </c>
      <c r="B1282" s="1">
        <v>46177</v>
      </c>
      <c r="C1282" t="s">
        <v>776</v>
      </c>
      <c r="D1282" t="s">
        <v>170</v>
      </c>
      <c r="E1282" t="s">
        <v>171</v>
      </c>
      <c r="F1282" t="s">
        <v>31</v>
      </c>
      <c r="G1282" t="s">
        <v>81</v>
      </c>
      <c r="H1282" t="s">
        <v>87</v>
      </c>
      <c r="I1282">
        <v>3</v>
      </c>
      <c r="J1282">
        <v>69561.5</v>
      </c>
      <c r="K1282">
        <v>0.2</v>
      </c>
      <c r="L1282">
        <v>166947.6</v>
      </c>
      <c r="M1282" t="s">
        <v>48</v>
      </c>
      <c r="N1282" t="s">
        <v>49</v>
      </c>
      <c r="O1282" t="s">
        <v>65</v>
      </c>
      <c r="Q1282" t="str">
        <f t="shared" si="133"/>
        <v>Completed</v>
      </c>
      <c r="R1282" t="str">
        <f t="shared" si="134"/>
        <v>Marketplace</v>
      </c>
      <c r="S1282" t="str">
        <v>Net Banking</v>
      </c>
      <c r="T1282" t="str">
        <v>Electronics</v>
      </c>
      <c r="U1282" t="str">
        <f t="shared" si="135"/>
        <v>VALID</v>
      </c>
      <c r="V1282" t="str">
        <f t="shared" si="136"/>
        <v>NORMAL</v>
      </c>
      <c r="W1282" t="str">
        <f t="shared" si="137"/>
        <v>Valid</v>
      </c>
      <c r="X1282">
        <f t="shared" si="139"/>
        <v>208684.5</v>
      </c>
      <c r="Y1282">
        <f t="shared" si="138"/>
        <v>166947.6</v>
      </c>
    </row>
    <row r="1283" spans="1:25" x14ac:dyDescent="0.3">
      <c r="A1283" t="s">
        <v>1632</v>
      </c>
      <c r="B1283" s="1">
        <v>45929</v>
      </c>
      <c r="C1283" t="s">
        <v>311</v>
      </c>
      <c r="D1283" t="s">
        <v>170</v>
      </c>
      <c r="E1283" t="s">
        <v>171</v>
      </c>
      <c r="F1283" t="s">
        <v>31</v>
      </c>
      <c r="G1283" t="s">
        <v>21</v>
      </c>
      <c r="H1283" t="s">
        <v>22</v>
      </c>
      <c r="I1283">
        <v>4</v>
      </c>
      <c r="J1283">
        <v>64746.78</v>
      </c>
      <c r="K1283">
        <v>0.15</v>
      </c>
      <c r="L1283">
        <v>220139.05</v>
      </c>
      <c r="M1283" t="s">
        <v>23</v>
      </c>
      <c r="N1283" t="s">
        <v>49</v>
      </c>
      <c r="O1283" t="s">
        <v>25</v>
      </c>
      <c r="P1283" t="s">
        <v>72</v>
      </c>
      <c r="Q1283" t="str">
        <f t="shared" ref="Q1283:Q1346" si="140">PROPER(O1283)</f>
        <v>Returned</v>
      </c>
      <c r="R1283" t="str">
        <f t="shared" ref="R1283:R1346" si="141">PROPER(M1283)</f>
        <v>Online</v>
      </c>
      <c r="S1283" t="str">
        <v>Net Banking</v>
      </c>
      <c r="T1283" t="str">
        <v>Electronics</v>
      </c>
      <c r="U1283" t="str">
        <f t="shared" ref="U1283:U1346" si="142">IF(I1283&lt;=0,"INVALID","VALID")</f>
        <v>VALID</v>
      </c>
      <c r="V1283" t="str">
        <f t="shared" ref="V1283:V1346" si="143">IF(I1283&gt;100,"REVIEW","NORMAL")</f>
        <v>NORMAL</v>
      </c>
      <c r="W1283" t="str">
        <f t="shared" ref="W1283:W1346" si="144">IF(OR(K1283&lt;0,K1283&gt;1),"Invalid","Valid")</f>
        <v>Valid</v>
      </c>
      <c r="X1283">
        <f t="shared" si="139"/>
        <v>258987.12</v>
      </c>
      <c r="Y1283">
        <f t="shared" ref="Y1283:Y1346" si="145">I1283*J1283-(I1283*J1283*K1283)</f>
        <v>220139.052</v>
      </c>
    </row>
    <row r="1284" spans="1:25" x14ac:dyDescent="0.3">
      <c r="A1284" t="s">
        <v>1633</v>
      </c>
      <c r="B1284" s="1">
        <v>45932</v>
      </c>
      <c r="C1284" t="s">
        <v>1241</v>
      </c>
      <c r="D1284" t="s">
        <v>85</v>
      </c>
      <c r="E1284" t="s">
        <v>86</v>
      </c>
      <c r="F1284" t="s">
        <v>20</v>
      </c>
      <c r="G1284" t="s">
        <v>81</v>
      </c>
      <c r="H1284" t="s">
        <v>87</v>
      </c>
      <c r="I1284">
        <v>2</v>
      </c>
      <c r="J1284">
        <v>1894.48</v>
      </c>
      <c r="K1284">
        <v>0.03</v>
      </c>
      <c r="L1284">
        <v>3675.29</v>
      </c>
      <c r="M1284" t="s">
        <v>23</v>
      </c>
      <c r="N1284" t="s">
        <v>71</v>
      </c>
      <c r="O1284" t="s">
        <v>65</v>
      </c>
      <c r="P1284" t="s">
        <v>59</v>
      </c>
      <c r="Q1284" t="str">
        <f t="shared" si="140"/>
        <v>Completed</v>
      </c>
      <c r="R1284" t="str">
        <f t="shared" si="141"/>
        <v>Online</v>
      </c>
      <c r="S1284" t="str">
        <v>Upi</v>
      </c>
      <c r="T1284" t="str">
        <v>Accessories</v>
      </c>
      <c r="U1284" t="str">
        <f t="shared" si="142"/>
        <v>VALID</v>
      </c>
      <c r="V1284" t="str">
        <f t="shared" si="143"/>
        <v>NORMAL</v>
      </c>
      <c r="W1284" t="str">
        <f t="shared" si="144"/>
        <v>Valid</v>
      </c>
      <c r="X1284">
        <f t="shared" ref="X1284:X1347" si="146">I1284*J1284</f>
        <v>3788.96</v>
      </c>
      <c r="Y1284">
        <f t="shared" si="145"/>
        <v>3675.2912000000001</v>
      </c>
    </row>
    <row r="1285" spans="1:25" x14ac:dyDescent="0.3">
      <c r="A1285" t="s">
        <v>1634</v>
      </c>
      <c r="B1285" s="1">
        <v>45960</v>
      </c>
      <c r="C1285" t="s">
        <v>839</v>
      </c>
      <c r="D1285" t="s">
        <v>53</v>
      </c>
      <c r="E1285" t="s">
        <v>54</v>
      </c>
      <c r="F1285" t="s">
        <v>55</v>
      </c>
      <c r="G1285" t="s">
        <v>81</v>
      </c>
      <c r="H1285" t="s">
        <v>87</v>
      </c>
      <c r="I1285">
        <v>2</v>
      </c>
      <c r="J1285">
        <v>226.05</v>
      </c>
      <c r="K1285">
        <v>0.08</v>
      </c>
      <c r="L1285">
        <v>415.93</v>
      </c>
      <c r="M1285" t="s">
        <v>76</v>
      </c>
      <c r="N1285" t="s">
        <v>34</v>
      </c>
      <c r="O1285" t="s">
        <v>65</v>
      </c>
      <c r="P1285" t="s">
        <v>116</v>
      </c>
      <c r="Q1285" t="str">
        <f t="shared" si="140"/>
        <v>Completed</v>
      </c>
      <c r="R1285" t="str">
        <f t="shared" si="141"/>
        <v>Store</v>
      </c>
      <c r="S1285" t="str">
        <v>Cash On Delivery</v>
      </c>
      <c r="T1285" t="str">
        <v>Stationery</v>
      </c>
      <c r="U1285" t="str">
        <f t="shared" si="142"/>
        <v>VALID</v>
      </c>
      <c r="V1285" t="str">
        <f t="shared" si="143"/>
        <v>NORMAL</v>
      </c>
      <c r="W1285" t="str">
        <f t="shared" si="144"/>
        <v>Valid</v>
      </c>
      <c r="X1285">
        <f t="shared" si="146"/>
        <v>452.1</v>
      </c>
      <c r="Y1285">
        <f t="shared" si="145"/>
        <v>415.93200000000002</v>
      </c>
    </row>
    <row r="1286" spans="1:25" x14ac:dyDescent="0.3">
      <c r="A1286" t="s">
        <v>1635</v>
      </c>
      <c r="B1286" s="1">
        <v>45570</v>
      </c>
      <c r="C1286" t="s">
        <v>285</v>
      </c>
      <c r="D1286" t="s">
        <v>176</v>
      </c>
      <c r="E1286" t="s">
        <v>177</v>
      </c>
      <c r="F1286" t="s">
        <v>31</v>
      </c>
      <c r="G1286" t="s">
        <v>21</v>
      </c>
      <c r="H1286" t="s">
        <v>126</v>
      </c>
      <c r="I1286">
        <v>1</v>
      </c>
      <c r="J1286">
        <v>2041.86</v>
      </c>
      <c r="K1286">
        <v>0.03</v>
      </c>
      <c r="L1286">
        <v>1980.6</v>
      </c>
      <c r="M1286" t="s">
        <v>48</v>
      </c>
      <c r="N1286" t="s">
        <v>24</v>
      </c>
      <c r="O1286" t="s">
        <v>25</v>
      </c>
      <c r="P1286" t="s">
        <v>26</v>
      </c>
      <c r="Q1286" t="str">
        <f t="shared" si="140"/>
        <v>Returned</v>
      </c>
      <c r="R1286" t="str">
        <f t="shared" si="141"/>
        <v>Marketplace</v>
      </c>
      <c r="S1286" t="str">
        <v>Debit Card</v>
      </c>
      <c r="T1286" t="str">
        <v>Electronics</v>
      </c>
      <c r="U1286" t="str">
        <f t="shared" si="142"/>
        <v>VALID</v>
      </c>
      <c r="V1286" t="str">
        <f t="shared" si="143"/>
        <v>NORMAL</v>
      </c>
      <c r="W1286" t="str">
        <f t="shared" si="144"/>
        <v>Valid</v>
      </c>
      <c r="X1286">
        <f t="shared" si="146"/>
        <v>2041.86</v>
      </c>
      <c r="Y1286">
        <f t="shared" si="145"/>
        <v>1980.6042</v>
      </c>
    </row>
    <row r="1287" spans="1:25" x14ac:dyDescent="0.3">
      <c r="A1287" t="s">
        <v>1636</v>
      </c>
      <c r="B1287" s="1">
        <v>46028</v>
      </c>
      <c r="C1287" t="s">
        <v>277</v>
      </c>
      <c r="D1287" t="s">
        <v>18</v>
      </c>
      <c r="E1287" t="s">
        <v>19</v>
      </c>
      <c r="F1287" t="s">
        <v>20</v>
      </c>
      <c r="G1287" t="s">
        <v>81</v>
      </c>
      <c r="H1287" t="s">
        <v>82</v>
      </c>
      <c r="I1287">
        <v>3</v>
      </c>
      <c r="J1287">
        <v>890.27</v>
      </c>
      <c r="K1287">
        <v>0.08</v>
      </c>
      <c r="L1287">
        <v>2457.15</v>
      </c>
      <c r="M1287" t="s">
        <v>48</v>
      </c>
      <c r="N1287" t="s">
        <v>71</v>
      </c>
      <c r="O1287" t="s">
        <v>65</v>
      </c>
      <c r="P1287" t="s">
        <v>102</v>
      </c>
      <c r="Q1287" t="str">
        <f t="shared" si="140"/>
        <v>Completed</v>
      </c>
      <c r="R1287" t="str">
        <f t="shared" si="141"/>
        <v>Marketplace</v>
      </c>
      <c r="S1287" t="str">
        <v>Upi</v>
      </c>
      <c r="T1287" t="str">
        <v>Accessories</v>
      </c>
      <c r="U1287" t="str">
        <f t="shared" si="142"/>
        <v>VALID</v>
      </c>
      <c r="V1287" t="str">
        <f t="shared" si="143"/>
        <v>NORMAL</v>
      </c>
      <c r="W1287" t="str">
        <f t="shared" si="144"/>
        <v>Valid</v>
      </c>
      <c r="X1287">
        <f t="shared" si="146"/>
        <v>2670.81</v>
      </c>
      <c r="Y1287">
        <f t="shared" si="145"/>
        <v>2457.1451999999999</v>
      </c>
    </row>
    <row r="1288" spans="1:25" x14ac:dyDescent="0.3">
      <c r="A1288" t="s">
        <v>1637</v>
      </c>
      <c r="B1288" s="1">
        <v>45314</v>
      </c>
      <c r="C1288" t="s">
        <v>345</v>
      </c>
      <c r="D1288" t="s">
        <v>45</v>
      </c>
      <c r="E1288" t="s">
        <v>46</v>
      </c>
      <c r="F1288" t="s">
        <v>31</v>
      </c>
      <c r="G1288" t="s">
        <v>32</v>
      </c>
      <c r="H1288" t="s">
        <v>33</v>
      </c>
      <c r="I1288">
        <v>1</v>
      </c>
      <c r="J1288">
        <v>1795.57</v>
      </c>
      <c r="K1288">
        <v>0.1</v>
      </c>
      <c r="L1288">
        <v>1616.01</v>
      </c>
      <c r="M1288" t="s">
        <v>76</v>
      </c>
      <c r="N1288" t="s">
        <v>58</v>
      </c>
      <c r="O1288" t="s">
        <v>65</v>
      </c>
      <c r="P1288" t="s">
        <v>102</v>
      </c>
      <c r="Q1288" t="str">
        <f t="shared" si="140"/>
        <v>Completed</v>
      </c>
      <c r="R1288" t="str">
        <f t="shared" si="141"/>
        <v>Store</v>
      </c>
      <c r="S1288" t="str">
        <v>Credit Card</v>
      </c>
      <c r="T1288" t="str">
        <v>Electronics</v>
      </c>
      <c r="U1288" t="str">
        <f t="shared" si="142"/>
        <v>VALID</v>
      </c>
      <c r="V1288" t="str">
        <f t="shared" si="143"/>
        <v>NORMAL</v>
      </c>
      <c r="W1288" t="str">
        <f t="shared" si="144"/>
        <v>Valid</v>
      </c>
      <c r="X1288">
        <f t="shared" si="146"/>
        <v>1795.57</v>
      </c>
      <c r="Y1288">
        <f t="shared" si="145"/>
        <v>1616.0129999999999</v>
      </c>
    </row>
    <row r="1289" spans="1:25" x14ac:dyDescent="0.3">
      <c r="A1289" t="s">
        <v>1638</v>
      </c>
      <c r="B1289" s="1">
        <v>46187</v>
      </c>
      <c r="C1289" t="s">
        <v>134</v>
      </c>
      <c r="D1289" t="s">
        <v>38</v>
      </c>
      <c r="E1289" t="s">
        <v>39</v>
      </c>
      <c r="F1289" t="s">
        <v>40</v>
      </c>
      <c r="G1289" t="s">
        <v>81</v>
      </c>
      <c r="H1289" t="s">
        <v>98</v>
      </c>
      <c r="I1289">
        <v>2</v>
      </c>
      <c r="J1289">
        <v>1557.59</v>
      </c>
      <c r="K1289">
        <v>0.15</v>
      </c>
      <c r="L1289">
        <v>2647.9</v>
      </c>
      <c r="M1289" t="s">
        <v>23</v>
      </c>
      <c r="N1289" t="s">
        <v>24</v>
      </c>
      <c r="O1289" t="s">
        <v>65</v>
      </c>
      <c r="Q1289" t="str">
        <f t="shared" si="140"/>
        <v>Completed</v>
      </c>
      <c r="R1289" t="str">
        <f t="shared" si="141"/>
        <v>Online</v>
      </c>
      <c r="S1289" t="str">
        <v>Debit Card</v>
      </c>
      <c r="T1289" t="str">
        <v>Furniture</v>
      </c>
      <c r="U1289" t="str">
        <f t="shared" si="142"/>
        <v>VALID</v>
      </c>
      <c r="V1289" t="str">
        <f t="shared" si="143"/>
        <v>NORMAL</v>
      </c>
      <c r="W1289" t="str">
        <f t="shared" si="144"/>
        <v>Valid</v>
      </c>
      <c r="X1289">
        <f t="shared" si="146"/>
        <v>3115.18</v>
      </c>
      <c r="Y1289">
        <f t="shared" si="145"/>
        <v>2647.9029999999998</v>
      </c>
    </row>
    <row r="1290" spans="1:25" x14ac:dyDescent="0.3">
      <c r="A1290" t="s">
        <v>1639</v>
      </c>
      <c r="B1290" s="1">
        <v>45540</v>
      </c>
      <c r="C1290" t="s">
        <v>70</v>
      </c>
      <c r="D1290" t="s">
        <v>79</v>
      </c>
      <c r="E1290" t="s">
        <v>80</v>
      </c>
      <c r="F1290" t="s">
        <v>31</v>
      </c>
      <c r="G1290" t="s">
        <v>32</v>
      </c>
      <c r="H1290" t="s">
        <v>68</v>
      </c>
      <c r="I1290">
        <v>3</v>
      </c>
      <c r="J1290">
        <v>12652.9</v>
      </c>
      <c r="K1290">
        <v>0.03</v>
      </c>
      <c r="L1290">
        <v>36819.94</v>
      </c>
      <c r="M1290" t="s">
        <v>48</v>
      </c>
      <c r="N1290" t="s">
        <v>71</v>
      </c>
      <c r="O1290" t="s">
        <v>25</v>
      </c>
      <c r="P1290" t="s">
        <v>59</v>
      </c>
      <c r="Q1290" t="str">
        <f t="shared" si="140"/>
        <v>Returned</v>
      </c>
      <c r="R1290" t="str">
        <f t="shared" si="141"/>
        <v>Marketplace</v>
      </c>
      <c r="S1290" t="str">
        <v>Upi</v>
      </c>
      <c r="T1290" t="str">
        <v>Electronics</v>
      </c>
      <c r="U1290" t="str">
        <f t="shared" si="142"/>
        <v>VALID</v>
      </c>
      <c r="V1290" t="str">
        <f t="shared" si="143"/>
        <v>NORMAL</v>
      </c>
      <c r="W1290" t="str">
        <f t="shared" si="144"/>
        <v>Valid</v>
      </c>
      <c r="X1290">
        <f t="shared" si="146"/>
        <v>37958.699999999997</v>
      </c>
      <c r="Y1290">
        <f t="shared" si="145"/>
        <v>36819.938999999998</v>
      </c>
    </row>
    <row r="1291" spans="1:25" x14ac:dyDescent="0.3">
      <c r="A1291" t="s">
        <v>1640</v>
      </c>
      <c r="B1291" s="1">
        <v>45665</v>
      </c>
      <c r="C1291" t="s">
        <v>125</v>
      </c>
      <c r="D1291" t="s">
        <v>105</v>
      </c>
      <c r="E1291" t="s">
        <v>106</v>
      </c>
      <c r="F1291" t="s">
        <v>40</v>
      </c>
      <c r="G1291" t="s">
        <v>56</v>
      </c>
      <c r="H1291" t="s">
        <v>64</v>
      </c>
      <c r="I1291">
        <v>4</v>
      </c>
      <c r="J1291">
        <v>7276.44</v>
      </c>
      <c r="K1291">
        <v>0.08</v>
      </c>
      <c r="L1291">
        <v>26777.3</v>
      </c>
      <c r="M1291" t="s">
        <v>48</v>
      </c>
      <c r="N1291" t="s">
        <v>58</v>
      </c>
      <c r="O1291" t="s">
        <v>65</v>
      </c>
      <c r="P1291" t="s">
        <v>50</v>
      </c>
      <c r="Q1291" t="str">
        <f t="shared" si="140"/>
        <v>Completed</v>
      </c>
      <c r="R1291" t="str">
        <f t="shared" si="141"/>
        <v>Marketplace</v>
      </c>
      <c r="S1291" t="str">
        <v>Credit Card</v>
      </c>
      <c r="T1291" t="str">
        <v>Furniture</v>
      </c>
      <c r="U1291" t="str">
        <f t="shared" si="142"/>
        <v>VALID</v>
      </c>
      <c r="V1291" t="str">
        <f t="shared" si="143"/>
        <v>NORMAL</v>
      </c>
      <c r="W1291" t="str">
        <f t="shared" si="144"/>
        <v>Valid</v>
      </c>
      <c r="X1291">
        <f t="shared" si="146"/>
        <v>29105.759999999998</v>
      </c>
      <c r="Y1291">
        <f t="shared" si="145"/>
        <v>26777.299199999998</v>
      </c>
    </row>
    <row r="1292" spans="1:25" x14ac:dyDescent="0.3">
      <c r="A1292" t="s">
        <v>1641</v>
      </c>
      <c r="B1292" s="1">
        <v>45601</v>
      </c>
      <c r="C1292" t="s">
        <v>118</v>
      </c>
      <c r="D1292" t="s">
        <v>105</v>
      </c>
      <c r="E1292" t="s">
        <v>106</v>
      </c>
      <c r="F1292" t="s">
        <v>40</v>
      </c>
      <c r="G1292" t="s">
        <v>81</v>
      </c>
      <c r="H1292" t="s">
        <v>82</v>
      </c>
      <c r="I1292">
        <v>5</v>
      </c>
      <c r="J1292">
        <v>7118.65</v>
      </c>
      <c r="K1292">
        <v>0.05</v>
      </c>
      <c r="L1292">
        <v>33813.589999999997</v>
      </c>
      <c r="M1292" t="s">
        <v>76</v>
      </c>
      <c r="N1292" t="s">
        <v>71</v>
      </c>
      <c r="O1292" t="s">
        <v>35</v>
      </c>
      <c r="P1292" t="s">
        <v>72</v>
      </c>
      <c r="Q1292" t="str">
        <f t="shared" si="140"/>
        <v>Cancelled</v>
      </c>
      <c r="R1292" t="str">
        <f t="shared" si="141"/>
        <v>Store</v>
      </c>
      <c r="S1292" t="str">
        <v>Upi</v>
      </c>
      <c r="T1292" t="str">
        <v>Furniture</v>
      </c>
      <c r="U1292" t="str">
        <f t="shared" si="142"/>
        <v>VALID</v>
      </c>
      <c r="V1292" t="str">
        <f t="shared" si="143"/>
        <v>NORMAL</v>
      </c>
      <c r="W1292" t="str">
        <f t="shared" si="144"/>
        <v>Valid</v>
      </c>
      <c r="X1292">
        <f t="shared" si="146"/>
        <v>35593.25</v>
      </c>
      <c r="Y1292">
        <f t="shared" si="145"/>
        <v>33813.587500000001</v>
      </c>
    </row>
    <row r="1293" spans="1:25" x14ac:dyDescent="0.3">
      <c r="A1293" t="s">
        <v>1642</v>
      </c>
      <c r="B1293" s="1">
        <v>45688</v>
      </c>
      <c r="C1293" t="s">
        <v>299</v>
      </c>
      <c r="D1293" t="s">
        <v>105</v>
      </c>
      <c r="E1293" t="s">
        <v>106</v>
      </c>
      <c r="F1293" t="s">
        <v>40</v>
      </c>
      <c r="G1293" t="s">
        <v>56</v>
      </c>
      <c r="H1293" t="s">
        <v>101</v>
      </c>
      <c r="J1293">
        <v>6694.11</v>
      </c>
      <c r="K1293">
        <v>0.1</v>
      </c>
      <c r="L1293">
        <v>6024.7</v>
      </c>
      <c r="M1293" t="s">
        <v>76</v>
      </c>
      <c r="N1293" t="s">
        <v>24</v>
      </c>
      <c r="O1293" t="s">
        <v>35</v>
      </c>
      <c r="P1293" t="s">
        <v>111</v>
      </c>
      <c r="Q1293" t="str">
        <f t="shared" si="140"/>
        <v>Cancelled</v>
      </c>
      <c r="R1293" t="str">
        <f t="shared" si="141"/>
        <v>Store</v>
      </c>
      <c r="S1293" t="str">
        <v>Debit Card</v>
      </c>
      <c r="T1293" t="str">
        <v>Furniture</v>
      </c>
      <c r="U1293" t="str">
        <f t="shared" si="142"/>
        <v>INVALID</v>
      </c>
      <c r="V1293" t="str">
        <f t="shared" si="143"/>
        <v>NORMAL</v>
      </c>
      <c r="W1293" t="str">
        <f t="shared" si="144"/>
        <v>Valid</v>
      </c>
      <c r="X1293">
        <f t="shared" si="146"/>
        <v>0</v>
      </c>
      <c r="Y1293">
        <f t="shared" si="145"/>
        <v>0</v>
      </c>
    </row>
    <row r="1294" spans="1:25" x14ac:dyDescent="0.3">
      <c r="A1294" t="s">
        <v>1643</v>
      </c>
      <c r="B1294" s="1">
        <v>46087</v>
      </c>
      <c r="C1294" t="s">
        <v>28</v>
      </c>
      <c r="D1294" t="s">
        <v>89</v>
      </c>
      <c r="E1294" t="s">
        <v>90</v>
      </c>
      <c r="F1294" t="s">
        <v>20</v>
      </c>
      <c r="G1294" t="s">
        <v>32</v>
      </c>
      <c r="I1294">
        <v>4</v>
      </c>
      <c r="J1294">
        <v>662.98</v>
      </c>
      <c r="K1294">
        <v>0.08</v>
      </c>
      <c r="L1294">
        <v>2439.77</v>
      </c>
      <c r="M1294" t="s">
        <v>76</v>
      </c>
      <c r="N1294" t="s">
        <v>24</v>
      </c>
      <c r="O1294" t="s">
        <v>25</v>
      </c>
      <c r="P1294" t="s">
        <v>26</v>
      </c>
      <c r="Q1294" t="str">
        <f t="shared" si="140"/>
        <v>Returned</v>
      </c>
      <c r="R1294" t="str">
        <f t="shared" si="141"/>
        <v>Store</v>
      </c>
      <c r="S1294" t="str">
        <v>Debit Card</v>
      </c>
      <c r="T1294" t="str">
        <v>Accessories</v>
      </c>
      <c r="U1294" t="str">
        <f t="shared" si="142"/>
        <v>VALID</v>
      </c>
      <c r="V1294" t="str">
        <f t="shared" si="143"/>
        <v>NORMAL</v>
      </c>
      <c r="W1294" t="str">
        <f t="shared" si="144"/>
        <v>Valid</v>
      </c>
      <c r="X1294">
        <f t="shared" si="146"/>
        <v>2651.92</v>
      </c>
      <c r="Y1294">
        <f t="shared" si="145"/>
        <v>2439.7664</v>
      </c>
    </row>
    <row r="1295" spans="1:25" x14ac:dyDescent="0.3">
      <c r="A1295" t="s">
        <v>1644</v>
      </c>
      <c r="B1295" s="1">
        <v>46142</v>
      </c>
      <c r="C1295" t="s">
        <v>803</v>
      </c>
      <c r="D1295" t="s">
        <v>89</v>
      </c>
      <c r="E1295" t="s">
        <v>90</v>
      </c>
      <c r="F1295" t="s">
        <v>20</v>
      </c>
      <c r="G1295" t="s">
        <v>32</v>
      </c>
      <c r="H1295" t="s">
        <v>47</v>
      </c>
      <c r="I1295">
        <v>2</v>
      </c>
      <c r="J1295">
        <v>723.81</v>
      </c>
      <c r="K1295">
        <v>0.03</v>
      </c>
      <c r="L1295">
        <v>1404.19</v>
      </c>
      <c r="M1295" t="s">
        <v>48</v>
      </c>
      <c r="N1295" t="s">
        <v>49</v>
      </c>
      <c r="O1295" t="s">
        <v>25</v>
      </c>
      <c r="P1295" t="s">
        <v>26</v>
      </c>
      <c r="Q1295" t="str">
        <f t="shared" si="140"/>
        <v>Returned</v>
      </c>
      <c r="R1295" t="str">
        <f t="shared" si="141"/>
        <v>Marketplace</v>
      </c>
      <c r="S1295" t="str">
        <v>Net Banking</v>
      </c>
      <c r="T1295" t="str">
        <v>Accessories</v>
      </c>
      <c r="U1295" t="str">
        <f t="shared" si="142"/>
        <v>VALID</v>
      </c>
      <c r="V1295" t="str">
        <f t="shared" si="143"/>
        <v>NORMAL</v>
      </c>
      <c r="W1295" t="str">
        <f t="shared" si="144"/>
        <v>Valid</v>
      </c>
      <c r="X1295">
        <f t="shared" si="146"/>
        <v>1447.62</v>
      </c>
      <c r="Y1295">
        <f t="shared" si="145"/>
        <v>1404.1913999999999</v>
      </c>
    </row>
    <row r="1296" spans="1:25" x14ac:dyDescent="0.3">
      <c r="A1296" t="s">
        <v>1645</v>
      </c>
      <c r="B1296" s="1">
        <v>45420</v>
      </c>
      <c r="C1296" t="s">
        <v>293</v>
      </c>
      <c r="D1296" t="s">
        <v>53</v>
      </c>
      <c r="E1296" t="s">
        <v>54</v>
      </c>
      <c r="F1296" t="s">
        <v>55</v>
      </c>
      <c r="G1296" t="s">
        <v>56</v>
      </c>
      <c r="H1296" t="s">
        <v>123</v>
      </c>
      <c r="I1296">
        <v>4</v>
      </c>
      <c r="J1296">
        <v>205.53</v>
      </c>
      <c r="K1296">
        <v>0.1</v>
      </c>
      <c r="L1296">
        <v>739.91</v>
      </c>
      <c r="M1296" t="s">
        <v>48</v>
      </c>
      <c r="N1296" t="s">
        <v>49</v>
      </c>
      <c r="O1296" t="s">
        <v>25</v>
      </c>
      <c r="P1296" t="s">
        <v>102</v>
      </c>
      <c r="Q1296" t="str">
        <f t="shared" si="140"/>
        <v>Returned</v>
      </c>
      <c r="R1296" t="str">
        <f t="shared" si="141"/>
        <v>Marketplace</v>
      </c>
      <c r="S1296" t="str">
        <v>Net Banking</v>
      </c>
      <c r="T1296" t="str">
        <v>Stationery</v>
      </c>
      <c r="U1296" t="str">
        <f t="shared" si="142"/>
        <v>VALID</v>
      </c>
      <c r="V1296" t="str">
        <f t="shared" si="143"/>
        <v>NORMAL</v>
      </c>
      <c r="W1296" t="str">
        <f t="shared" si="144"/>
        <v>Valid</v>
      </c>
      <c r="X1296">
        <f t="shared" si="146"/>
        <v>822.12</v>
      </c>
      <c r="Y1296">
        <f t="shared" si="145"/>
        <v>739.90800000000002</v>
      </c>
    </row>
    <row r="1297" spans="1:25" x14ac:dyDescent="0.3">
      <c r="A1297" t="s">
        <v>1646</v>
      </c>
      <c r="B1297" s="1">
        <v>46073</v>
      </c>
      <c r="C1297" t="s">
        <v>531</v>
      </c>
      <c r="D1297" t="s">
        <v>45</v>
      </c>
      <c r="E1297" t="s">
        <v>46</v>
      </c>
      <c r="F1297" t="s">
        <v>31</v>
      </c>
      <c r="G1297" t="s">
        <v>56</v>
      </c>
      <c r="H1297" t="s">
        <v>57</v>
      </c>
      <c r="I1297">
        <v>1</v>
      </c>
      <c r="J1297">
        <v>1736.68</v>
      </c>
      <c r="K1297">
        <v>0</v>
      </c>
      <c r="L1297">
        <v>1736.68</v>
      </c>
      <c r="M1297" t="s">
        <v>76</v>
      </c>
      <c r="N1297" t="s">
        <v>49</v>
      </c>
      <c r="O1297" t="s">
        <v>65</v>
      </c>
      <c r="P1297" t="s">
        <v>102</v>
      </c>
      <c r="Q1297" t="str">
        <f t="shared" si="140"/>
        <v>Completed</v>
      </c>
      <c r="R1297" t="str">
        <f t="shared" si="141"/>
        <v>Store</v>
      </c>
      <c r="S1297" t="str">
        <v>Net Banking</v>
      </c>
      <c r="T1297" t="str">
        <v>Electronics</v>
      </c>
      <c r="U1297" t="str">
        <f t="shared" si="142"/>
        <v>VALID</v>
      </c>
      <c r="V1297" t="str">
        <f t="shared" si="143"/>
        <v>NORMAL</v>
      </c>
      <c r="W1297" t="str">
        <f t="shared" si="144"/>
        <v>Valid</v>
      </c>
      <c r="X1297">
        <f t="shared" si="146"/>
        <v>1736.68</v>
      </c>
      <c r="Y1297">
        <f t="shared" si="145"/>
        <v>1736.68</v>
      </c>
    </row>
    <row r="1298" spans="1:25" x14ac:dyDescent="0.3">
      <c r="A1298" t="s">
        <v>1647</v>
      </c>
      <c r="B1298" s="1">
        <v>45426</v>
      </c>
      <c r="C1298" t="s">
        <v>445</v>
      </c>
      <c r="D1298" t="s">
        <v>105</v>
      </c>
      <c r="E1298" t="s">
        <v>106</v>
      </c>
      <c r="F1298" t="s">
        <v>40</v>
      </c>
      <c r="G1298" t="s">
        <v>56</v>
      </c>
      <c r="H1298" t="s">
        <v>101</v>
      </c>
      <c r="I1298">
        <v>3</v>
      </c>
      <c r="J1298">
        <v>6893.56</v>
      </c>
      <c r="K1298">
        <v>0.08</v>
      </c>
      <c r="L1298">
        <v>19026.23</v>
      </c>
      <c r="M1298" t="s">
        <v>48</v>
      </c>
      <c r="N1298" t="s">
        <v>24</v>
      </c>
      <c r="O1298" t="s">
        <v>65</v>
      </c>
      <c r="P1298" t="s">
        <v>50</v>
      </c>
      <c r="Q1298" t="str">
        <f t="shared" si="140"/>
        <v>Completed</v>
      </c>
      <c r="R1298" t="str">
        <f t="shared" si="141"/>
        <v>Marketplace</v>
      </c>
      <c r="S1298" t="str">
        <v>Debit Card</v>
      </c>
      <c r="T1298" t="str">
        <v>Furniture</v>
      </c>
      <c r="U1298" t="str">
        <f t="shared" si="142"/>
        <v>VALID</v>
      </c>
      <c r="V1298" t="str">
        <f t="shared" si="143"/>
        <v>NORMAL</v>
      </c>
      <c r="W1298" t="str">
        <f t="shared" si="144"/>
        <v>Valid</v>
      </c>
      <c r="X1298">
        <f t="shared" si="146"/>
        <v>20680.68</v>
      </c>
      <c r="Y1298">
        <f t="shared" si="145"/>
        <v>19026.225600000002</v>
      </c>
    </row>
    <row r="1299" spans="1:25" x14ac:dyDescent="0.3">
      <c r="A1299" t="s">
        <v>1648</v>
      </c>
      <c r="B1299" s="1">
        <v>45299</v>
      </c>
      <c r="C1299" t="s">
        <v>78</v>
      </c>
      <c r="D1299" t="s">
        <v>79</v>
      </c>
      <c r="E1299" t="s">
        <v>80</v>
      </c>
      <c r="F1299" t="s">
        <v>31</v>
      </c>
      <c r="G1299" t="s">
        <v>81</v>
      </c>
      <c r="H1299" t="s">
        <v>135</v>
      </c>
      <c r="I1299">
        <v>3</v>
      </c>
      <c r="J1299">
        <v>12790.56</v>
      </c>
      <c r="K1299">
        <v>0.2</v>
      </c>
      <c r="L1299">
        <v>30697.34</v>
      </c>
      <c r="M1299" t="s">
        <v>76</v>
      </c>
      <c r="N1299" t="s">
        <v>49</v>
      </c>
      <c r="O1299" t="s">
        <v>65</v>
      </c>
      <c r="P1299" t="s">
        <v>59</v>
      </c>
      <c r="Q1299" t="str">
        <f t="shared" si="140"/>
        <v>Completed</v>
      </c>
      <c r="R1299" t="str">
        <f t="shared" si="141"/>
        <v>Store</v>
      </c>
      <c r="S1299" t="str">
        <v>Net Banking</v>
      </c>
      <c r="T1299" t="str">
        <v>Electronics</v>
      </c>
      <c r="U1299" t="str">
        <f t="shared" si="142"/>
        <v>VALID</v>
      </c>
      <c r="V1299" t="str">
        <f t="shared" si="143"/>
        <v>NORMAL</v>
      </c>
      <c r="W1299" t="str">
        <f t="shared" si="144"/>
        <v>Valid</v>
      </c>
      <c r="X1299">
        <f t="shared" si="146"/>
        <v>38371.68</v>
      </c>
      <c r="Y1299">
        <f t="shared" si="145"/>
        <v>30697.344000000001</v>
      </c>
    </row>
    <row r="1300" spans="1:25" x14ac:dyDescent="0.3">
      <c r="A1300" t="s">
        <v>1649</v>
      </c>
      <c r="B1300" s="1">
        <v>45655</v>
      </c>
      <c r="D1300" t="s">
        <v>18</v>
      </c>
      <c r="E1300" t="s">
        <v>19</v>
      </c>
      <c r="F1300" t="s">
        <v>20</v>
      </c>
      <c r="G1300" t="s">
        <v>56</v>
      </c>
      <c r="H1300" t="s">
        <v>101</v>
      </c>
      <c r="I1300">
        <v>5</v>
      </c>
      <c r="J1300">
        <v>885.92</v>
      </c>
      <c r="K1300">
        <v>0.03</v>
      </c>
      <c r="L1300">
        <v>4296.71</v>
      </c>
      <c r="M1300" t="s">
        <v>23</v>
      </c>
      <c r="N1300" t="s">
        <v>71</v>
      </c>
      <c r="O1300" t="s">
        <v>65</v>
      </c>
      <c r="P1300" t="s">
        <v>59</v>
      </c>
      <c r="Q1300" t="str">
        <f t="shared" si="140"/>
        <v>Completed</v>
      </c>
      <c r="R1300" t="str">
        <f t="shared" si="141"/>
        <v>Online</v>
      </c>
      <c r="S1300" t="str">
        <v>Upi</v>
      </c>
      <c r="T1300" t="str">
        <v>Accessories</v>
      </c>
      <c r="U1300" t="str">
        <f t="shared" si="142"/>
        <v>VALID</v>
      </c>
      <c r="V1300" t="str">
        <f t="shared" si="143"/>
        <v>NORMAL</v>
      </c>
      <c r="W1300" t="str">
        <f t="shared" si="144"/>
        <v>Valid</v>
      </c>
      <c r="X1300">
        <f t="shared" si="146"/>
        <v>4429.5999999999995</v>
      </c>
      <c r="Y1300">
        <f t="shared" si="145"/>
        <v>4296.7119999999995</v>
      </c>
    </row>
    <row r="1301" spans="1:25" x14ac:dyDescent="0.3">
      <c r="A1301" t="s">
        <v>1650</v>
      </c>
      <c r="B1301" s="1">
        <v>45668</v>
      </c>
      <c r="C1301" t="s">
        <v>306</v>
      </c>
      <c r="D1301" t="s">
        <v>62</v>
      </c>
      <c r="E1301" t="s">
        <v>63</v>
      </c>
      <c r="F1301" t="s">
        <v>31</v>
      </c>
      <c r="G1301" t="s">
        <v>32</v>
      </c>
      <c r="H1301" t="s">
        <v>75</v>
      </c>
      <c r="I1301">
        <v>4</v>
      </c>
      <c r="J1301">
        <v>2770.4</v>
      </c>
      <c r="K1301">
        <v>0</v>
      </c>
      <c r="L1301">
        <v>11081.6</v>
      </c>
      <c r="M1301" t="s">
        <v>23</v>
      </c>
      <c r="N1301" t="s">
        <v>71</v>
      </c>
      <c r="O1301" t="s">
        <v>65</v>
      </c>
      <c r="P1301" t="s">
        <v>111</v>
      </c>
      <c r="Q1301" t="str">
        <f t="shared" si="140"/>
        <v>Completed</v>
      </c>
      <c r="R1301" t="str">
        <f t="shared" si="141"/>
        <v>Online</v>
      </c>
      <c r="S1301" t="str">
        <v>Upi</v>
      </c>
      <c r="T1301" t="str">
        <v>Electronics</v>
      </c>
      <c r="U1301" t="str">
        <f t="shared" si="142"/>
        <v>VALID</v>
      </c>
      <c r="V1301" t="str">
        <f t="shared" si="143"/>
        <v>NORMAL</v>
      </c>
      <c r="W1301" t="str">
        <f t="shared" si="144"/>
        <v>Valid</v>
      </c>
      <c r="X1301">
        <f t="shared" si="146"/>
        <v>11081.6</v>
      </c>
      <c r="Y1301">
        <f t="shared" si="145"/>
        <v>11081.6</v>
      </c>
    </row>
    <row r="1302" spans="1:25" x14ac:dyDescent="0.3">
      <c r="A1302" t="s">
        <v>1651</v>
      </c>
      <c r="B1302" s="1">
        <v>46191</v>
      </c>
      <c r="C1302" t="s">
        <v>238</v>
      </c>
      <c r="D1302" t="s">
        <v>89</v>
      </c>
      <c r="E1302" t="s">
        <v>90</v>
      </c>
      <c r="F1302" t="s">
        <v>20</v>
      </c>
      <c r="G1302" t="s">
        <v>21</v>
      </c>
      <c r="H1302" t="s">
        <v>126</v>
      </c>
      <c r="I1302">
        <v>1</v>
      </c>
      <c r="J1302">
        <v>753.1</v>
      </c>
      <c r="K1302">
        <v>0.2</v>
      </c>
      <c r="L1302">
        <v>602.48</v>
      </c>
      <c r="M1302" t="s">
        <v>23</v>
      </c>
      <c r="N1302" t="s">
        <v>24</v>
      </c>
      <c r="O1302" t="s">
        <v>65</v>
      </c>
      <c r="P1302" t="s">
        <v>42</v>
      </c>
      <c r="Q1302" t="str">
        <f t="shared" si="140"/>
        <v>Completed</v>
      </c>
      <c r="R1302" t="str">
        <f t="shared" si="141"/>
        <v>Online</v>
      </c>
      <c r="S1302" t="str">
        <v>Debit Card</v>
      </c>
      <c r="T1302" t="str">
        <v>Accessories</v>
      </c>
      <c r="U1302" t="str">
        <f t="shared" si="142"/>
        <v>VALID</v>
      </c>
      <c r="V1302" t="str">
        <f t="shared" si="143"/>
        <v>NORMAL</v>
      </c>
      <c r="W1302" t="str">
        <f t="shared" si="144"/>
        <v>Valid</v>
      </c>
      <c r="X1302">
        <f t="shared" si="146"/>
        <v>753.1</v>
      </c>
      <c r="Y1302">
        <f t="shared" si="145"/>
        <v>602.48</v>
      </c>
    </row>
    <row r="1303" spans="1:25" x14ac:dyDescent="0.3">
      <c r="A1303" t="s">
        <v>1652</v>
      </c>
      <c r="B1303" s="1">
        <v>46160</v>
      </c>
      <c r="C1303" t="s">
        <v>143</v>
      </c>
      <c r="D1303" t="s">
        <v>131</v>
      </c>
      <c r="E1303" t="s">
        <v>132</v>
      </c>
      <c r="F1303" t="s">
        <v>40</v>
      </c>
      <c r="G1303" t="s">
        <v>32</v>
      </c>
      <c r="H1303" t="s">
        <v>47</v>
      </c>
      <c r="I1303">
        <v>3</v>
      </c>
      <c r="J1303">
        <v>9578.18</v>
      </c>
      <c r="K1303">
        <v>0.1</v>
      </c>
      <c r="L1303">
        <v>25861.09</v>
      </c>
      <c r="M1303" t="s">
        <v>76</v>
      </c>
      <c r="N1303" t="s">
        <v>49</v>
      </c>
      <c r="O1303" t="s">
        <v>65</v>
      </c>
      <c r="P1303" t="s">
        <v>26</v>
      </c>
      <c r="Q1303" t="str">
        <f t="shared" si="140"/>
        <v>Completed</v>
      </c>
      <c r="R1303" t="str">
        <f t="shared" si="141"/>
        <v>Store</v>
      </c>
      <c r="S1303" t="str">
        <v>Net Banking</v>
      </c>
      <c r="T1303" t="str">
        <v>Furniture</v>
      </c>
      <c r="U1303" t="str">
        <f t="shared" si="142"/>
        <v>VALID</v>
      </c>
      <c r="V1303" t="str">
        <f t="shared" si="143"/>
        <v>NORMAL</v>
      </c>
      <c r="W1303" t="str">
        <f t="shared" si="144"/>
        <v>Valid</v>
      </c>
      <c r="X1303">
        <f t="shared" si="146"/>
        <v>28734.54</v>
      </c>
      <c r="Y1303">
        <f t="shared" si="145"/>
        <v>25861.085999999999</v>
      </c>
    </row>
    <row r="1304" spans="1:25" x14ac:dyDescent="0.3">
      <c r="A1304" t="s">
        <v>1653</v>
      </c>
      <c r="B1304" s="1">
        <v>45615</v>
      </c>
      <c r="C1304" t="s">
        <v>28</v>
      </c>
      <c r="D1304" t="s">
        <v>38</v>
      </c>
      <c r="E1304" t="s">
        <v>39</v>
      </c>
      <c r="F1304" t="s">
        <v>40</v>
      </c>
      <c r="G1304" t="s">
        <v>81</v>
      </c>
      <c r="H1304" t="s">
        <v>98</v>
      </c>
      <c r="I1304">
        <v>4</v>
      </c>
      <c r="J1304">
        <v>1571.77</v>
      </c>
      <c r="K1304">
        <v>0.1</v>
      </c>
      <c r="L1304">
        <v>5658.37</v>
      </c>
      <c r="M1304" t="s">
        <v>76</v>
      </c>
      <c r="N1304" t="s">
        <v>49</v>
      </c>
      <c r="O1304" t="s">
        <v>65</v>
      </c>
      <c r="P1304" t="s">
        <v>111</v>
      </c>
      <c r="Q1304" t="str">
        <f t="shared" si="140"/>
        <v>Completed</v>
      </c>
      <c r="R1304" t="str">
        <f t="shared" si="141"/>
        <v>Store</v>
      </c>
      <c r="S1304" t="str">
        <v>Net Banking</v>
      </c>
      <c r="T1304" t="str">
        <v>Furniture</v>
      </c>
      <c r="U1304" t="str">
        <f t="shared" si="142"/>
        <v>VALID</v>
      </c>
      <c r="V1304" t="str">
        <f t="shared" si="143"/>
        <v>NORMAL</v>
      </c>
      <c r="W1304" t="str">
        <f t="shared" si="144"/>
        <v>Valid</v>
      </c>
      <c r="X1304">
        <f t="shared" si="146"/>
        <v>6287.08</v>
      </c>
      <c r="Y1304">
        <f t="shared" si="145"/>
        <v>5658.3719999999994</v>
      </c>
    </row>
    <row r="1305" spans="1:25" x14ac:dyDescent="0.3">
      <c r="A1305" t="s">
        <v>1654</v>
      </c>
      <c r="B1305" s="1">
        <v>45621</v>
      </c>
      <c r="C1305" t="s">
        <v>269</v>
      </c>
      <c r="D1305" t="s">
        <v>131</v>
      </c>
      <c r="E1305" t="s">
        <v>132</v>
      </c>
      <c r="F1305" t="s">
        <v>40</v>
      </c>
      <c r="G1305" t="s">
        <v>56</v>
      </c>
      <c r="H1305" t="s">
        <v>64</v>
      </c>
      <c r="I1305">
        <v>2</v>
      </c>
      <c r="J1305">
        <v>9373.1</v>
      </c>
      <c r="K1305">
        <v>0.15</v>
      </c>
      <c r="L1305">
        <v>15934.27</v>
      </c>
      <c r="M1305" t="s">
        <v>23</v>
      </c>
      <c r="N1305" t="s">
        <v>58</v>
      </c>
      <c r="O1305" t="s">
        <v>65</v>
      </c>
      <c r="P1305" t="s">
        <v>50</v>
      </c>
      <c r="Q1305" t="str">
        <f t="shared" si="140"/>
        <v>Completed</v>
      </c>
      <c r="R1305" t="str">
        <f t="shared" si="141"/>
        <v>Online</v>
      </c>
      <c r="S1305" t="str">
        <v>Credit Card</v>
      </c>
      <c r="T1305" t="str">
        <v>Furniture</v>
      </c>
      <c r="U1305" t="str">
        <f t="shared" si="142"/>
        <v>VALID</v>
      </c>
      <c r="V1305" t="str">
        <f t="shared" si="143"/>
        <v>NORMAL</v>
      </c>
      <c r="W1305" t="str">
        <f t="shared" si="144"/>
        <v>Valid</v>
      </c>
      <c r="X1305">
        <f t="shared" si="146"/>
        <v>18746.2</v>
      </c>
      <c r="Y1305">
        <f t="shared" si="145"/>
        <v>15934.27</v>
      </c>
    </row>
    <row r="1306" spans="1:25" x14ac:dyDescent="0.3">
      <c r="A1306" t="s">
        <v>1655</v>
      </c>
      <c r="B1306" s="1">
        <v>45759</v>
      </c>
      <c r="C1306" t="s">
        <v>738</v>
      </c>
      <c r="D1306" t="s">
        <v>18</v>
      </c>
      <c r="E1306" t="s">
        <v>19</v>
      </c>
      <c r="F1306" t="s">
        <v>20</v>
      </c>
      <c r="G1306" t="s">
        <v>56</v>
      </c>
      <c r="H1306" t="s">
        <v>64</v>
      </c>
      <c r="I1306">
        <v>3</v>
      </c>
      <c r="J1306">
        <v>892.26</v>
      </c>
      <c r="K1306">
        <v>0</v>
      </c>
      <c r="L1306">
        <v>2676.78</v>
      </c>
      <c r="M1306" t="s">
        <v>23</v>
      </c>
      <c r="N1306" t="s">
        <v>34</v>
      </c>
      <c r="O1306" t="s">
        <v>65</v>
      </c>
      <c r="P1306" t="s">
        <v>116</v>
      </c>
      <c r="Q1306" t="str">
        <f t="shared" si="140"/>
        <v>Completed</v>
      </c>
      <c r="R1306" t="str">
        <f t="shared" si="141"/>
        <v>Online</v>
      </c>
      <c r="S1306" t="str">
        <v>Cash On Delivery</v>
      </c>
      <c r="T1306" t="str">
        <v>Accessories</v>
      </c>
      <c r="U1306" t="str">
        <f t="shared" si="142"/>
        <v>VALID</v>
      </c>
      <c r="V1306" t="str">
        <f t="shared" si="143"/>
        <v>NORMAL</v>
      </c>
      <c r="W1306" t="str">
        <f t="shared" si="144"/>
        <v>Valid</v>
      </c>
      <c r="X1306">
        <f t="shared" si="146"/>
        <v>2676.7799999999997</v>
      </c>
      <c r="Y1306">
        <f t="shared" si="145"/>
        <v>2676.7799999999997</v>
      </c>
    </row>
    <row r="1307" spans="1:25" x14ac:dyDescent="0.3">
      <c r="A1307" t="s">
        <v>1656</v>
      </c>
      <c r="B1307" s="1">
        <v>46046</v>
      </c>
      <c r="C1307" t="s">
        <v>137</v>
      </c>
      <c r="D1307" t="s">
        <v>18</v>
      </c>
      <c r="E1307" t="s">
        <v>19</v>
      </c>
      <c r="F1307" t="s">
        <v>20</v>
      </c>
      <c r="G1307" t="s">
        <v>21</v>
      </c>
      <c r="H1307" t="s">
        <v>41</v>
      </c>
      <c r="I1307">
        <v>2</v>
      </c>
      <c r="J1307">
        <v>895.99</v>
      </c>
      <c r="K1307">
        <v>0.15</v>
      </c>
      <c r="L1307">
        <v>1523.18</v>
      </c>
      <c r="M1307" t="s">
        <v>48</v>
      </c>
      <c r="N1307" t="s">
        <v>71</v>
      </c>
      <c r="O1307" t="s">
        <v>65</v>
      </c>
      <c r="P1307" t="s">
        <v>111</v>
      </c>
      <c r="Q1307" t="str">
        <f t="shared" si="140"/>
        <v>Completed</v>
      </c>
      <c r="R1307" t="str">
        <f t="shared" si="141"/>
        <v>Marketplace</v>
      </c>
      <c r="S1307" t="str">
        <v>Upi</v>
      </c>
      <c r="T1307" t="str">
        <v>Accessories</v>
      </c>
      <c r="U1307" t="str">
        <f t="shared" si="142"/>
        <v>VALID</v>
      </c>
      <c r="V1307" t="str">
        <f t="shared" si="143"/>
        <v>NORMAL</v>
      </c>
      <c r="W1307" t="str">
        <f t="shared" si="144"/>
        <v>Valid</v>
      </c>
      <c r="X1307">
        <f t="shared" si="146"/>
        <v>1791.98</v>
      </c>
      <c r="Y1307">
        <f t="shared" si="145"/>
        <v>1523.183</v>
      </c>
    </row>
    <row r="1308" spans="1:25" x14ac:dyDescent="0.3">
      <c r="A1308" t="s">
        <v>1657</v>
      </c>
      <c r="B1308" s="1">
        <v>45397</v>
      </c>
      <c r="C1308" t="s">
        <v>411</v>
      </c>
      <c r="D1308" t="s">
        <v>29</v>
      </c>
      <c r="E1308" t="s">
        <v>30</v>
      </c>
      <c r="F1308" t="s">
        <v>31</v>
      </c>
      <c r="G1308" t="s">
        <v>56</v>
      </c>
      <c r="H1308" t="s">
        <v>64</v>
      </c>
      <c r="I1308">
        <v>2</v>
      </c>
      <c r="J1308">
        <v>3150.95</v>
      </c>
      <c r="K1308">
        <v>0.08</v>
      </c>
      <c r="L1308">
        <v>5797.75</v>
      </c>
      <c r="M1308" t="s">
        <v>48</v>
      </c>
      <c r="N1308" t="s">
        <v>34</v>
      </c>
      <c r="O1308" t="s">
        <v>65</v>
      </c>
      <c r="P1308" t="s">
        <v>26</v>
      </c>
      <c r="Q1308" t="str">
        <f t="shared" si="140"/>
        <v>Completed</v>
      </c>
      <c r="R1308" t="str">
        <f t="shared" si="141"/>
        <v>Marketplace</v>
      </c>
      <c r="S1308" t="str">
        <v>Cash On Delivery</v>
      </c>
      <c r="T1308" t="str">
        <v>Electronics</v>
      </c>
      <c r="U1308" t="str">
        <f t="shared" si="142"/>
        <v>VALID</v>
      </c>
      <c r="V1308" t="str">
        <f t="shared" si="143"/>
        <v>NORMAL</v>
      </c>
      <c r="W1308" t="str">
        <f t="shared" si="144"/>
        <v>Valid</v>
      </c>
      <c r="X1308">
        <f t="shared" si="146"/>
        <v>6301.9</v>
      </c>
      <c r="Y1308">
        <f t="shared" si="145"/>
        <v>5797.7479999999996</v>
      </c>
    </row>
    <row r="1309" spans="1:25" x14ac:dyDescent="0.3">
      <c r="A1309" t="s">
        <v>1658</v>
      </c>
      <c r="B1309" s="1">
        <v>45772</v>
      </c>
      <c r="C1309" t="s">
        <v>488</v>
      </c>
      <c r="D1309" t="s">
        <v>170</v>
      </c>
      <c r="E1309" t="s">
        <v>171</v>
      </c>
      <c r="F1309" t="s">
        <v>31</v>
      </c>
      <c r="G1309" t="s">
        <v>81</v>
      </c>
      <c r="H1309" t="s">
        <v>98</v>
      </c>
      <c r="I1309">
        <v>1</v>
      </c>
      <c r="J1309">
        <v>65589.279999999999</v>
      </c>
      <c r="K1309">
        <v>0.2</v>
      </c>
      <c r="L1309">
        <v>52471.42</v>
      </c>
      <c r="M1309" t="s">
        <v>48</v>
      </c>
      <c r="N1309" t="s">
        <v>71</v>
      </c>
      <c r="O1309" t="s">
        <v>25</v>
      </c>
      <c r="P1309" t="s">
        <v>111</v>
      </c>
      <c r="Q1309" t="str">
        <f t="shared" si="140"/>
        <v>Returned</v>
      </c>
      <c r="R1309" t="str">
        <f t="shared" si="141"/>
        <v>Marketplace</v>
      </c>
      <c r="S1309" t="str">
        <v>Upi</v>
      </c>
      <c r="T1309" t="str">
        <v>Electronics</v>
      </c>
      <c r="U1309" t="str">
        <f t="shared" si="142"/>
        <v>VALID</v>
      </c>
      <c r="V1309" t="str">
        <f t="shared" si="143"/>
        <v>NORMAL</v>
      </c>
      <c r="W1309" t="str">
        <f t="shared" si="144"/>
        <v>Valid</v>
      </c>
      <c r="X1309">
        <f t="shared" si="146"/>
        <v>65589.279999999999</v>
      </c>
      <c r="Y1309">
        <f t="shared" si="145"/>
        <v>52471.423999999999</v>
      </c>
    </row>
    <row r="1310" spans="1:25" x14ac:dyDescent="0.3">
      <c r="A1310" t="s">
        <v>1659</v>
      </c>
      <c r="B1310" s="1">
        <v>46015</v>
      </c>
      <c r="C1310" t="s">
        <v>327</v>
      </c>
      <c r="D1310" t="s">
        <v>45</v>
      </c>
      <c r="E1310" t="s">
        <v>46</v>
      </c>
      <c r="F1310" t="s">
        <v>31</v>
      </c>
      <c r="G1310" t="s">
        <v>32</v>
      </c>
      <c r="H1310" t="s">
        <v>33</v>
      </c>
      <c r="I1310">
        <v>3</v>
      </c>
      <c r="J1310">
        <v>1736.46</v>
      </c>
      <c r="K1310">
        <v>0.05</v>
      </c>
      <c r="L1310">
        <v>4948.91</v>
      </c>
      <c r="M1310" t="s">
        <v>76</v>
      </c>
      <c r="N1310" t="s">
        <v>49</v>
      </c>
      <c r="O1310" t="s">
        <v>65</v>
      </c>
      <c r="P1310" t="s">
        <v>50</v>
      </c>
      <c r="Q1310" t="str">
        <f t="shared" si="140"/>
        <v>Completed</v>
      </c>
      <c r="R1310" t="str">
        <f t="shared" si="141"/>
        <v>Store</v>
      </c>
      <c r="S1310" t="str">
        <v>Net Banking</v>
      </c>
      <c r="T1310" t="str">
        <v>Electronics</v>
      </c>
      <c r="U1310" t="str">
        <f t="shared" si="142"/>
        <v>VALID</v>
      </c>
      <c r="V1310" t="str">
        <f t="shared" si="143"/>
        <v>NORMAL</v>
      </c>
      <c r="W1310" t="str">
        <f t="shared" si="144"/>
        <v>Valid</v>
      </c>
      <c r="X1310">
        <f t="shared" si="146"/>
        <v>5209.38</v>
      </c>
      <c r="Y1310">
        <f t="shared" si="145"/>
        <v>4948.9110000000001</v>
      </c>
    </row>
    <row r="1311" spans="1:25" x14ac:dyDescent="0.3">
      <c r="A1311" t="s">
        <v>1660</v>
      </c>
      <c r="B1311" s="1">
        <v>46155</v>
      </c>
      <c r="C1311" t="s">
        <v>1257</v>
      </c>
      <c r="D1311" t="s">
        <v>53</v>
      </c>
      <c r="E1311" t="s">
        <v>54</v>
      </c>
      <c r="F1311" t="s">
        <v>55</v>
      </c>
      <c r="G1311" t="s">
        <v>32</v>
      </c>
      <c r="H1311" t="s">
        <v>75</v>
      </c>
      <c r="I1311">
        <v>2</v>
      </c>
      <c r="J1311">
        <v>221.01</v>
      </c>
      <c r="K1311">
        <v>0.05</v>
      </c>
      <c r="L1311">
        <v>419.92</v>
      </c>
      <c r="M1311" t="s">
        <v>23</v>
      </c>
      <c r="N1311" t="s">
        <v>34</v>
      </c>
      <c r="O1311" t="s">
        <v>65</v>
      </c>
      <c r="P1311" t="s">
        <v>59</v>
      </c>
      <c r="Q1311" t="str">
        <f t="shared" si="140"/>
        <v>Completed</v>
      </c>
      <c r="R1311" t="str">
        <f t="shared" si="141"/>
        <v>Online</v>
      </c>
      <c r="S1311" t="str">
        <v>Cash On Delivery</v>
      </c>
      <c r="T1311" t="str">
        <v>Stationery</v>
      </c>
      <c r="U1311" t="str">
        <f t="shared" si="142"/>
        <v>VALID</v>
      </c>
      <c r="V1311" t="str">
        <f t="shared" si="143"/>
        <v>NORMAL</v>
      </c>
      <c r="W1311" t="str">
        <f t="shared" si="144"/>
        <v>Valid</v>
      </c>
      <c r="X1311">
        <f t="shared" si="146"/>
        <v>442.02</v>
      </c>
      <c r="Y1311">
        <f t="shared" si="145"/>
        <v>419.91899999999998</v>
      </c>
    </row>
    <row r="1312" spans="1:25" x14ac:dyDescent="0.3">
      <c r="A1312" t="s">
        <v>1661</v>
      </c>
      <c r="B1312" s="1">
        <v>45300</v>
      </c>
      <c r="C1312" t="s">
        <v>468</v>
      </c>
      <c r="D1312" t="s">
        <v>85</v>
      </c>
      <c r="E1312" t="s">
        <v>86</v>
      </c>
      <c r="F1312" t="s">
        <v>20</v>
      </c>
      <c r="G1312" t="s">
        <v>21</v>
      </c>
      <c r="H1312" t="s">
        <v>22</v>
      </c>
      <c r="I1312">
        <v>5</v>
      </c>
      <c r="J1312">
        <v>1814.54</v>
      </c>
      <c r="K1312">
        <v>0.03</v>
      </c>
      <c r="L1312">
        <v>8800.52</v>
      </c>
      <c r="M1312" t="s">
        <v>23</v>
      </c>
      <c r="N1312" t="s">
        <v>24</v>
      </c>
      <c r="O1312" t="s">
        <v>65</v>
      </c>
      <c r="P1312" t="s">
        <v>50</v>
      </c>
      <c r="Q1312" t="str">
        <f t="shared" si="140"/>
        <v>Completed</v>
      </c>
      <c r="R1312" t="str">
        <f t="shared" si="141"/>
        <v>Online</v>
      </c>
      <c r="S1312" t="str">
        <v>Debit Card</v>
      </c>
      <c r="T1312" t="str">
        <v>Accessories</v>
      </c>
      <c r="U1312" t="str">
        <f t="shared" si="142"/>
        <v>VALID</v>
      </c>
      <c r="V1312" t="str">
        <f t="shared" si="143"/>
        <v>NORMAL</v>
      </c>
      <c r="W1312" t="str">
        <f t="shared" si="144"/>
        <v>Valid</v>
      </c>
      <c r="X1312">
        <f t="shared" si="146"/>
        <v>9072.7000000000007</v>
      </c>
      <c r="Y1312">
        <f t="shared" si="145"/>
        <v>8800.5190000000002</v>
      </c>
    </row>
    <row r="1313" spans="1:25" x14ac:dyDescent="0.3">
      <c r="A1313" t="s">
        <v>1662</v>
      </c>
      <c r="B1313" s="1">
        <v>45625</v>
      </c>
      <c r="C1313" t="s">
        <v>526</v>
      </c>
      <c r="D1313" t="s">
        <v>18</v>
      </c>
      <c r="E1313" t="s">
        <v>19</v>
      </c>
      <c r="F1313" t="s">
        <v>20</v>
      </c>
      <c r="G1313" t="s">
        <v>32</v>
      </c>
      <c r="H1313" t="s">
        <v>47</v>
      </c>
      <c r="I1313">
        <v>3</v>
      </c>
      <c r="J1313">
        <v>800.52</v>
      </c>
      <c r="K1313">
        <v>0.05</v>
      </c>
      <c r="L1313">
        <v>2281.48</v>
      </c>
      <c r="M1313" t="s">
        <v>23</v>
      </c>
      <c r="N1313" t="s">
        <v>34</v>
      </c>
      <c r="O1313" t="s">
        <v>65</v>
      </c>
      <c r="P1313" t="s">
        <v>26</v>
      </c>
      <c r="Q1313" t="str">
        <f t="shared" si="140"/>
        <v>Completed</v>
      </c>
      <c r="R1313" t="str">
        <f t="shared" si="141"/>
        <v>Online</v>
      </c>
      <c r="S1313" t="str">
        <v>Cash On Delivery</v>
      </c>
      <c r="T1313" t="str">
        <v>Accessories</v>
      </c>
      <c r="U1313" t="str">
        <f t="shared" si="142"/>
        <v>VALID</v>
      </c>
      <c r="V1313" t="str">
        <f t="shared" si="143"/>
        <v>NORMAL</v>
      </c>
      <c r="W1313" t="str">
        <f t="shared" si="144"/>
        <v>Valid</v>
      </c>
      <c r="X1313">
        <f t="shared" si="146"/>
        <v>2401.56</v>
      </c>
      <c r="Y1313">
        <f t="shared" si="145"/>
        <v>2281.482</v>
      </c>
    </row>
    <row r="1314" spans="1:25" x14ac:dyDescent="0.3">
      <c r="A1314" t="s">
        <v>1663</v>
      </c>
      <c r="B1314" s="1">
        <v>46159</v>
      </c>
      <c r="C1314" t="s">
        <v>946</v>
      </c>
      <c r="D1314" t="s">
        <v>18</v>
      </c>
      <c r="E1314" t="s">
        <v>19</v>
      </c>
      <c r="F1314" t="s">
        <v>20</v>
      </c>
      <c r="G1314" t="s">
        <v>21</v>
      </c>
      <c r="H1314" t="s">
        <v>41</v>
      </c>
      <c r="I1314">
        <v>2</v>
      </c>
      <c r="J1314">
        <v>787.17</v>
      </c>
      <c r="K1314">
        <v>0.1</v>
      </c>
      <c r="L1314">
        <v>1416.91</v>
      </c>
      <c r="M1314" t="s">
        <v>23</v>
      </c>
      <c r="N1314" t="s">
        <v>34</v>
      </c>
      <c r="O1314" t="s">
        <v>25</v>
      </c>
      <c r="P1314" t="s">
        <v>72</v>
      </c>
      <c r="Q1314" t="str">
        <f t="shared" si="140"/>
        <v>Returned</v>
      </c>
      <c r="R1314" t="str">
        <f t="shared" si="141"/>
        <v>Online</v>
      </c>
      <c r="S1314" t="str">
        <v>Cash On Delivery</v>
      </c>
      <c r="T1314" t="str">
        <v>Accessories</v>
      </c>
      <c r="U1314" t="str">
        <f t="shared" si="142"/>
        <v>VALID</v>
      </c>
      <c r="V1314" t="str">
        <f t="shared" si="143"/>
        <v>NORMAL</v>
      </c>
      <c r="W1314" t="str">
        <f t="shared" si="144"/>
        <v>Valid</v>
      </c>
      <c r="X1314">
        <f t="shared" si="146"/>
        <v>1574.34</v>
      </c>
      <c r="Y1314">
        <f t="shared" si="145"/>
        <v>1416.9059999999999</v>
      </c>
    </row>
    <row r="1315" spans="1:25" x14ac:dyDescent="0.3">
      <c r="A1315" t="s">
        <v>1664</v>
      </c>
      <c r="B1315" s="1">
        <v>45966</v>
      </c>
      <c r="C1315" t="s">
        <v>251</v>
      </c>
      <c r="D1315" t="s">
        <v>176</v>
      </c>
      <c r="E1315" t="s">
        <v>177</v>
      </c>
      <c r="F1315" t="s">
        <v>31</v>
      </c>
      <c r="G1315" t="s">
        <v>81</v>
      </c>
      <c r="H1315" t="s">
        <v>98</v>
      </c>
      <c r="I1315">
        <v>5</v>
      </c>
      <c r="J1315">
        <v>2358.02</v>
      </c>
      <c r="K1315">
        <v>0</v>
      </c>
      <c r="L1315">
        <v>11790.1</v>
      </c>
      <c r="M1315" t="s">
        <v>23</v>
      </c>
      <c r="N1315" t="s">
        <v>58</v>
      </c>
      <c r="O1315" t="s">
        <v>65</v>
      </c>
      <c r="P1315" t="s">
        <v>50</v>
      </c>
      <c r="Q1315" t="str">
        <f t="shared" si="140"/>
        <v>Completed</v>
      </c>
      <c r="R1315" t="str">
        <f t="shared" si="141"/>
        <v>Online</v>
      </c>
      <c r="S1315" t="str">
        <v>Credit Card</v>
      </c>
      <c r="T1315" t="str">
        <v>Electronics</v>
      </c>
      <c r="U1315" t="str">
        <f t="shared" si="142"/>
        <v>VALID</v>
      </c>
      <c r="V1315" t="str">
        <f t="shared" si="143"/>
        <v>NORMAL</v>
      </c>
      <c r="W1315" t="str">
        <f t="shared" si="144"/>
        <v>Valid</v>
      </c>
      <c r="X1315">
        <f t="shared" si="146"/>
        <v>11790.1</v>
      </c>
      <c r="Y1315">
        <f t="shared" si="145"/>
        <v>11790.1</v>
      </c>
    </row>
    <row r="1316" spans="1:25" x14ac:dyDescent="0.3">
      <c r="A1316" t="s">
        <v>1665</v>
      </c>
      <c r="B1316" s="1">
        <v>45813</v>
      </c>
      <c r="C1316" t="s">
        <v>871</v>
      </c>
      <c r="D1316" t="s">
        <v>170</v>
      </c>
      <c r="E1316" t="s">
        <v>171</v>
      </c>
      <c r="F1316" t="s">
        <v>31</v>
      </c>
      <c r="G1316" t="s">
        <v>56</v>
      </c>
      <c r="H1316" t="s">
        <v>101</v>
      </c>
      <c r="I1316">
        <v>2</v>
      </c>
      <c r="J1316">
        <v>63355.79</v>
      </c>
      <c r="K1316">
        <v>0.2</v>
      </c>
      <c r="L1316">
        <v>101369.26</v>
      </c>
      <c r="M1316" t="s">
        <v>76</v>
      </c>
      <c r="N1316" t="s">
        <v>34</v>
      </c>
      <c r="O1316" t="s">
        <v>35</v>
      </c>
      <c r="P1316" t="s">
        <v>102</v>
      </c>
      <c r="Q1316" t="str">
        <f t="shared" si="140"/>
        <v>Cancelled</v>
      </c>
      <c r="R1316" t="str">
        <f t="shared" si="141"/>
        <v>Store</v>
      </c>
      <c r="S1316" t="str">
        <v>Cash On Delivery</v>
      </c>
      <c r="T1316" t="str">
        <v>Electronics</v>
      </c>
      <c r="U1316" t="str">
        <f t="shared" si="142"/>
        <v>VALID</v>
      </c>
      <c r="V1316" t="str">
        <f t="shared" si="143"/>
        <v>NORMAL</v>
      </c>
      <c r="W1316" t="str">
        <f t="shared" si="144"/>
        <v>Valid</v>
      </c>
      <c r="X1316">
        <f t="shared" si="146"/>
        <v>126711.58</v>
      </c>
      <c r="Y1316">
        <f t="shared" si="145"/>
        <v>101369.264</v>
      </c>
    </row>
    <row r="1317" spans="1:25" x14ac:dyDescent="0.3">
      <c r="A1317" t="s">
        <v>1666</v>
      </c>
      <c r="B1317" s="1">
        <v>45794</v>
      </c>
      <c r="C1317" t="s">
        <v>1498</v>
      </c>
      <c r="D1317" t="s">
        <v>62</v>
      </c>
      <c r="E1317" t="s">
        <v>63</v>
      </c>
      <c r="F1317" t="s">
        <v>31</v>
      </c>
      <c r="G1317" t="s">
        <v>21</v>
      </c>
      <c r="H1317" t="s">
        <v>126</v>
      </c>
      <c r="I1317">
        <v>4</v>
      </c>
      <c r="J1317">
        <v>2848.64</v>
      </c>
      <c r="K1317">
        <v>0.1</v>
      </c>
      <c r="L1317">
        <v>10255.1</v>
      </c>
      <c r="M1317" t="s">
        <v>23</v>
      </c>
      <c r="N1317" t="s">
        <v>49</v>
      </c>
      <c r="O1317" t="s">
        <v>65</v>
      </c>
      <c r="P1317" t="s">
        <v>26</v>
      </c>
      <c r="Q1317" t="str">
        <f t="shared" si="140"/>
        <v>Completed</v>
      </c>
      <c r="R1317" t="str">
        <f t="shared" si="141"/>
        <v>Online</v>
      </c>
      <c r="S1317" t="str">
        <v>Net Banking</v>
      </c>
      <c r="T1317" t="str">
        <v>Electronics</v>
      </c>
      <c r="U1317" t="str">
        <f t="shared" si="142"/>
        <v>VALID</v>
      </c>
      <c r="V1317" t="str">
        <f t="shared" si="143"/>
        <v>NORMAL</v>
      </c>
      <c r="W1317" t="str">
        <f t="shared" si="144"/>
        <v>Valid</v>
      </c>
      <c r="X1317">
        <f t="shared" si="146"/>
        <v>11394.56</v>
      </c>
      <c r="Y1317">
        <f t="shared" si="145"/>
        <v>10255.103999999999</v>
      </c>
    </row>
    <row r="1318" spans="1:25" x14ac:dyDescent="0.3">
      <c r="A1318" t="s">
        <v>1667</v>
      </c>
      <c r="B1318" s="1">
        <v>45494</v>
      </c>
      <c r="C1318" t="s">
        <v>208</v>
      </c>
      <c r="D1318" t="s">
        <v>18</v>
      </c>
      <c r="E1318" t="s">
        <v>19</v>
      </c>
      <c r="F1318" t="s">
        <v>20</v>
      </c>
      <c r="G1318" t="s">
        <v>32</v>
      </c>
      <c r="H1318" t="s">
        <v>33</v>
      </c>
      <c r="I1318">
        <v>1</v>
      </c>
      <c r="J1318">
        <v>882.23</v>
      </c>
      <c r="K1318">
        <v>0.05</v>
      </c>
      <c r="L1318">
        <v>838.12</v>
      </c>
      <c r="M1318" t="s">
        <v>23</v>
      </c>
      <c r="N1318" t="s">
        <v>34</v>
      </c>
      <c r="O1318" t="s">
        <v>25</v>
      </c>
      <c r="P1318" t="s">
        <v>102</v>
      </c>
      <c r="Q1318" t="str">
        <f t="shared" si="140"/>
        <v>Returned</v>
      </c>
      <c r="R1318" t="str">
        <f t="shared" si="141"/>
        <v>Online</v>
      </c>
      <c r="S1318" t="str">
        <v>Cash On Delivery</v>
      </c>
      <c r="T1318" t="str">
        <v>Accessories</v>
      </c>
      <c r="U1318" t="str">
        <f t="shared" si="142"/>
        <v>VALID</v>
      </c>
      <c r="V1318" t="str">
        <f t="shared" si="143"/>
        <v>NORMAL</v>
      </c>
      <c r="W1318" t="str">
        <f t="shared" si="144"/>
        <v>Valid</v>
      </c>
      <c r="X1318">
        <f t="shared" si="146"/>
        <v>882.23</v>
      </c>
      <c r="Y1318">
        <f t="shared" si="145"/>
        <v>838.11850000000004</v>
      </c>
    </row>
    <row r="1319" spans="1:25" x14ac:dyDescent="0.3">
      <c r="A1319" t="s">
        <v>1668</v>
      </c>
      <c r="B1319" s="1">
        <v>45569</v>
      </c>
      <c r="C1319" t="s">
        <v>365</v>
      </c>
      <c r="D1319" t="s">
        <v>121</v>
      </c>
      <c r="E1319" t="s">
        <v>122</v>
      </c>
      <c r="F1319" t="s">
        <v>55</v>
      </c>
      <c r="G1319" t="s">
        <v>81</v>
      </c>
      <c r="H1319" t="s">
        <v>87</v>
      </c>
      <c r="I1319">
        <v>5</v>
      </c>
      <c r="J1319">
        <v>431.79</v>
      </c>
      <c r="K1319">
        <v>0.2</v>
      </c>
      <c r="L1319">
        <v>1727.16</v>
      </c>
      <c r="M1319" t="s">
        <v>76</v>
      </c>
      <c r="N1319" t="s">
        <v>58</v>
      </c>
      <c r="O1319" t="s">
        <v>35</v>
      </c>
      <c r="P1319" t="s">
        <v>102</v>
      </c>
      <c r="Q1319" t="str">
        <f t="shared" si="140"/>
        <v>Cancelled</v>
      </c>
      <c r="R1319" t="str">
        <f t="shared" si="141"/>
        <v>Store</v>
      </c>
      <c r="S1319" t="str">
        <v>Credit Card</v>
      </c>
      <c r="T1319" t="str">
        <v>Stationery</v>
      </c>
      <c r="U1319" t="str">
        <f t="shared" si="142"/>
        <v>VALID</v>
      </c>
      <c r="V1319" t="str">
        <f t="shared" si="143"/>
        <v>NORMAL</v>
      </c>
      <c r="W1319" t="str">
        <f t="shared" si="144"/>
        <v>Valid</v>
      </c>
      <c r="X1319">
        <f t="shared" si="146"/>
        <v>2158.9500000000003</v>
      </c>
      <c r="Y1319">
        <f t="shared" si="145"/>
        <v>1727.1600000000003</v>
      </c>
    </row>
    <row r="1320" spans="1:25" x14ac:dyDescent="0.3">
      <c r="A1320" t="s">
        <v>1669</v>
      </c>
      <c r="B1320" s="1">
        <v>46128</v>
      </c>
      <c r="C1320" t="s">
        <v>269</v>
      </c>
      <c r="D1320" t="s">
        <v>121</v>
      </c>
      <c r="E1320" t="s">
        <v>122</v>
      </c>
      <c r="F1320" t="s">
        <v>55</v>
      </c>
      <c r="G1320" t="s">
        <v>32</v>
      </c>
      <c r="H1320" t="s">
        <v>75</v>
      </c>
      <c r="I1320">
        <v>4</v>
      </c>
      <c r="J1320">
        <v>459.21</v>
      </c>
      <c r="K1320">
        <v>0.03</v>
      </c>
      <c r="L1320">
        <v>1781.73</v>
      </c>
      <c r="M1320" t="s">
        <v>48</v>
      </c>
      <c r="N1320" t="s">
        <v>34</v>
      </c>
      <c r="O1320" t="s">
        <v>35</v>
      </c>
      <c r="P1320" t="s">
        <v>116</v>
      </c>
      <c r="Q1320" t="str">
        <f t="shared" si="140"/>
        <v>Cancelled</v>
      </c>
      <c r="R1320" t="str">
        <f t="shared" si="141"/>
        <v>Marketplace</v>
      </c>
      <c r="S1320" t="str">
        <v>Cash On Delivery</v>
      </c>
      <c r="T1320" t="str">
        <v>Stationery</v>
      </c>
      <c r="U1320" t="str">
        <f t="shared" si="142"/>
        <v>VALID</v>
      </c>
      <c r="V1320" t="str">
        <f t="shared" si="143"/>
        <v>NORMAL</v>
      </c>
      <c r="W1320" t="str">
        <f t="shared" si="144"/>
        <v>Valid</v>
      </c>
      <c r="X1320">
        <f t="shared" si="146"/>
        <v>1836.84</v>
      </c>
      <c r="Y1320">
        <f t="shared" si="145"/>
        <v>1781.7348</v>
      </c>
    </row>
    <row r="1321" spans="1:25" x14ac:dyDescent="0.3">
      <c r="A1321" t="s">
        <v>1670</v>
      </c>
      <c r="B1321" s="1">
        <v>45656</v>
      </c>
      <c r="C1321" t="s">
        <v>70</v>
      </c>
      <c r="D1321" t="s">
        <v>121</v>
      </c>
      <c r="E1321" t="s">
        <v>122</v>
      </c>
      <c r="F1321" t="s">
        <v>55</v>
      </c>
      <c r="G1321" t="s">
        <v>32</v>
      </c>
      <c r="H1321" t="s">
        <v>33</v>
      </c>
      <c r="I1321">
        <v>2</v>
      </c>
      <c r="J1321">
        <v>415.63</v>
      </c>
      <c r="K1321">
        <v>0.08</v>
      </c>
      <c r="L1321">
        <v>764.76</v>
      </c>
      <c r="M1321" t="s">
        <v>23</v>
      </c>
      <c r="N1321" t="s">
        <v>49</v>
      </c>
      <c r="O1321" t="s">
        <v>65</v>
      </c>
      <c r="P1321" t="s">
        <v>50</v>
      </c>
      <c r="Q1321" t="str">
        <f t="shared" si="140"/>
        <v>Completed</v>
      </c>
      <c r="R1321" t="str">
        <f t="shared" si="141"/>
        <v>Online</v>
      </c>
      <c r="S1321" t="str">
        <v>Net Banking</v>
      </c>
      <c r="T1321" t="str">
        <v>Stationery</v>
      </c>
      <c r="U1321" t="str">
        <f t="shared" si="142"/>
        <v>VALID</v>
      </c>
      <c r="V1321" t="str">
        <f t="shared" si="143"/>
        <v>NORMAL</v>
      </c>
      <c r="W1321" t="str">
        <f t="shared" si="144"/>
        <v>Valid</v>
      </c>
      <c r="X1321">
        <f t="shared" si="146"/>
        <v>831.26</v>
      </c>
      <c r="Y1321">
        <f t="shared" si="145"/>
        <v>764.75919999999996</v>
      </c>
    </row>
    <row r="1322" spans="1:25" x14ac:dyDescent="0.3">
      <c r="A1322" t="s">
        <v>1671</v>
      </c>
      <c r="B1322" s="1">
        <v>45706</v>
      </c>
      <c r="C1322" t="s">
        <v>184</v>
      </c>
      <c r="D1322" t="s">
        <v>85</v>
      </c>
      <c r="E1322" t="s">
        <v>86</v>
      </c>
      <c r="F1322" t="s">
        <v>20</v>
      </c>
      <c r="G1322" t="s">
        <v>81</v>
      </c>
      <c r="H1322" t="s">
        <v>82</v>
      </c>
      <c r="I1322">
        <v>2</v>
      </c>
      <c r="J1322">
        <v>1656.54</v>
      </c>
      <c r="K1322">
        <v>0.05</v>
      </c>
      <c r="L1322">
        <v>3147.43</v>
      </c>
      <c r="M1322" t="s">
        <v>48</v>
      </c>
      <c r="N1322" t="s">
        <v>24</v>
      </c>
      <c r="O1322" t="s">
        <v>65</v>
      </c>
      <c r="P1322" t="s">
        <v>59</v>
      </c>
      <c r="Q1322" t="str">
        <f t="shared" si="140"/>
        <v>Completed</v>
      </c>
      <c r="R1322" t="str">
        <f t="shared" si="141"/>
        <v>Marketplace</v>
      </c>
      <c r="S1322" t="str">
        <v>Debit Card</v>
      </c>
      <c r="T1322" t="str">
        <v>Accessories</v>
      </c>
      <c r="U1322" t="str">
        <f t="shared" si="142"/>
        <v>VALID</v>
      </c>
      <c r="V1322" t="str">
        <f t="shared" si="143"/>
        <v>NORMAL</v>
      </c>
      <c r="W1322" t="str">
        <f t="shared" si="144"/>
        <v>Valid</v>
      </c>
      <c r="X1322">
        <f t="shared" si="146"/>
        <v>3313.08</v>
      </c>
      <c r="Y1322">
        <f t="shared" si="145"/>
        <v>3147.4259999999999</v>
      </c>
    </row>
    <row r="1323" spans="1:25" x14ac:dyDescent="0.3">
      <c r="A1323" t="s">
        <v>1672</v>
      </c>
      <c r="B1323" s="1">
        <v>45419</v>
      </c>
      <c r="C1323" t="s">
        <v>304</v>
      </c>
      <c r="D1323" t="s">
        <v>79</v>
      </c>
      <c r="E1323" t="s">
        <v>80</v>
      </c>
      <c r="F1323" t="s">
        <v>31</v>
      </c>
      <c r="G1323" t="s">
        <v>56</v>
      </c>
      <c r="H1323" t="s">
        <v>101</v>
      </c>
      <c r="I1323">
        <v>3</v>
      </c>
      <c r="J1323">
        <v>12774.81</v>
      </c>
      <c r="K1323">
        <v>0.08</v>
      </c>
      <c r="L1323">
        <v>35258.480000000003</v>
      </c>
      <c r="M1323" t="s">
        <v>76</v>
      </c>
      <c r="N1323" t="s">
        <v>71</v>
      </c>
      <c r="O1323" t="s">
        <v>65</v>
      </c>
      <c r="P1323" t="s">
        <v>111</v>
      </c>
      <c r="Q1323" t="str">
        <f t="shared" si="140"/>
        <v>Completed</v>
      </c>
      <c r="R1323" t="str">
        <f t="shared" si="141"/>
        <v>Store</v>
      </c>
      <c r="S1323" t="str">
        <v>Upi</v>
      </c>
      <c r="T1323" t="str">
        <v>Electronics</v>
      </c>
      <c r="U1323" t="str">
        <f t="shared" si="142"/>
        <v>VALID</v>
      </c>
      <c r="V1323" t="str">
        <f t="shared" si="143"/>
        <v>NORMAL</v>
      </c>
      <c r="W1323" t="str">
        <f t="shared" si="144"/>
        <v>Valid</v>
      </c>
      <c r="X1323">
        <f t="shared" si="146"/>
        <v>38324.43</v>
      </c>
      <c r="Y1323">
        <f t="shared" si="145"/>
        <v>35258.475599999998</v>
      </c>
    </row>
    <row r="1324" spans="1:25" x14ac:dyDescent="0.3">
      <c r="A1324" t="s">
        <v>1673</v>
      </c>
      <c r="B1324" s="1">
        <v>45617</v>
      </c>
      <c r="C1324" t="s">
        <v>141</v>
      </c>
      <c r="D1324" t="s">
        <v>121</v>
      </c>
      <c r="E1324" t="s">
        <v>122</v>
      </c>
      <c r="F1324" t="s">
        <v>55</v>
      </c>
      <c r="G1324" t="s">
        <v>81</v>
      </c>
      <c r="H1324" t="s">
        <v>135</v>
      </c>
      <c r="I1324">
        <v>1</v>
      </c>
      <c r="J1324">
        <v>461.53</v>
      </c>
      <c r="K1324">
        <v>0.05</v>
      </c>
      <c r="L1324">
        <v>438.45</v>
      </c>
      <c r="M1324" t="s">
        <v>76</v>
      </c>
      <c r="N1324" t="s">
        <v>49</v>
      </c>
      <c r="O1324" t="s">
        <v>65</v>
      </c>
      <c r="P1324" t="s">
        <v>72</v>
      </c>
      <c r="Q1324" t="str">
        <f t="shared" si="140"/>
        <v>Completed</v>
      </c>
      <c r="R1324" t="str">
        <f t="shared" si="141"/>
        <v>Store</v>
      </c>
      <c r="S1324" t="str">
        <v>Net Banking</v>
      </c>
      <c r="T1324" t="str">
        <v>Stationery</v>
      </c>
      <c r="U1324" t="str">
        <f t="shared" si="142"/>
        <v>VALID</v>
      </c>
      <c r="V1324" t="str">
        <f t="shared" si="143"/>
        <v>NORMAL</v>
      </c>
      <c r="W1324" t="str">
        <f t="shared" si="144"/>
        <v>Valid</v>
      </c>
      <c r="X1324">
        <f t="shared" si="146"/>
        <v>461.53</v>
      </c>
      <c r="Y1324">
        <f t="shared" si="145"/>
        <v>438.45349999999996</v>
      </c>
    </row>
    <row r="1325" spans="1:25" x14ac:dyDescent="0.3">
      <c r="A1325" t="s">
        <v>1674</v>
      </c>
      <c r="B1325" s="1">
        <v>45666</v>
      </c>
      <c r="C1325" t="s">
        <v>325</v>
      </c>
      <c r="D1325" t="s">
        <v>38</v>
      </c>
      <c r="E1325" t="s">
        <v>39</v>
      </c>
      <c r="F1325" t="s">
        <v>40</v>
      </c>
      <c r="G1325" t="s">
        <v>21</v>
      </c>
      <c r="H1325" t="s">
        <v>41</v>
      </c>
      <c r="I1325">
        <v>4</v>
      </c>
      <c r="J1325">
        <v>1548.53</v>
      </c>
      <c r="K1325">
        <v>0</v>
      </c>
      <c r="L1325">
        <v>6194.12</v>
      </c>
      <c r="M1325" t="s">
        <v>76</v>
      </c>
      <c r="N1325" t="s">
        <v>49</v>
      </c>
      <c r="O1325" t="s">
        <v>65</v>
      </c>
      <c r="P1325" t="s">
        <v>59</v>
      </c>
      <c r="Q1325" t="str">
        <f t="shared" si="140"/>
        <v>Completed</v>
      </c>
      <c r="R1325" t="str">
        <f t="shared" si="141"/>
        <v>Store</v>
      </c>
      <c r="S1325" t="str">
        <v>Net Banking</v>
      </c>
      <c r="T1325" t="str">
        <v>Furniture</v>
      </c>
      <c r="U1325" t="str">
        <f t="shared" si="142"/>
        <v>VALID</v>
      </c>
      <c r="V1325" t="str">
        <f t="shared" si="143"/>
        <v>NORMAL</v>
      </c>
      <c r="W1325" t="str">
        <f t="shared" si="144"/>
        <v>Valid</v>
      </c>
      <c r="X1325">
        <f t="shared" si="146"/>
        <v>6194.12</v>
      </c>
      <c r="Y1325">
        <f t="shared" si="145"/>
        <v>6194.12</v>
      </c>
    </row>
    <row r="1326" spans="1:25" x14ac:dyDescent="0.3">
      <c r="A1326" t="s">
        <v>1675</v>
      </c>
      <c r="B1326" s="1">
        <v>46173</v>
      </c>
      <c r="C1326" t="s">
        <v>949</v>
      </c>
      <c r="D1326" t="s">
        <v>79</v>
      </c>
      <c r="E1326" t="s">
        <v>80</v>
      </c>
      <c r="F1326" t="s">
        <v>31</v>
      </c>
      <c r="G1326" t="s">
        <v>81</v>
      </c>
      <c r="H1326" t="s">
        <v>87</v>
      </c>
      <c r="I1326">
        <v>4</v>
      </c>
      <c r="J1326">
        <v>11824.74</v>
      </c>
      <c r="K1326">
        <v>0.1</v>
      </c>
      <c r="L1326">
        <v>42569.06</v>
      </c>
      <c r="M1326" t="s">
        <v>23</v>
      </c>
      <c r="N1326" t="s">
        <v>71</v>
      </c>
      <c r="O1326" t="s">
        <v>35</v>
      </c>
      <c r="P1326" t="s">
        <v>26</v>
      </c>
      <c r="Q1326" t="str">
        <f t="shared" si="140"/>
        <v>Cancelled</v>
      </c>
      <c r="R1326" t="str">
        <f t="shared" si="141"/>
        <v>Online</v>
      </c>
      <c r="S1326" t="str">
        <v>Upi</v>
      </c>
      <c r="T1326" t="str">
        <v>Electronics</v>
      </c>
      <c r="U1326" t="str">
        <f t="shared" si="142"/>
        <v>VALID</v>
      </c>
      <c r="V1326" t="str">
        <f t="shared" si="143"/>
        <v>NORMAL</v>
      </c>
      <c r="W1326" t="str">
        <f t="shared" si="144"/>
        <v>Valid</v>
      </c>
      <c r="X1326">
        <f t="shared" si="146"/>
        <v>47298.96</v>
      </c>
      <c r="Y1326">
        <f t="shared" si="145"/>
        <v>42569.063999999998</v>
      </c>
    </row>
    <row r="1327" spans="1:25" x14ac:dyDescent="0.3">
      <c r="A1327" t="s">
        <v>1676</v>
      </c>
      <c r="B1327" s="1">
        <v>45878</v>
      </c>
      <c r="C1327" t="s">
        <v>480</v>
      </c>
      <c r="D1327" t="s">
        <v>38</v>
      </c>
      <c r="E1327" t="s">
        <v>39</v>
      </c>
      <c r="F1327" t="s">
        <v>40</v>
      </c>
      <c r="G1327" t="s">
        <v>81</v>
      </c>
      <c r="H1327" t="s">
        <v>82</v>
      </c>
      <c r="I1327">
        <v>4</v>
      </c>
      <c r="J1327">
        <v>1634.26</v>
      </c>
      <c r="K1327">
        <v>0</v>
      </c>
      <c r="L1327">
        <v>6537.04</v>
      </c>
      <c r="M1327" t="s">
        <v>76</v>
      </c>
      <c r="N1327" t="s">
        <v>49</v>
      </c>
      <c r="O1327" t="s">
        <v>25</v>
      </c>
      <c r="P1327" t="s">
        <v>50</v>
      </c>
      <c r="Q1327" t="str">
        <f t="shared" si="140"/>
        <v>Returned</v>
      </c>
      <c r="R1327" t="str">
        <f t="shared" si="141"/>
        <v>Store</v>
      </c>
      <c r="S1327" t="str">
        <v>Net Banking</v>
      </c>
      <c r="T1327" t="str">
        <v>Furniture</v>
      </c>
      <c r="U1327" t="str">
        <f t="shared" si="142"/>
        <v>VALID</v>
      </c>
      <c r="V1327" t="str">
        <f t="shared" si="143"/>
        <v>NORMAL</v>
      </c>
      <c r="W1327" t="str">
        <f t="shared" si="144"/>
        <v>Valid</v>
      </c>
      <c r="X1327">
        <f t="shared" si="146"/>
        <v>6537.04</v>
      </c>
      <c r="Y1327">
        <f t="shared" si="145"/>
        <v>6537.04</v>
      </c>
    </row>
    <row r="1328" spans="1:25" x14ac:dyDescent="0.3">
      <c r="A1328" t="s">
        <v>1677</v>
      </c>
      <c r="B1328" s="1">
        <v>46087</v>
      </c>
      <c r="C1328" t="s">
        <v>1678</v>
      </c>
      <c r="D1328" t="s">
        <v>29</v>
      </c>
      <c r="E1328" t="s">
        <v>30</v>
      </c>
      <c r="F1328" t="s">
        <v>31</v>
      </c>
      <c r="G1328" t="s">
        <v>81</v>
      </c>
      <c r="H1328" t="s">
        <v>82</v>
      </c>
      <c r="I1328">
        <v>5</v>
      </c>
      <c r="J1328">
        <v>3044.42</v>
      </c>
      <c r="K1328">
        <v>0.03</v>
      </c>
      <c r="L1328">
        <v>14765.44</v>
      </c>
      <c r="M1328" t="s">
        <v>48</v>
      </c>
      <c r="N1328" t="s">
        <v>49</v>
      </c>
      <c r="O1328" t="s">
        <v>65</v>
      </c>
      <c r="P1328" t="s">
        <v>111</v>
      </c>
      <c r="Q1328" t="str">
        <f t="shared" si="140"/>
        <v>Completed</v>
      </c>
      <c r="R1328" t="str">
        <f t="shared" si="141"/>
        <v>Marketplace</v>
      </c>
      <c r="S1328" t="str">
        <v>Net Banking</v>
      </c>
      <c r="T1328" t="str">
        <v>Electronics</v>
      </c>
      <c r="U1328" t="str">
        <f t="shared" si="142"/>
        <v>VALID</v>
      </c>
      <c r="V1328" t="str">
        <f t="shared" si="143"/>
        <v>NORMAL</v>
      </c>
      <c r="W1328" t="str">
        <f t="shared" si="144"/>
        <v>Valid</v>
      </c>
      <c r="X1328">
        <f t="shared" si="146"/>
        <v>15222.1</v>
      </c>
      <c r="Y1328">
        <f t="shared" si="145"/>
        <v>14765.437</v>
      </c>
    </row>
    <row r="1329" spans="1:25" x14ac:dyDescent="0.3">
      <c r="A1329" t="s">
        <v>1679</v>
      </c>
      <c r="B1329" s="1">
        <v>45336</v>
      </c>
      <c r="C1329" t="s">
        <v>362</v>
      </c>
      <c r="D1329" t="s">
        <v>38</v>
      </c>
      <c r="E1329" t="s">
        <v>39</v>
      </c>
      <c r="F1329" t="s">
        <v>40</v>
      </c>
      <c r="G1329" t="s">
        <v>56</v>
      </c>
      <c r="H1329" t="s">
        <v>57</v>
      </c>
      <c r="I1329">
        <v>4</v>
      </c>
      <c r="J1329">
        <v>1577.25</v>
      </c>
      <c r="K1329">
        <v>0.2</v>
      </c>
      <c r="L1329">
        <v>5047.2</v>
      </c>
      <c r="M1329" t="s">
        <v>23</v>
      </c>
      <c r="N1329" t="s">
        <v>24</v>
      </c>
      <c r="O1329" t="s">
        <v>65</v>
      </c>
      <c r="P1329" t="s">
        <v>116</v>
      </c>
      <c r="Q1329" t="str">
        <f t="shared" si="140"/>
        <v>Completed</v>
      </c>
      <c r="R1329" t="str">
        <f t="shared" si="141"/>
        <v>Online</v>
      </c>
      <c r="S1329" t="str">
        <v>Debit Card</v>
      </c>
      <c r="T1329" t="str">
        <v>Furniture</v>
      </c>
      <c r="U1329" t="str">
        <f t="shared" si="142"/>
        <v>VALID</v>
      </c>
      <c r="V1329" t="str">
        <f t="shared" si="143"/>
        <v>NORMAL</v>
      </c>
      <c r="W1329" t="str">
        <f t="shared" si="144"/>
        <v>Valid</v>
      </c>
      <c r="X1329">
        <f t="shared" si="146"/>
        <v>6309</v>
      </c>
      <c r="Y1329">
        <f t="shared" si="145"/>
        <v>5047.2</v>
      </c>
    </row>
    <row r="1330" spans="1:25" x14ac:dyDescent="0.3">
      <c r="A1330" t="s">
        <v>1680</v>
      </c>
      <c r="B1330" s="1">
        <v>45637</v>
      </c>
      <c r="C1330" t="s">
        <v>350</v>
      </c>
      <c r="D1330" t="s">
        <v>170</v>
      </c>
      <c r="E1330" t="s">
        <v>171</v>
      </c>
      <c r="F1330" t="s">
        <v>31</v>
      </c>
      <c r="G1330" t="s">
        <v>32</v>
      </c>
      <c r="H1330" t="s">
        <v>75</v>
      </c>
      <c r="I1330">
        <v>4</v>
      </c>
      <c r="J1330">
        <v>64778.98</v>
      </c>
      <c r="K1330">
        <v>0.08</v>
      </c>
      <c r="L1330">
        <v>238386.65</v>
      </c>
      <c r="M1330" t="s">
        <v>23</v>
      </c>
      <c r="N1330" t="s">
        <v>49</v>
      </c>
      <c r="O1330" t="s">
        <v>65</v>
      </c>
      <c r="P1330" t="s">
        <v>72</v>
      </c>
      <c r="Q1330" t="str">
        <f t="shared" si="140"/>
        <v>Completed</v>
      </c>
      <c r="R1330" t="str">
        <f t="shared" si="141"/>
        <v>Online</v>
      </c>
      <c r="S1330" t="str">
        <v>Net Banking</v>
      </c>
      <c r="T1330" t="str">
        <v>Electronics</v>
      </c>
      <c r="U1330" t="str">
        <f t="shared" si="142"/>
        <v>VALID</v>
      </c>
      <c r="V1330" t="str">
        <f t="shared" si="143"/>
        <v>NORMAL</v>
      </c>
      <c r="W1330" t="str">
        <f t="shared" si="144"/>
        <v>Valid</v>
      </c>
      <c r="X1330">
        <f t="shared" si="146"/>
        <v>259115.92</v>
      </c>
      <c r="Y1330">
        <f t="shared" si="145"/>
        <v>238386.64640000003</v>
      </c>
    </row>
    <row r="1331" spans="1:25" x14ac:dyDescent="0.3">
      <c r="A1331" t="s">
        <v>1681</v>
      </c>
      <c r="B1331" s="1">
        <v>45781</v>
      </c>
      <c r="C1331" t="s">
        <v>643</v>
      </c>
      <c r="D1331" t="s">
        <v>45</v>
      </c>
      <c r="E1331" t="s">
        <v>46</v>
      </c>
      <c r="F1331" t="s">
        <v>31</v>
      </c>
      <c r="G1331" t="s">
        <v>81</v>
      </c>
      <c r="H1331" t="s">
        <v>98</v>
      </c>
      <c r="I1331">
        <v>1</v>
      </c>
      <c r="J1331">
        <v>1941.01</v>
      </c>
      <c r="K1331">
        <v>0.03</v>
      </c>
      <c r="L1331">
        <v>1882.78</v>
      </c>
      <c r="M1331" t="s">
        <v>23</v>
      </c>
      <c r="N1331" t="s">
        <v>58</v>
      </c>
      <c r="O1331" t="s">
        <v>65</v>
      </c>
      <c r="P1331" t="s">
        <v>42</v>
      </c>
      <c r="Q1331" t="str">
        <f t="shared" si="140"/>
        <v>Completed</v>
      </c>
      <c r="R1331" t="str">
        <f t="shared" si="141"/>
        <v>Online</v>
      </c>
      <c r="S1331" t="str">
        <v>Credit Card</v>
      </c>
      <c r="T1331" t="str">
        <v>Electronics</v>
      </c>
      <c r="U1331" t="str">
        <f t="shared" si="142"/>
        <v>VALID</v>
      </c>
      <c r="V1331" t="str">
        <f t="shared" si="143"/>
        <v>NORMAL</v>
      </c>
      <c r="W1331" t="str">
        <f t="shared" si="144"/>
        <v>Valid</v>
      </c>
      <c r="X1331">
        <f t="shared" si="146"/>
        <v>1941.01</v>
      </c>
      <c r="Y1331">
        <f t="shared" si="145"/>
        <v>1882.7797</v>
      </c>
    </row>
    <row r="1332" spans="1:25" x14ac:dyDescent="0.3">
      <c r="A1332" t="s">
        <v>1682</v>
      </c>
      <c r="B1332" s="1">
        <v>46175</v>
      </c>
      <c r="C1332" t="s">
        <v>355</v>
      </c>
      <c r="D1332" t="s">
        <v>105</v>
      </c>
      <c r="E1332" t="s">
        <v>106</v>
      </c>
      <c r="F1332" t="s">
        <v>40</v>
      </c>
      <c r="G1332" t="s">
        <v>21</v>
      </c>
      <c r="H1332" t="s">
        <v>22</v>
      </c>
      <c r="I1332">
        <v>4</v>
      </c>
      <c r="J1332">
        <v>7154.23</v>
      </c>
      <c r="K1332">
        <v>0</v>
      </c>
      <c r="L1332">
        <v>28616.92</v>
      </c>
      <c r="M1332" t="s">
        <v>76</v>
      </c>
      <c r="N1332" t="s">
        <v>58</v>
      </c>
      <c r="O1332" t="s">
        <v>65</v>
      </c>
      <c r="P1332" t="s">
        <v>116</v>
      </c>
      <c r="Q1332" t="str">
        <f t="shared" si="140"/>
        <v>Completed</v>
      </c>
      <c r="R1332" t="str">
        <f t="shared" si="141"/>
        <v>Store</v>
      </c>
      <c r="S1332" t="str">
        <v>Credit Card</v>
      </c>
      <c r="T1332" t="str">
        <v>Furniture</v>
      </c>
      <c r="U1332" t="str">
        <f t="shared" si="142"/>
        <v>VALID</v>
      </c>
      <c r="V1332" t="str">
        <f t="shared" si="143"/>
        <v>NORMAL</v>
      </c>
      <c r="W1332" t="str">
        <f t="shared" si="144"/>
        <v>Valid</v>
      </c>
      <c r="X1332">
        <f t="shared" si="146"/>
        <v>28616.92</v>
      </c>
      <c r="Y1332">
        <f t="shared" si="145"/>
        <v>28616.92</v>
      </c>
    </row>
    <row r="1333" spans="1:25" x14ac:dyDescent="0.3">
      <c r="A1333" t="s">
        <v>1683</v>
      </c>
      <c r="B1333" s="1">
        <v>46157</v>
      </c>
      <c r="C1333" t="s">
        <v>128</v>
      </c>
      <c r="D1333" t="s">
        <v>38</v>
      </c>
      <c r="E1333" t="s">
        <v>39</v>
      </c>
      <c r="F1333" t="s">
        <v>40</v>
      </c>
      <c r="G1333" t="s">
        <v>32</v>
      </c>
      <c r="H1333" t="s">
        <v>68</v>
      </c>
      <c r="I1333">
        <v>3</v>
      </c>
      <c r="J1333">
        <v>1560.02</v>
      </c>
      <c r="K1333">
        <v>0</v>
      </c>
      <c r="L1333">
        <v>4680.0600000000004</v>
      </c>
      <c r="M1333" t="s">
        <v>23</v>
      </c>
      <c r="N1333" t="s">
        <v>71</v>
      </c>
      <c r="O1333" t="s">
        <v>65</v>
      </c>
      <c r="P1333" t="s">
        <v>59</v>
      </c>
      <c r="Q1333" t="str">
        <f t="shared" si="140"/>
        <v>Completed</v>
      </c>
      <c r="R1333" t="str">
        <f t="shared" si="141"/>
        <v>Online</v>
      </c>
      <c r="S1333" t="str">
        <v>Upi</v>
      </c>
      <c r="T1333" t="str">
        <v>Furniture</v>
      </c>
      <c r="U1333" t="str">
        <f t="shared" si="142"/>
        <v>VALID</v>
      </c>
      <c r="V1333" t="str">
        <f t="shared" si="143"/>
        <v>NORMAL</v>
      </c>
      <c r="W1333" t="str">
        <f t="shared" si="144"/>
        <v>Valid</v>
      </c>
      <c r="X1333">
        <f t="shared" si="146"/>
        <v>4680.0599999999995</v>
      </c>
      <c r="Y1333">
        <f t="shared" si="145"/>
        <v>4680.0599999999995</v>
      </c>
    </row>
    <row r="1334" spans="1:25" x14ac:dyDescent="0.3">
      <c r="A1334" t="s">
        <v>1684</v>
      </c>
      <c r="B1334" s="1">
        <v>45326</v>
      </c>
      <c r="C1334" t="s">
        <v>216</v>
      </c>
      <c r="D1334" t="s">
        <v>85</v>
      </c>
      <c r="E1334" t="s">
        <v>86</v>
      </c>
      <c r="F1334" t="s">
        <v>20</v>
      </c>
      <c r="G1334" t="s">
        <v>32</v>
      </c>
      <c r="H1334" t="s">
        <v>47</v>
      </c>
      <c r="I1334">
        <v>3</v>
      </c>
      <c r="J1334">
        <v>1736.24</v>
      </c>
      <c r="K1334">
        <v>0.05</v>
      </c>
      <c r="L1334">
        <v>4948.28</v>
      </c>
      <c r="M1334" t="s">
        <v>48</v>
      </c>
      <c r="N1334" t="s">
        <v>58</v>
      </c>
      <c r="O1334" t="s">
        <v>25</v>
      </c>
      <c r="P1334" t="s">
        <v>111</v>
      </c>
      <c r="Q1334" t="str">
        <f t="shared" si="140"/>
        <v>Returned</v>
      </c>
      <c r="R1334" t="str">
        <f t="shared" si="141"/>
        <v>Marketplace</v>
      </c>
      <c r="S1334" t="str">
        <v>Credit Card</v>
      </c>
      <c r="T1334" t="str">
        <v>Accessories</v>
      </c>
      <c r="U1334" t="str">
        <f t="shared" si="142"/>
        <v>VALID</v>
      </c>
      <c r="V1334" t="str">
        <f t="shared" si="143"/>
        <v>NORMAL</v>
      </c>
      <c r="W1334" t="str">
        <f t="shared" si="144"/>
        <v>Valid</v>
      </c>
      <c r="X1334">
        <f t="shared" si="146"/>
        <v>5208.72</v>
      </c>
      <c r="Y1334">
        <f t="shared" si="145"/>
        <v>4948.2840000000006</v>
      </c>
    </row>
    <row r="1335" spans="1:25" x14ac:dyDescent="0.3">
      <c r="A1335" t="s">
        <v>1685</v>
      </c>
      <c r="B1335" s="1">
        <v>45361</v>
      </c>
      <c r="C1335" t="s">
        <v>293</v>
      </c>
      <c r="D1335" t="s">
        <v>53</v>
      </c>
      <c r="E1335" t="s">
        <v>54</v>
      </c>
      <c r="F1335" t="s">
        <v>55</v>
      </c>
      <c r="G1335" t="s">
        <v>21</v>
      </c>
      <c r="H1335" t="s">
        <v>126</v>
      </c>
      <c r="I1335">
        <v>3</v>
      </c>
      <c r="J1335">
        <v>226.65</v>
      </c>
      <c r="K1335">
        <v>0.08</v>
      </c>
      <c r="L1335">
        <v>625.54999999999995</v>
      </c>
      <c r="M1335" t="s">
        <v>23</v>
      </c>
      <c r="N1335" t="s">
        <v>34</v>
      </c>
      <c r="O1335" t="s">
        <v>65</v>
      </c>
      <c r="P1335" t="s">
        <v>72</v>
      </c>
      <c r="Q1335" t="str">
        <f t="shared" si="140"/>
        <v>Completed</v>
      </c>
      <c r="R1335" t="str">
        <f t="shared" si="141"/>
        <v>Online</v>
      </c>
      <c r="S1335" t="str">
        <v>Cash On Delivery</v>
      </c>
      <c r="T1335" t="str">
        <v>Stationery</v>
      </c>
      <c r="U1335" t="str">
        <f t="shared" si="142"/>
        <v>VALID</v>
      </c>
      <c r="V1335" t="str">
        <f t="shared" si="143"/>
        <v>NORMAL</v>
      </c>
      <c r="W1335" t="str">
        <f t="shared" si="144"/>
        <v>Valid</v>
      </c>
      <c r="X1335">
        <f t="shared" si="146"/>
        <v>679.95</v>
      </c>
      <c r="Y1335">
        <f t="shared" si="145"/>
        <v>625.55400000000009</v>
      </c>
    </row>
    <row r="1336" spans="1:25" x14ac:dyDescent="0.3">
      <c r="A1336" t="s">
        <v>1686</v>
      </c>
      <c r="B1336" s="1">
        <v>45326</v>
      </c>
      <c r="D1336" t="s">
        <v>105</v>
      </c>
      <c r="E1336" t="s">
        <v>106</v>
      </c>
      <c r="F1336" t="s">
        <v>40</v>
      </c>
      <c r="G1336" t="s">
        <v>21</v>
      </c>
      <c r="H1336" t="s">
        <v>93</v>
      </c>
      <c r="I1336">
        <v>5</v>
      </c>
      <c r="J1336">
        <v>6770.69</v>
      </c>
      <c r="K1336">
        <v>0.08</v>
      </c>
      <c r="L1336">
        <v>31145.17</v>
      </c>
      <c r="M1336" t="s">
        <v>48</v>
      </c>
      <c r="N1336" t="s">
        <v>71</v>
      </c>
      <c r="O1336" t="s">
        <v>35</v>
      </c>
      <c r="P1336" t="s">
        <v>50</v>
      </c>
      <c r="Q1336" t="str">
        <f t="shared" si="140"/>
        <v>Cancelled</v>
      </c>
      <c r="R1336" t="str">
        <f t="shared" si="141"/>
        <v>Marketplace</v>
      </c>
      <c r="S1336" t="str">
        <v>Upi</v>
      </c>
      <c r="T1336" t="str">
        <v>Furniture</v>
      </c>
      <c r="U1336" t="str">
        <f t="shared" si="142"/>
        <v>VALID</v>
      </c>
      <c r="V1336" t="str">
        <f t="shared" si="143"/>
        <v>NORMAL</v>
      </c>
      <c r="W1336" t="str">
        <f t="shared" si="144"/>
        <v>Valid</v>
      </c>
      <c r="X1336">
        <f t="shared" si="146"/>
        <v>33853.449999999997</v>
      </c>
      <c r="Y1336">
        <f t="shared" si="145"/>
        <v>31145.173999999999</v>
      </c>
    </row>
    <row r="1337" spans="1:25" x14ac:dyDescent="0.3">
      <c r="A1337" t="s">
        <v>1687</v>
      </c>
      <c r="B1337" s="1">
        <v>45905</v>
      </c>
      <c r="C1337" t="s">
        <v>100</v>
      </c>
      <c r="D1337" t="s">
        <v>38</v>
      </c>
      <c r="E1337" t="s">
        <v>39</v>
      </c>
      <c r="F1337" t="s">
        <v>40</v>
      </c>
      <c r="G1337" t="s">
        <v>32</v>
      </c>
      <c r="H1337" t="s">
        <v>75</v>
      </c>
      <c r="I1337">
        <v>4</v>
      </c>
      <c r="J1337">
        <v>1506.76</v>
      </c>
      <c r="K1337">
        <v>0.1</v>
      </c>
      <c r="L1337">
        <v>5424.34</v>
      </c>
      <c r="M1337" t="s">
        <v>76</v>
      </c>
      <c r="N1337" t="s">
        <v>49</v>
      </c>
      <c r="O1337" t="s">
        <v>65</v>
      </c>
      <c r="P1337" t="s">
        <v>111</v>
      </c>
      <c r="Q1337" t="str">
        <f t="shared" si="140"/>
        <v>Completed</v>
      </c>
      <c r="R1337" t="str">
        <f t="shared" si="141"/>
        <v>Store</v>
      </c>
      <c r="S1337" t="str">
        <v>Net Banking</v>
      </c>
      <c r="T1337" t="str">
        <v>Furniture</v>
      </c>
      <c r="U1337" t="str">
        <f t="shared" si="142"/>
        <v>VALID</v>
      </c>
      <c r="V1337" t="str">
        <f t="shared" si="143"/>
        <v>NORMAL</v>
      </c>
      <c r="W1337" t="str">
        <f t="shared" si="144"/>
        <v>Valid</v>
      </c>
      <c r="X1337">
        <f t="shared" si="146"/>
        <v>6027.04</v>
      </c>
      <c r="Y1337">
        <f t="shared" si="145"/>
        <v>5424.3360000000002</v>
      </c>
    </row>
    <row r="1338" spans="1:25" x14ac:dyDescent="0.3">
      <c r="A1338" t="s">
        <v>1688</v>
      </c>
      <c r="B1338" s="1">
        <v>45701</v>
      </c>
      <c r="C1338" t="s">
        <v>483</v>
      </c>
      <c r="D1338" t="s">
        <v>79</v>
      </c>
      <c r="E1338" t="s">
        <v>80</v>
      </c>
      <c r="F1338" t="s">
        <v>31</v>
      </c>
      <c r="G1338" t="s">
        <v>21</v>
      </c>
      <c r="H1338" t="s">
        <v>22</v>
      </c>
      <c r="I1338">
        <v>1</v>
      </c>
      <c r="J1338">
        <v>12013.1</v>
      </c>
      <c r="K1338">
        <v>0.05</v>
      </c>
      <c r="L1338">
        <v>11412.44</v>
      </c>
      <c r="M1338" t="s">
        <v>23</v>
      </c>
      <c r="N1338" t="s">
        <v>71</v>
      </c>
      <c r="O1338" t="s">
        <v>35</v>
      </c>
      <c r="P1338" t="s">
        <v>111</v>
      </c>
      <c r="Q1338" t="str">
        <f t="shared" si="140"/>
        <v>Cancelled</v>
      </c>
      <c r="R1338" t="str">
        <f t="shared" si="141"/>
        <v>Online</v>
      </c>
      <c r="S1338" t="str">
        <v>Upi</v>
      </c>
      <c r="T1338" t="str">
        <v>Electronics</v>
      </c>
      <c r="U1338" t="str">
        <f t="shared" si="142"/>
        <v>VALID</v>
      </c>
      <c r="V1338" t="str">
        <f t="shared" si="143"/>
        <v>NORMAL</v>
      </c>
      <c r="W1338" t="str">
        <f t="shared" si="144"/>
        <v>Valid</v>
      </c>
      <c r="X1338">
        <f t="shared" si="146"/>
        <v>12013.1</v>
      </c>
      <c r="Y1338">
        <f t="shared" si="145"/>
        <v>11412.445</v>
      </c>
    </row>
    <row r="1339" spans="1:25" x14ac:dyDescent="0.3">
      <c r="A1339" t="s">
        <v>1689</v>
      </c>
      <c r="B1339" s="1">
        <v>45753</v>
      </c>
      <c r="D1339" t="s">
        <v>85</v>
      </c>
      <c r="E1339" t="s">
        <v>86</v>
      </c>
      <c r="F1339" t="s">
        <v>20</v>
      </c>
      <c r="G1339" t="s">
        <v>56</v>
      </c>
      <c r="H1339" t="s">
        <v>57</v>
      </c>
      <c r="I1339">
        <v>1</v>
      </c>
      <c r="J1339">
        <v>1666.17</v>
      </c>
      <c r="K1339">
        <v>0</v>
      </c>
      <c r="L1339">
        <v>1666.17</v>
      </c>
      <c r="M1339" t="s">
        <v>76</v>
      </c>
      <c r="N1339" t="s">
        <v>24</v>
      </c>
      <c r="O1339" t="s">
        <v>65</v>
      </c>
      <c r="P1339" t="s">
        <v>50</v>
      </c>
      <c r="Q1339" t="str">
        <f t="shared" si="140"/>
        <v>Completed</v>
      </c>
      <c r="R1339" t="str">
        <f t="shared" si="141"/>
        <v>Store</v>
      </c>
      <c r="S1339" t="str">
        <v>Debit Card</v>
      </c>
      <c r="T1339" t="str">
        <v>Accessories</v>
      </c>
      <c r="U1339" t="str">
        <f t="shared" si="142"/>
        <v>VALID</v>
      </c>
      <c r="V1339" t="str">
        <f t="shared" si="143"/>
        <v>NORMAL</v>
      </c>
      <c r="W1339" t="str">
        <f t="shared" si="144"/>
        <v>Valid</v>
      </c>
      <c r="X1339">
        <f t="shared" si="146"/>
        <v>1666.17</v>
      </c>
      <c r="Y1339">
        <f t="shared" si="145"/>
        <v>1666.17</v>
      </c>
    </row>
    <row r="1340" spans="1:25" x14ac:dyDescent="0.3">
      <c r="A1340" t="s">
        <v>1690</v>
      </c>
      <c r="B1340" s="1">
        <v>45717</v>
      </c>
      <c r="C1340" t="s">
        <v>277</v>
      </c>
      <c r="D1340" t="s">
        <v>105</v>
      </c>
      <c r="E1340" t="s">
        <v>106</v>
      </c>
      <c r="F1340" t="s">
        <v>40</v>
      </c>
      <c r="G1340" t="s">
        <v>21</v>
      </c>
      <c r="H1340" t="s">
        <v>22</v>
      </c>
      <c r="I1340">
        <v>1</v>
      </c>
      <c r="J1340">
        <v>6942.31</v>
      </c>
      <c r="K1340">
        <v>0.03</v>
      </c>
      <c r="L1340">
        <v>6734.04</v>
      </c>
      <c r="M1340" t="s">
        <v>76</v>
      </c>
      <c r="N1340" t="s">
        <v>24</v>
      </c>
      <c r="O1340" t="s">
        <v>65</v>
      </c>
      <c r="P1340" t="s">
        <v>26</v>
      </c>
      <c r="Q1340" t="str">
        <f t="shared" si="140"/>
        <v>Completed</v>
      </c>
      <c r="R1340" t="str">
        <f t="shared" si="141"/>
        <v>Store</v>
      </c>
      <c r="S1340" t="str">
        <v>Debit Card</v>
      </c>
      <c r="T1340" t="str">
        <v>Furniture</v>
      </c>
      <c r="U1340" t="str">
        <f t="shared" si="142"/>
        <v>VALID</v>
      </c>
      <c r="V1340" t="str">
        <f t="shared" si="143"/>
        <v>NORMAL</v>
      </c>
      <c r="W1340" t="str">
        <f t="shared" si="144"/>
        <v>Valid</v>
      </c>
      <c r="X1340">
        <f t="shared" si="146"/>
        <v>6942.31</v>
      </c>
      <c r="Y1340">
        <f t="shared" si="145"/>
        <v>6734.0407000000005</v>
      </c>
    </row>
    <row r="1341" spans="1:25" x14ac:dyDescent="0.3">
      <c r="A1341" t="s">
        <v>1691</v>
      </c>
      <c r="B1341" s="1">
        <v>45605</v>
      </c>
      <c r="C1341" t="s">
        <v>640</v>
      </c>
      <c r="D1341" t="s">
        <v>105</v>
      </c>
      <c r="E1341" t="s">
        <v>106</v>
      </c>
      <c r="F1341" t="s">
        <v>40</v>
      </c>
      <c r="G1341" t="s">
        <v>56</v>
      </c>
      <c r="H1341" t="s">
        <v>64</v>
      </c>
      <c r="I1341">
        <v>1</v>
      </c>
      <c r="J1341">
        <v>6772.18</v>
      </c>
      <c r="K1341">
        <v>0.05</v>
      </c>
      <c r="L1341">
        <v>6433.57</v>
      </c>
      <c r="M1341" t="s">
        <v>76</v>
      </c>
      <c r="N1341" t="s">
        <v>71</v>
      </c>
      <c r="O1341" t="s">
        <v>65</v>
      </c>
      <c r="P1341" t="s">
        <v>42</v>
      </c>
      <c r="Q1341" t="str">
        <f t="shared" si="140"/>
        <v>Completed</v>
      </c>
      <c r="R1341" t="str">
        <f t="shared" si="141"/>
        <v>Store</v>
      </c>
      <c r="S1341" t="str">
        <v>Upi</v>
      </c>
      <c r="T1341" t="str">
        <v>Furniture</v>
      </c>
      <c r="U1341" t="str">
        <f t="shared" si="142"/>
        <v>VALID</v>
      </c>
      <c r="V1341" t="str">
        <f t="shared" si="143"/>
        <v>NORMAL</v>
      </c>
      <c r="W1341" t="str">
        <f t="shared" si="144"/>
        <v>Valid</v>
      </c>
      <c r="X1341">
        <f t="shared" si="146"/>
        <v>6772.18</v>
      </c>
      <c r="Y1341">
        <f t="shared" si="145"/>
        <v>6433.5709999999999</v>
      </c>
    </row>
    <row r="1342" spans="1:25" x14ac:dyDescent="0.3">
      <c r="A1342" t="s">
        <v>1692</v>
      </c>
      <c r="B1342" s="1">
        <v>45852</v>
      </c>
      <c r="C1342" t="s">
        <v>511</v>
      </c>
      <c r="D1342" t="s">
        <v>29</v>
      </c>
      <c r="E1342" t="s">
        <v>30</v>
      </c>
      <c r="F1342" t="s">
        <v>31</v>
      </c>
      <c r="G1342" t="s">
        <v>56</v>
      </c>
      <c r="H1342" t="s">
        <v>123</v>
      </c>
      <c r="I1342">
        <v>1</v>
      </c>
      <c r="J1342">
        <v>3310.43</v>
      </c>
      <c r="K1342">
        <v>0.05</v>
      </c>
      <c r="L1342">
        <v>3144.91</v>
      </c>
      <c r="M1342" t="s">
        <v>23</v>
      </c>
      <c r="N1342" t="s">
        <v>49</v>
      </c>
      <c r="O1342" t="s">
        <v>65</v>
      </c>
      <c r="P1342" t="s">
        <v>42</v>
      </c>
      <c r="Q1342" t="str">
        <f t="shared" si="140"/>
        <v>Completed</v>
      </c>
      <c r="R1342" t="str">
        <f t="shared" si="141"/>
        <v>Online</v>
      </c>
      <c r="S1342" t="str">
        <v>Net Banking</v>
      </c>
      <c r="T1342" t="str">
        <v>Electronics</v>
      </c>
      <c r="U1342" t="str">
        <f t="shared" si="142"/>
        <v>VALID</v>
      </c>
      <c r="V1342" t="str">
        <f t="shared" si="143"/>
        <v>NORMAL</v>
      </c>
      <c r="W1342" t="str">
        <f t="shared" si="144"/>
        <v>Valid</v>
      </c>
      <c r="X1342">
        <f t="shared" si="146"/>
        <v>3310.43</v>
      </c>
      <c r="Y1342">
        <f t="shared" si="145"/>
        <v>3144.9085</v>
      </c>
    </row>
    <row r="1343" spans="1:25" x14ac:dyDescent="0.3">
      <c r="A1343" t="s">
        <v>1693</v>
      </c>
      <c r="B1343" s="1">
        <v>45469</v>
      </c>
      <c r="C1343" t="s">
        <v>218</v>
      </c>
      <c r="D1343" t="s">
        <v>85</v>
      </c>
      <c r="E1343" t="s">
        <v>86</v>
      </c>
      <c r="F1343" t="s">
        <v>20</v>
      </c>
      <c r="G1343" t="s">
        <v>81</v>
      </c>
      <c r="H1343" t="s">
        <v>135</v>
      </c>
      <c r="I1343">
        <v>1</v>
      </c>
      <c r="J1343">
        <v>1667.41</v>
      </c>
      <c r="K1343">
        <v>0.08</v>
      </c>
      <c r="L1343">
        <v>1534.02</v>
      </c>
      <c r="M1343" t="s">
        <v>23</v>
      </c>
      <c r="N1343" t="s">
        <v>24</v>
      </c>
      <c r="O1343" t="s">
        <v>25</v>
      </c>
      <c r="P1343" t="s">
        <v>26</v>
      </c>
      <c r="Q1343" t="str">
        <f t="shared" si="140"/>
        <v>Returned</v>
      </c>
      <c r="R1343" t="str">
        <f t="shared" si="141"/>
        <v>Online</v>
      </c>
      <c r="S1343" t="str">
        <v>Debit Card</v>
      </c>
      <c r="T1343" t="str">
        <v>Accessories</v>
      </c>
      <c r="U1343" t="str">
        <f t="shared" si="142"/>
        <v>VALID</v>
      </c>
      <c r="V1343" t="str">
        <f t="shared" si="143"/>
        <v>NORMAL</v>
      </c>
      <c r="W1343" t="str">
        <f t="shared" si="144"/>
        <v>Valid</v>
      </c>
      <c r="X1343">
        <f t="shared" si="146"/>
        <v>1667.41</v>
      </c>
      <c r="Y1343">
        <f t="shared" si="145"/>
        <v>1534.0172</v>
      </c>
    </row>
    <row r="1344" spans="1:25" x14ac:dyDescent="0.3">
      <c r="A1344" t="s">
        <v>1694</v>
      </c>
      <c r="B1344" s="1">
        <v>45559</v>
      </c>
      <c r="C1344" t="s">
        <v>1206</v>
      </c>
      <c r="D1344" t="s">
        <v>18</v>
      </c>
      <c r="E1344" t="s">
        <v>19</v>
      </c>
      <c r="F1344" t="s">
        <v>20</v>
      </c>
      <c r="G1344" t="s">
        <v>21</v>
      </c>
      <c r="H1344" t="s">
        <v>126</v>
      </c>
      <c r="I1344">
        <v>3</v>
      </c>
      <c r="J1344">
        <v>916.67</v>
      </c>
      <c r="K1344">
        <v>0.08</v>
      </c>
      <c r="L1344">
        <v>2530.0100000000002</v>
      </c>
      <c r="M1344" t="s">
        <v>76</v>
      </c>
      <c r="N1344" t="s">
        <v>71</v>
      </c>
      <c r="O1344" t="s">
        <v>65</v>
      </c>
      <c r="P1344" t="s">
        <v>102</v>
      </c>
      <c r="Q1344" t="str">
        <f t="shared" si="140"/>
        <v>Completed</v>
      </c>
      <c r="R1344" t="str">
        <f t="shared" si="141"/>
        <v>Store</v>
      </c>
      <c r="S1344" t="str">
        <v>Upi</v>
      </c>
      <c r="T1344" t="str">
        <v>Accessories</v>
      </c>
      <c r="U1344" t="str">
        <f t="shared" si="142"/>
        <v>VALID</v>
      </c>
      <c r="V1344" t="str">
        <f t="shared" si="143"/>
        <v>NORMAL</v>
      </c>
      <c r="W1344" t="str">
        <f t="shared" si="144"/>
        <v>Valid</v>
      </c>
      <c r="X1344">
        <f t="shared" si="146"/>
        <v>2750.0099999999998</v>
      </c>
      <c r="Y1344">
        <f t="shared" si="145"/>
        <v>2530.0092</v>
      </c>
    </row>
    <row r="1345" spans="1:25" x14ac:dyDescent="0.3">
      <c r="A1345" t="s">
        <v>1695</v>
      </c>
      <c r="B1345" s="1">
        <v>45623</v>
      </c>
      <c r="C1345" t="s">
        <v>251</v>
      </c>
      <c r="D1345" t="s">
        <v>96</v>
      </c>
      <c r="E1345" t="s">
        <v>97</v>
      </c>
      <c r="F1345" t="s">
        <v>31</v>
      </c>
      <c r="G1345" t="s">
        <v>81</v>
      </c>
      <c r="H1345" t="s">
        <v>87</v>
      </c>
      <c r="I1345">
        <v>1</v>
      </c>
      <c r="J1345">
        <v>1176.6500000000001</v>
      </c>
      <c r="K1345">
        <v>0.08</v>
      </c>
      <c r="L1345">
        <v>1082.52</v>
      </c>
      <c r="M1345" t="s">
        <v>48</v>
      </c>
      <c r="N1345" t="s">
        <v>49</v>
      </c>
      <c r="O1345" t="s">
        <v>65</v>
      </c>
      <c r="P1345" t="s">
        <v>42</v>
      </c>
      <c r="Q1345" t="str">
        <f t="shared" si="140"/>
        <v>Completed</v>
      </c>
      <c r="R1345" t="str">
        <f t="shared" si="141"/>
        <v>Marketplace</v>
      </c>
      <c r="S1345" t="str">
        <v>Net Banking</v>
      </c>
      <c r="T1345" t="str">
        <v>Electronics</v>
      </c>
      <c r="U1345" t="str">
        <f t="shared" si="142"/>
        <v>VALID</v>
      </c>
      <c r="V1345" t="str">
        <f t="shared" si="143"/>
        <v>NORMAL</v>
      </c>
      <c r="W1345" t="str">
        <f t="shared" si="144"/>
        <v>Valid</v>
      </c>
      <c r="X1345">
        <f t="shared" si="146"/>
        <v>1176.6500000000001</v>
      </c>
      <c r="Y1345">
        <f t="shared" si="145"/>
        <v>1082.518</v>
      </c>
    </row>
    <row r="1346" spans="1:25" x14ac:dyDescent="0.3">
      <c r="A1346" t="s">
        <v>1696</v>
      </c>
      <c r="B1346" s="1">
        <v>45979</v>
      </c>
      <c r="C1346" t="s">
        <v>511</v>
      </c>
      <c r="D1346" t="s">
        <v>85</v>
      </c>
      <c r="E1346" t="s">
        <v>86</v>
      </c>
      <c r="F1346" t="s">
        <v>20</v>
      </c>
      <c r="G1346" t="s">
        <v>32</v>
      </c>
      <c r="H1346" t="s">
        <v>33</v>
      </c>
      <c r="I1346">
        <v>2</v>
      </c>
      <c r="J1346">
        <v>1840.19</v>
      </c>
      <c r="K1346">
        <v>0</v>
      </c>
      <c r="L1346">
        <v>3680.38</v>
      </c>
      <c r="M1346" t="s">
        <v>23</v>
      </c>
      <c r="N1346" t="s">
        <v>49</v>
      </c>
      <c r="O1346" t="s">
        <v>65</v>
      </c>
      <c r="P1346" t="s">
        <v>26</v>
      </c>
      <c r="Q1346" t="str">
        <f t="shared" si="140"/>
        <v>Completed</v>
      </c>
      <c r="R1346" t="str">
        <f t="shared" si="141"/>
        <v>Online</v>
      </c>
      <c r="S1346" t="str">
        <v>Net Banking</v>
      </c>
      <c r="T1346" t="str">
        <v>Accessories</v>
      </c>
      <c r="U1346" t="str">
        <f t="shared" si="142"/>
        <v>VALID</v>
      </c>
      <c r="V1346" t="str">
        <f t="shared" si="143"/>
        <v>NORMAL</v>
      </c>
      <c r="W1346" t="str">
        <f t="shared" si="144"/>
        <v>Valid</v>
      </c>
      <c r="X1346">
        <f t="shared" si="146"/>
        <v>3680.38</v>
      </c>
      <c r="Y1346">
        <f t="shared" si="145"/>
        <v>3680.38</v>
      </c>
    </row>
    <row r="1347" spans="1:25" x14ac:dyDescent="0.3">
      <c r="A1347" t="s">
        <v>1697</v>
      </c>
      <c r="B1347" s="1">
        <v>45447</v>
      </c>
      <c r="C1347" t="s">
        <v>373</v>
      </c>
      <c r="D1347" t="s">
        <v>29</v>
      </c>
      <c r="E1347" t="s">
        <v>30</v>
      </c>
      <c r="F1347" t="s">
        <v>31</v>
      </c>
      <c r="G1347" t="s">
        <v>21</v>
      </c>
      <c r="H1347" t="s">
        <v>126</v>
      </c>
      <c r="I1347">
        <v>5</v>
      </c>
      <c r="J1347">
        <v>3149.56</v>
      </c>
      <c r="K1347">
        <v>0.08</v>
      </c>
      <c r="L1347">
        <v>14487.98</v>
      </c>
      <c r="M1347" t="s">
        <v>48</v>
      </c>
      <c r="N1347" t="s">
        <v>34</v>
      </c>
      <c r="O1347" t="s">
        <v>65</v>
      </c>
      <c r="P1347" t="s">
        <v>111</v>
      </c>
      <c r="Q1347" t="str">
        <f t="shared" ref="Q1347:Q1410" si="147">PROPER(O1347)</f>
        <v>Completed</v>
      </c>
      <c r="R1347" t="str">
        <f t="shared" ref="R1347:R1410" si="148">PROPER(M1347)</f>
        <v>Marketplace</v>
      </c>
      <c r="S1347" t="str">
        <v>Cash On Delivery</v>
      </c>
      <c r="T1347" t="str">
        <v>Electronics</v>
      </c>
      <c r="U1347" t="str">
        <f t="shared" ref="U1347:U1410" si="149">IF(I1347&lt;=0,"INVALID","VALID")</f>
        <v>VALID</v>
      </c>
      <c r="V1347" t="str">
        <f t="shared" ref="V1347:V1410" si="150">IF(I1347&gt;100,"REVIEW","NORMAL")</f>
        <v>NORMAL</v>
      </c>
      <c r="W1347" t="str">
        <f t="shared" ref="W1347:W1410" si="151">IF(OR(K1347&lt;0,K1347&gt;1),"Invalid","Valid")</f>
        <v>Valid</v>
      </c>
      <c r="X1347">
        <f t="shared" si="146"/>
        <v>15747.8</v>
      </c>
      <c r="Y1347">
        <f t="shared" ref="Y1347:Y1410" si="152">I1347*J1347-(I1347*J1347*K1347)</f>
        <v>14487.975999999999</v>
      </c>
    </row>
    <row r="1348" spans="1:25" x14ac:dyDescent="0.3">
      <c r="A1348" t="s">
        <v>1698</v>
      </c>
      <c r="B1348" s="1">
        <v>46014</v>
      </c>
      <c r="C1348" t="s">
        <v>554</v>
      </c>
      <c r="D1348" t="s">
        <v>85</v>
      </c>
      <c r="E1348" t="s">
        <v>86</v>
      </c>
      <c r="F1348" t="s">
        <v>20</v>
      </c>
      <c r="G1348" t="s">
        <v>21</v>
      </c>
      <c r="H1348" t="s">
        <v>22</v>
      </c>
      <c r="I1348">
        <v>4</v>
      </c>
      <c r="J1348">
        <v>1883.24</v>
      </c>
      <c r="K1348">
        <v>0.08</v>
      </c>
      <c r="L1348">
        <v>6930.32</v>
      </c>
      <c r="M1348" t="s">
        <v>48</v>
      </c>
      <c r="N1348" t="s">
        <v>58</v>
      </c>
      <c r="O1348" t="s">
        <v>65</v>
      </c>
      <c r="P1348" t="s">
        <v>102</v>
      </c>
      <c r="Q1348" t="str">
        <f t="shared" si="147"/>
        <v>Completed</v>
      </c>
      <c r="R1348" t="str">
        <f t="shared" si="148"/>
        <v>Marketplace</v>
      </c>
      <c r="S1348" t="str">
        <v>Credit Card</v>
      </c>
      <c r="T1348" t="str">
        <v>Accessories</v>
      </c>
      <c r="U1348" t="str">
        <f t="shared" si="149"/>
        <v>VALID</v>
      </c>
      <c r="V1348" t="str">
        <f t="shared" si="150"/>
        <v>NORMAL</v>
      </c>
      <c r="W1348" t="str">
        <f t="shared" si="151"/>
        <v>Valid</v>
      </c>
      <c r="X1348">
        <f t="shared" ref="X1348:X1411" si="153">I1348*J1348</f>
        <v>7532.96</v>
      </c>
      <c r="Y1348">
        <f t="shared" si="152"/>
        <v>6930.3231999999998</v>
      </c>
    </row>
    <row r="1349" spans="1:25" x14ac:dyDescent="0.3">
      <c r="A1349" t="s">
        <v>1699</v>
      </c>
      <c r="B1349" s="1">
        <v>45509</v>
      </c>
      <c r="C1349" t="s">
        <v>643</v>
      </c>
      <c r="D1349" t="s">
        <v>79</v>
      </c>
      <c r="E1349" t="s">
        <v>80</v>
      </c>
      <c r="F1349" t="s">
        <v>31</v>
      </c>
      <c r="G1349" t="s">
        <v>56</v>
      </c>
      <c r="H1349" t="s">
        <v>64</v>
      </c>
      <c r="I1349">
        <v>3</v>
      </c>
      <c r="J1349">
        <v>12285.07</v>
      </c>
      <c r="K1349">
        <v>0.03</v>
      </c>
      <c r="L1349">
        <v>35749.550000000003</v>
      </c>
      <c r="M1349" t="s">
        <v>48</v>
      </c>
      <c r="N1349" t="s">
        <v>24</v>
      </c>
      <c r="O1349" t="s">
        <v>65</v>
      </c>
      <c r="P1349" t="s">
        <v>72</v>
      </c>
      <c r="Q1349" t="str">
        <f t="shared" si="147"/>
        <v>Completed</v>
      </c>
      <c r="R1349" t="str">
        <f t="shared" si="148"/>
        <v>Marketplace</v>
      </c>
      <c r="S1349" t="str">
        <v>Debit Card</v>
      </c>
      <c r="T1349" t="str">
        <v>Electronics</v>
      </c>
      <c r="U1349" t="str">
        <f t="shared" si="149"/>
        <v>VALID</v>
      </c>
      <c r="V1349" t="str">
        <f t="shared" si="150"/>
        <v>NORMAL</v>
      </c>
      <c r="W1349" t="str">
        <f t="shared" si="151"/>
        <v>Valid</v>
      </c>
      <c r="X1349">
        <f t="shared" si="153"/>
        <v>36855.21</v>
      </c>
      <c r="Y1349">
        <f t="shared" si="152"/>
        <v>35749.553699999997</v>
      </c>
    </row>
    <row r="1350" spans="1:25" x14ac:dyDescent="0.3">
      <c r="A1350" t="s">
        <v>1700</v>
      </c>
      <c r="B1350" s="1">
        <v>46034</v>
      </c>
      <c r="D1350" t="s">
        <v>131</v>
      </c>
      <c r="E1350" t="s">
        <v>132</v>
      </c>
      <c r="F1350" t="s">
        <v>40</v>
      </c>
      <c r="G1350" t="s">
        <v>81</v>
      </c>
      <c r="H1350" t="s">
        <v>98</v>
      </c>
      <c r="I1350">
        <v>4</v>
      </c>
      <c r="J1350">
        <v>9380.6200000000008</v>
      </c>
      <c r="K1350">
        <v>0.15</v>
      </c>
      <c r="L1350">
        <v>31894.11</v>
      </c>
      <c r="M1350" t="s">
        <v>48</v>
      </c>
      <c r="N1350" t="s">
        <v>34</v>
      </c>
      <c r="O1350" t="s">
        <v>25</v>
      </c>
      <c r="P1350" t="s">
        <v>72</v>
      </c>
      <c r="Q1350" t="str">
        <f t="shared" si="147"/>
        <v>Returned</v>
      </c>
      <c r="R1350" t="str">
        <f t="shared" si="148"/>
        <v>Marketplace</v>
      </c>
      <c r="S1350" t="str">
        <v>Cash On Delivery</v>
      </c>
      <c r="T1350" t="str">
        <v>Furniture</v>
      </c>
      <c r="U1350" t="str">
        <f t="shared" si="149"/>
        <v>VALID</v>
      </c>
      <c r="V1350" t="str">
        <f t="shared" si="150"/>
        <v>NORMAL</v>
      </c>
      <c r="W1350" t="str">
        <f t="shared" si="151"/>
        <v>Valid</v>
      </c>
      <c r="X1350">
        <f t="shared" si="153"/>
        <v>37522.480000000003</v>
      </c>
      <c r="Y1350">
        <f t="shared" si="152"/>
        <v>31894.108000000004</v>
      </c>
    </row>
    <row r="1351" spans="1:25" x14ac:dyDescent="0.3">
      <c r="A1351" t="s">
        <v>1701</v>
      </c>
      <c r="B1351" s="1">
        <v>45807</v>
      </c>
      <c r="C1351" t="s">
        <v>548</v>
      </c>
      <c r="D1351" t="s">
        <v>176</v>
      </c>
      <c r="E1351" t="s">
        <v>177</v>
      </c>
      <c r="F1351" t="s">
        <v>31</v>
      </c>
      <c r="G1351" t="s">
        <v>81</v>
      </c>
      <c r="H1351" t="s">
        <v>82</v>
      </c>
      <c r="I1351">
        <v>5</v>
      </c>
      <c r="J1351">
        <v>2364.91</v>
      </c>
      <c r="K1351">
        <v>0</v>
      </c>
      <c r="L1351">
        <v>11824.55</v>
      </c>
      <c r="M1351" t="s">
        <v>76</v>
      </c>
      <c r="N1351" t="s">
        <v>49</v>
      </c>
      <c r="O1351" t="s">
        <v>65</v>
      </c>
      <c r="P1351" t="s">
        <v>26</v>
      </c>
      <c r="Q1351" t="str">
        <f t="shared" si="147"/>
        <v>Completed</v>
      </c>
      <c r="R1351" t="str">
        <f t="shared" si="148"/>
        <v>Store</v>
      </c>
      <c r="S1351" t="str">
        <v>Net Banking</v>
      </c>
      <c r="T1351" t="str">
        <v>Electronics</v>
      </c>
      <c r="U1351" t="str">
        <f t="shared" si="149"/>
        <v>VALID</v>
      </c>
      <c r="V1351" t="str">
        <f t="shared" si="150"/>
        <v>NORMAL</v>
      </c>
      <c r="W1351" t="str">
        <f t="shared" si="151"/>
        <v>Valid</v>
      </c>
      <c r="X1351">
        <f t="shared" si="153"/>
        <v>11824.55</v>
      </c>
      <c r="Y1351">
        <f t="shared" si="152"/>
        <v>11824.55</v>
      </c>
    </row>
    <row r="1352" spans="1:25" x14ac:dyDescent="0.3">
      <c r="A1352" t="s">
        <v>1702</v>
      </c>
      <c r="B1352" s="1">
        <v>45352</v>
      </c>
      <c r="C1352" t="s">
        <v>394</v>
      </c>
      <c r="D1352" t="s">
        <v>45</v>
      </c>
      <c r="E1352" t="s">
        <v>46</v>
      </c>
      <c r="F1352" t="s">
        <v>31</v>
      </c>
      <c r="G1352" t="s">
        <v>21</v>
      </c>
      <c r="H1352" t="s">
        <v>22</v>
      </c>
      <c r="I1352">
        <v>3</v>
      </c>
      <c r="J1352">
        <v>1905.51</v>
      </c>
      <c r="K1352">
        <v>0.03</v>
      </c>
      <c r="L1352">
        <v>5545.03</v>
      </c>
      <c r="M1352" t="s">
        <v>23</v>
      </c>
      <c r="N1352" t="s">
        <v>58</v>
      </c>
      <c r="O1352" t="s">
        <v>65</v>
      </c>
      <c r="P1352" t="s">
        <v>59</v>
      </c>
      <c r="Q1352" t="str">
        <f t="shared" si="147"/>
        <v>Completed</v>
      </c>
      <c r="R1352" t="str">
        <f t="shared" si="148"/>
        <v>Online</v>
      </c>
      <c r="S1352" t="str">
        <v>Credit Card</v>
      </c>
      <c r="T1352" t="str">
        <v>Electronics</v>
      </c>
      <c r="U1352" t="str">
        <f t="shared" si="149"/>
        <v>VALID</v>
      </c>
      <c r="V1352" t="str">
        <f t="shared" si="150"/>
        <v>NORMAL</v>
      </c>
      <c r="W1352" t="str">
        <f t="shared" si="151"/>
        <v>Valid</v>
      </c>
      <c r="X1352">
        <f t="shared" si="153"/>
        <v>5716.53</v>
      </c>
      <c r="Y1352">
        <f t="shared" si="152"/>
        <v>5545.0340999999999</v>
      </c>
    </row>
    <row r="1353" spans="1:25" x14ac:dyDescent="0.3">
      <c r="A1353" t="s">
        <v>1703</v>
      </c>
      <c r="B1353" s="1">
        <v>45435</v>
      </c>
      <c r="C1353" t="s">
        <v>188</v>
      </c>
      <c r="D1353" t="s">
        <v>85</v>
      </c>
      <c r="E1353" t="s">
        <v>86</v>
      </c>
      <c r="F1353" t="s">
        <v>20</v>
      </c>
      <c r="G1353" t="s">
        <v>32</v>
      </c>
      <c r="H1353" t="s">
        <v>68</v>
      </c>
      <c r="I1353">
        <v>1</v>
      </c>
      <c r="J1353">
        <v>1865.27</v>
      </c>
      <c r="K1353">
        <v>0.03</v>
      </c>
      <c r="L1353">
        <v>1809.31</v>
      </c>
      <c r="M1353" t="s">
        <v>23</v>
      </c>
      <c r="N1353" t="s">
        <v>49</v>
      </c>
      <c r="O1353" t="s">
        <v>65</v>
      </c>
      <c r="P1353" t="s">
        <v>26</v>
      </c>
      <c r="Q1353" t="str">
        <f t="shared" si="147"/>
        <v>Completed</v>
      </c>
      <c r="R1353" t="str">
        <f t="shared" si="148"/>
        <v>Online</v>
      </c>
      <c r="S1353" t="str">
        <v>Net Banking</v>
      </c>
      <c r="T1353" t="str">
        <v>Accessories</v>
      </c>
      <c r="U1353" t="str">
        <f t="shared" si="149"/>
        <v>VALID</v>
      </c>
      <c r="V1353" t="str">
        <f t="shared" si="150"/>
        <v>NORMAL</v>
      </c>
      <c r="W1353" t="str">
        <f t="shared" si="151"/>
        <v>Valid</v>
      </c>
      <c r="X1353">
        <f t="shared" si="153"/>
        <v>1865.27</v>
      </c>
      <c r="Y1353">
        <f t="shared" si="152"/>
        <v>1809.3118999999999</v>
      </c>
    </row>
    <row r="1354" spans="1:25" x14ac:dyDescent="0.3">
      <c r="A1354" t="s">
        <v>1704</v>
      </c>
      <c r="B1354" s="1">
        <v>45680</v>
      </c>
      <c r="C1354" t="s">
        <v>657</v>
      </c>
      <c r="D1354" t="s">
        <v>131</v>
      </c>
      <c r="E1354" t="s">
        <v>132</v>
      </c>
      <c r="F1354" t="s">
        <v>40</v>
      </c>
      <c r="G1354" t="s">
        <v>32</v>
      </c>
      <c r="H1354" t="s">
        <v>68</v>
      </c>
      <c r="I1354">
        <v>5</v>
      </c>
      <c r="J1354">
        <v>10039.709999999999</v>
      </c>
      <c r="K1354">
        <v>0.15</v>
      </c>
      <c r="L1354">
        <v>42668.77</v>
      </c>
      <c r="M1354" t="s">
        <v>23</v>
      </c>
      <c r="N1354" t="s">
        <v>24</v>
      </c>
      <c r="O1354" t="s">
        <v>35</v>
      </c>
      <c r="P1354" t="s">
        <v>116</v>
      </c>
      <c r="Q1354" t="str">
        <f t="shared" si="147"/>
        <v>Cancelled</v>
      </c>
      <c r="R1354" t="str">
        <f t="shared" si="148"/>
        <v>Online</v>
      </c>
      <c r="S1354" t="str">
        <v>Debit Card</v>
      </c>
      <c r="T1354" t="str">
        <v>Furniture</v>
      </c>
      <c r="U1354" t="str">
        <f t="shared" si="149"/>
        <v>VALID</v>
      </c>
      <c r="V1354" t="str">
        <f t="shared" si="150"/>
        <v>NORMAL</v>
      </c>
      <c r="W1354" t="str">
        <f t="shared" si="151"/>
        <v>Valid</v>
      </c>
      <c r="X1354">
        <f t="shared" si="153"/>
        <v>50198.549999999996</v>
      </c>
      <c r="Y1354">
        <f t="shared" si="152"/>
        <v>42668.767499999994</v>
      </c>
    </row>
    <row r="1355" spans="1:25" x14ac:dyDescent="0.3">
      <c r="A1355" t="s">
        <v>1705</v>
      </c>
      <c r="B1355" s="1">
        <v>45802</v>
      </c>
      <c r="C1355" t="s">
        <v>302</v>
      </c>
      <c r="D1355" t="s">
        <v>105</v>
      </c>
      <c r="E1355" t="s">
        <v>106</v>
      </c>
      <c r="F1355" t="s">
        <v>40</v>
      </c>
      <c r="G1355" t="s">
        <v>21</v>
      </c>
      <c r="H1355" t="s">
        <v>22</v>
      </c>
      <c r="I1355">
        <v>3</v>
      </c>
      <c r="J1355">
        <v>7315.5</v>
      </c>
      <c r="K1355">
        <v>0.08</v>
      </c>
      <c r="L1355">
        <v>20190.78</v>
      </c>
      <c r="M1355" t="s">
        <v>23</v>
      </c>
      <c r="N1355" t="s">
        <v>24</v>
      </c>
      <c r="O1355" t="s">
        <v>65</v>
      </c>
      <c r="P1355" t="s">
        <v>50</v>
      </c>
      <c r="Q1355" t="str">
        <f t="shared" si="147"/>
        <v>Completed</v>
      </c>
      <c r="R1355" t="str">
        <f t="shared" si="148"/>
        <v>Online</v>
      </c>
      <c r="S1355" t="str">
        <v>Debit Card</v>
      </c>
      <c r="T1355" t="str">
        <v>Furniture</v>
      </c>
      <c r="U1355" t="str">
        <f t="shared" si="149"/>
        <v>VALID</v>
      </c>
      <c r="V1355" t="str">
        <f t="shared" si="150"/>
        <v>NORMAL</v>
      </c>
      <c r="W1355" t="str">
        <f t="shared" si="151"/>
        <v>Valid</v>
      </c>
      <c r="X1355">
        <f t="shared" si="153"/>
        <v>21946.5</v>
      </c>
      <c r="Y1355">
        <f t="shared" si="152"/>
        <v>20190.78</v>
      </c>
    </row>
    <row r="1356" spans="1:25" x14ac:dyDescent="0.3">
      <c r="A1356" t="s">
        <v>1706</v>
      </c>
      <c r="B1356" s="1">
        <v>46159</v>
      </c>
      <c r="C1356" t="s">
        <v>508</v>
      </c>
      <c r="D1356" t="s">
        <v>131</v>
      </c>
      <c r="E1356" t="s">
        <v>132</v>
      </c>
      <c r="F1356" t="s">
        <v>40</v>
      </c>
      <c r="G1356" t="s">
        <v>21</v>
      </c>
      <c r="H1356" t="s">
        <v>22</v>
      </c>
      <c r="I1356">
        <v>1</v>
      </c>
      <c r="J1356">
        <v>9928.5300000000007</v>
      </c>
      <c r="K1356">
        <v>0.2</v>
      </c>
      <c r="L1356">
        <v>7942.82</v>
      </c>
      <c r="M1356" t="s">
        <v>76</v>
      </c>
      <c r="N1356" t="s">
        <v>49</v>
      </c>
      <c r="O1356" t="s">
        <v>65</v>
      </c>
      <c r="P1356" t="s">
        <v>72</v>
      </c>
      <c r="Q1356" t="str">
        <f t="shared" si="147"/>
        <v>Completed</v>
      </c>
      <c r="R1356" t="str">
        <f t="shared" si="148"/>
        <v>Store</v>
      </c>
      <c r="S1356" t="str">
        <v>Net Banking</v>
      </c>
      <c r="T1356" t="str">
        <v>Furniture</v>
      </c>
      <c r="U1356" t="str">
        <f t="shared" si="149"/>
        <v>VALID</v>
      </c>
      <c r="V1356" t="str">
        <f t="shared" si="150"/>
        <v>NORMAL</v>
      </c>
      <c r="W1356" t="str">
        <f t="shared" si="151"/>
        <v>Valid</v>
      </c>
      <c r="X1356">
        <f t="shared" si="153"/>
        <v>9928.5300000000007</v>
      </c>
      <c r="Y1356">
        <f t="shared" si="152"/>
        <v>7942.8240000000005</v>
      </c>
    </row>
    <row r="1357" spans="1:25" x14ac:dyDescent="0.3">
      <c r="A1357" t="s">
        <v>1707</v>
      </c>
      <c r="B1357" s="1">
        <v>46011</v>
      </c>
      <c r="C1357" t="s">
        <v>100</v>
      </c>
      <c r="D1357" t="s">
        <v>79</v>
      </c>
      <c r="E1357" t="s">
        <v>80</v>
      </c>
      <c r="F1357" t="s">
        <v>31</v>
      </c>
      <c r="G1357" t="s">
        <v>32</v>
      </c>
      <c r="H1357" t="s">
        <v>47</v>
      </c>
      <c r="I1357">
        <v>5</v>
      </c>
      <c r="J1357">
        <v>13146.03</v>
      </c>
      <c r="K1357">
        <v>0.2</v>
      </c>
      <c r="L1357">
        <v>52584.12</v>
      </c>
      <c r="M1357" t="s">
        <v>76</v>
      </c>
      <c r="N1357" t="s">
        <v>24</v>
      </c>
      <c r="O1357" t="s">
        <v>65</v>
      </c>
      <c r="P1357" t="s">
        <v>102</v>
      </c>
      <c r="Q1357" t="str">
        <f t="shared" si="147"/>
        <v>Completed</v>
      </c>
      <c r="R1357" t="str">
        <f t="shared" si="148"/>
        <v>Store</v>
      </c>
      <c r="S1357" t="str">
        <v>Debit Card</v>
      </c>
      <c r="T1357" t="str">
        <v>Electronics</v>
      </c>
      <c r="U1357" t="str">
        <f t="shared" si="149"/>
        <v>VALID</v>
      </c>
      <c r="V1357" t="str">
        <f t="shared" si="150"/>
        <v>NORMAL</v>
      </c>
      <c r="W1357" t="str">
        <f t="shared" si="151"/>
        <v>Valid</v>
      </c>
      <c r="X1357">
        <f t="shared" si="153"/>
        <v>65730.150000000009</v>
      </c>
      <c r="Y1357">
        <f t="shared" si="152"/>
        <v>52584.12000000001</v>
      </c>
    </row>
    <row r="1358" spans="1:25" x14ac:dyDescent="0.3">
      <c r="A1358" t="s">
        <v>1708</v>
      </c>
      <c r="B1358" s="1">
        <v>45831</v>
      </c>
      <c r="C1358" t="s">
        <v>803</v>
      </c>
      <c r="D1358" t="s">
        <v>89</v>
      </c>
      <c r="E1358" t="s">
        <v>90</v>
      </c>
      <c r="F1358" t="s">
        <v>20</v>
      </c>
      <c r="G1358" t="s">
        <v>56</v>
      </c>
      <c r="H1358" t="s">
        <v>64</v>
      </c>
      <c r="I1358">
        <v>2</v>
      </c>
      <c r="J1358">
        <v>732.76</v>
      </c>
      <c r="K1358">
        <v>0.08</v>
      </c>
      <c r="L1358">
        <v>1348.28</v>
      </c>
      <c r="M1358" t="s">
        <v>48</v>
      </c>
      <c r="N1358" t="s">
        <v>49</v>
      </c>
      <c r="O1358" t="s">
        <v>25</v>
      </c>
      <c r="P1358" t="s">
        <v>72</v>
      </c>
      <c r="Q1358" t="str">
        <f t="shared" si="147"/>
        <v>Returned</v>
      </c>
      <c r="R1358" t="str">
        <f t="shared" si="148"/>
        <v>Marketplace</v>
      </c>
      <c r="S1358" t="str">
        <v>Net Banking</v>
      </c>
      <c r="T1358" t="str">
        <v>Accessories</v>
      </c>
      <c r="U1358" t="str">
        <f t="shared" si="149"/>
        <v>VALID</v>
      </c>
      <c r="V1358" t="str">
        <f t="shared" si="150"/>
        <v>NORMAL</v>
      </c>
      <c r="W1358" t="str">
        <f t="shared" si="151"/>
        <v>Valid</v>
      </c>
      <c r="X1358">
        <f t="shared" si="153"/>
        <v>1465.52</v>
      </c>
      <c r="Y1358">
        <f t="shared" si="152"/>
        <v>1348.2783999999999</v>
      </c>
    </row>
    <row r="1359" spans="1:25" x14ac:dyDescent="0.3">
      <c r="A1359" t="s">
        <v>1709</v>
      </c>
      <c r="B1359" s="1">
        <v>45642</v>
      </c>
      <c r="C1359" t="s">
        <v>453</v>
      </c>
      <c r="D1359" t="s">
        <v>96</v>
      </c>
      <c r="E1359" t="s">
        <v>97</v>
      </c>
      <c r="F1359" t="s">
        <v>31</v>
      </c>
      <c r="G1359" t="s">
        <v>56</v>
      </c>
      <c r="H1359" t="s">
        <v>57</v>
      </c>
      <c r="I1359">
        <v>4</v>
      </c>
      <c r="J1359">
        <v>1245.6600000000001</v>
      </c>
      <c r="K1359">
        <v>0.1</v>
      </c>
      <c r="L1359">
        <v>4484.38</v>
      </c>
      <c r="M1359" t="s">
        <v>76</v>
      </c>
      <c r="N1359" t="s">
        <v>34</v>
      </c>
      <c r="O1359" t="s">
        <v>65</v>
      </c>
      <c r="P1359" t="s">
        <v>26</v>
      </c>
      <c r="Q1359" t="str">
        <f t="shared" si="147"/>
        <v>Completed</v>
      </c>
      <c r="R1359" t="str">
        <f t="shared" si="148"/>
        <v>Store</v>
      </c>
      <c r="S1359" t="str">
        <v>Cash On Delivery</v>
      </c>
      <c r="T1359" t="str">
        <v>Electronics</v>
      </c>
      <c r="U1359" t="str">
        <f t="shared" si="149"/>
        <v>VALID</v>
      </c>
      <c r="V1359" t="str">
        <f t="shared" si="150"/>
        <v>NORMAL</v>
      </c>
      <c r="W1359" t="str">
        <f t="shared" si="151"/>
        <v>Valid</v>
      </c>
      <c r="X1359">
        <f t="shared" si="153"/>
        <v>4982.6400000000003</v>
      </c>
      <c r="Y1359">
        <f t="shared" si="152"/>
        <v>4484.3760000000002</v>
      </c>
    </row>
    <row r="1360" spans="1:25" x14ac:dyDescent="0.3">
      <c r="A1360" t="s">
        <v>1710</v>
      </c>
      <c r="B1360" s="1">
        <v>45768</v>
      </c>
      <c r="C1360" t="s">
        <v>186</v>
      </c>
      <c r="D1360" t="s">
        <v>89</v>
      </c>
      <c r="E1360" t="s">
        <v>90</v>
      </c>
      <c r="F1360" t="s">
        <v>20</v>
      </c>
      <c r="G1360" t="s">
        <v>21</v>
      </c>
      <c r="H1360" t="s">
        <v>126</v>
      </c>
      <c r="I1360">
        <v>1</v>
      </c>
      <c r="J1360">
        <v>651.19000000000005</v>
      </c>
      <c r="K1360">
        <v>0.15</v>
      </c>
      <c r="L1360">
        <v>553.51</v>
      </c>
      <c r="M1360" t="s">
        <v>76</v>
      </c>
      <c r="N1360" t="s">
        <v>24</v>
      </c>
      <c r="O1360" t="s">
        <v>65</v>
      </c>
      <c r="P1360" t="s">
        <v>116</v>
      </c>
      <c r="Q1360" t="str">
        <f t="shared" si="147"/>
        <v>Completed</v>
      </c>
      <c r="R1360" t="str">
        <f t="shared" si="148"/>
        <v>Store</v>
      </c>
      <c r="S1360" t="str">
        <v>Debit Card</v>
      </c>
      <c r="T1360" t="str">
        <v>Accessories</v>
      </c>
      <c r="U1360" t="str">
        <f t="shared" si="149"/>
        <v>VALID</v>
      </c>
      <c r="V1360" t="str">
        <f t="shared" si="150"/>
        <v>NORMAL</v>
      </c>
      <c r="W1360" t="str">
        <f t="shared" si="151"/>
        <v>Valid</v>
      </c>
      <c r="X1360">
        <f t="shared" si="153"/>
        <v>651.19000000000005</v>
      </c>
      <c r="Y1360">
        <f t="shared" si="152"/>
        <v>553.51150000000007</v>
      </c>
    </row>
    <row r="1361" spans="1:25" x14ac:dyDescent="0.3">
      <c r="A1361" t="s">
        <v>1711</v>
      </c>
      <c r="B1361" s="1">
        <v>45810</v>
      </c>
      <c r="C1361" t="s">
        <v>738</v>
      </c>
      <c r="D1361" t="s">
        <v>38</v>
      </c>
      <c r="E1361" t="s">
        <v>39</v>
      </c>
      <c r="F1361" t="s">
        <v>40</v>
      </c>
      <c r="G1361" t="s">
        <v>56</v>
      </c>
      <c r="H1361" t="s">
        <v>101</v>
      </c>
      <c r="I1361">
        <v>2</v>
      </c>
      <c r="J1361">
        <v>1637.92</v>
      </c>
      <c r="K1361">
        <v>0</v>
      </c>
      <c r="L1361">
        <v>3275.84</v>
      </c>
      <c r="M1361" t="s">
        <v>48</v>
      </c>
      <c r="N1361" t="s">
        <v>71</v>
      </c>
      <c r="O1361" t="s">
        <v>65</v>
      </c>
      <c r="P1361" t="s">
        <v>26</v>
      </c>
      <c r="Q1361" t="str">
        <f t="shared" si="147"/>
        <v>Completed</v>
      </c>
      <c r="R1361" t="str">
        <f t="shared" si="148"/>
        <v>Marketplace</v>
      </c>
      <c r="S1361" t="str">
        <v>Upi</v>
      </c>
      <c r="T1361" t="str">
        <v>Furniture</v>
      </c>
      <c r="U1361" t="str">
        <f t="shared" si="149"/>
        <v>VALID</v>
      </c>
      <c r="V1361" t="str">
        <f t="shared" si="150"/>
        <v>NORMAL</v>
      </c>
      <c r="W1361" t="str">
        <f t="shared" si="151"/>
        <v>Valid</v>
      </c>
      <c r="X1361">
        <f t="shared" si="153"/>
        <v>3275.84</v>
      </c>
      <c r="Y1361">
        <f t="shared" si="152"/>
        <v>3275.84</v>
      </c>
    </row>
    <row r="1362" spans="1:25" x14ac:dyDescent="0.3">
      <c r="A1362" t="s">
        <v>1712</v>
      </c>
      <c r="B1362" s="1">
        <v>45308</v>
      </c>
      <c r="C1362" t="s">
        <v>315</v>
      </c>
      <c r="D1362" t="s">
        <v>45</v>
      </c>
      <c r="E1362" t="s">
        <v>46</v>
      </c>
      <c r="F1362" t="s">
        <v>31</v>
      </c>
      <c r="G1362" t="s">
        <v>56</v>
      </c>
      <c r="H1362" t="s">
        <v>123</v>
      </c>
      <c r="I1362">
        <v>1</v>
      </c>
      <c r="J1362">
        <v>1828.53</v>
      </c>
      <c r="K1362">
        <v>0.05</v>
      </c>
      <c r="L1362">
        <v>1737.1</v>
      </c>
      <c r="M1362" t="s">
        <v>48</v>
      </c>
      <c r="N1362" t="s">
        <v>71</v>
      </c>
      <c r="O1362" t="s">
        <v>65</v>
      </c>
      <c r="P1362" t="s">
        <v>26</v>
      </c>
      <c r="Q1362" t="str">
        <f t="shared" si="147"/>
        <v>Completed</v>
      </c>
      <c r="R1362" t="str">
        <f t="shared" si="148"/>
        <v>Marketplace</v>
      </c>
      <c r="S1362" t="str">
        <v>Upi</v>
      </c>
      <c r="T1362" t="str">
        <v>Electronics</v>
      </c>
      <c r="U1362" t="str">
        <f t="shared" si="149"/>
        <v>VALID</v>
      </c>
      <c r="V1362" t="str">
        <f t="shared" si="150"/>
        <v>NORMAL</v>
      </c>
      <c r="W1362" t="str">
        <f t="shared" si="151"/>
        <v>Valid</v>
      </c>
      <c r="X1362">
        <f t="shared" si="153"/>
        <v>1828.53</v>
      </c>
      <c r="Y1362">
        <f t="shared" si="152"/>
        <v>1737.1034999999999</v>
      </c>
    </row>
    <row r="1363" spans="1:25" x14ac:dyDescent="0.3">
      <c r="A1363" t="s">
        <v>1713</v>
      </c>
      <c r="B1363" s="1">
        <v>46030</v>
      </c>
      <c r="C1363" t="s">
        <v>120</v>
      </c>
      <c r="D1363" t="s">
        <v>79</v>
      </c>
      <c r="E1363" t="s">
        <v>80</v>
      </c>
      <c r="F1363" t="s">
        <v>31</v>
      </c>
      <c r="G1363" t="s">
        <v>21</v>
      </c>
      <c r="H1363" t="s">
        <v>93</v>
      </c>
      <c r="I1363">
        <v>4</v>
      </c>
      <c r="J1363">
        <v>13453.05</v>
      </c>
      <c r="K1363">
        <v>0.15</v>
      </c>
      <c r="L1363">
        <v>45740.37</v>
      </c>
      <c r="M1363" t="s">
        <v>23</v>
      </c>
      <c r="N1363" t="s">
        <v>71</v>
      </c>
      <c r="O1363" t="s">
        <v>65</v>
      </c>
      <c r="P1363" t="s">
        <v>50</v>
      </c>
      <c r="Q1363" t="str">
        <f t="shared" si="147"/>
        <v>Completed</v>
      </c>
      <c r="R1363" t="str">
        <f t="shared" si="148"/>
        <v>Online</v>
      </c>
      <c r="S1363" t="str">
        <v>Upi</v>
      </c>
      <c r="T1363" t="str">
        <v>Electronics</v>
      </c>
      <c r="U1363" t="str">
        <f t="shared" si="149"/>
        <v>VALID</v>
      </c>
      <c r="V1363" t="str">
        <f t="shared" si="150"/>
        <v>NORMAL</v>
      </c>
      <c r="W1363" t="str">
        <f t="shared" si="151"/>
        <v>Valid</v>
      </c>
      <c r="X1363">
        <f t="shared" si="153"/>
        <v>53812.2</v>
      </c>
      <c r="Y1363">
        <f t="shared" si="152"/>
        <v>45740.369999999995</v>
      </c>
    </row>
    <row r="1364" spans="1:25" x14ac:dyDescent="0.3">
      <c r="A1364" t="s">
        <v>1714</v>
      </c>
      <c r="B1364" s="1">
        <v>45960</v>
      </c>
      <c r="C1364" t="s">
        <v>1211</v>
      </c>
      <c r="D1364" t="s">
        <v>85</v>
      </c>
      <c r="E1364" t="s">
        <v>86</v>
      </c>
      <c r="F1364" t="s">
        <v>20</v>
      </c>
      <c r="G1364" t="s">
        <v>56</v>
      </c>
      <c r="H1364" t="s">
        <v>64</v>
      </c>
      <c r="I1364">
        <v>3</v>
      </c>
      <c r="J1364">
        <v>1910.05</v>
      </c>
      <c r="K1364">
        <v>0.1</v>
      </c>
      <c r="L1364">
        <v>5157.1400000000003</v>
      </c>
      <c r="M1364" t="s">
        <v>48</v>
      </c>
      <c r="N1364" t="s">
        <v>34</v>
      </c>
      <c r="O1364" t="s">
        <v>65</v>
      </c>
      <c r="P1364" t="s">
        <v>42</v>
      </c>
      <c r="Q1364" t="str">
        <f t="shared" si="147"/>
        <v>Completed</v>
      </c>
      <c r="R1364" t="str">
        <f t="shared" si="148"/>
        <v>Marketplace</v>
      </c>
      <c r="S1364" t="str">
        <v>Cash On Delivery</v>
      </c>
      <c r="T1364" t="str">
        <v>Accessories</v>
      </c>
      <c r="U1364" t="str">
        <f t="shared" si="149"/>
        <v>VALID</v>
      </c>
      <c r="V1364" t="str">
        <f t="shared" si="150"/>
        <v>NORMAL</v>
      </c>
      <c r="W1364" t="str">
        <f t="shared" si="151"/>
        <v>Valid</v>
      </c>
      <c r="X1364">
        <f t="shared" si="153"/>
        <v>5730.15</v>
      </c>
      <c r="Y1364">
        <f t="shared" si="152"/>
        <v>5157.1349999999993</v>
      </c>
    </row>
    <row r="1365" spans="1:25" x14ac:dyDescent="0.3">
      <c r="A1365" t="s">
        <v>1715</v>
      </c>
      <c r="B1365" s="1">
        <v>45480</v>
      </c>
      <c r="C1365" t="s">
        <v>225</v>
      </c>
      <c r="D1365" t="s">
        <v>85</v>
      </c>
      <c r="E1365" t="s">
        <v>86</v>
      </c>
      <c r="F1365" t="s">
        <v>20</v>
      </c>
      <c r="G1365" t="s">
        <v>81</v>
      </c>
      <c r="H1365" t="s">
        <v>82</v>
      </c>
      <c r="I1365">
        <v>4</v>
      </c>
      <c r="J1365">
        <v>1901.73</v>
      </c>
      <c r="K1365">
        <v>0.05</v>
      </c>
      <c r="L1365">
        <v>7226.57</v>
      </c>
      <c r="M1365" t="s">
        <v>23</v>
      </c>
      <c r="N1365" t="s">
        <v>71</v>
      </c>
      <c r="O1365" t="s">
        <v>65</v>
      </c>
      <c r="P1365" t="s">
        <v>59</v>
      </c>
      <c r="Q1365" t="str">
        <f t="shared" si="147"/>
        <v>Completed</v>
      </c>
      <c r="R1365" t="str">
        <f t="shared" si="148"/>
        <v>Online</v>
      </c>
      <c r="S1365" t="str">
        <v>Upi</v>
      </c>
      <c r="T1365" t="str">
        <v>Accessories</v>
      </c>
      <c r="U1365" t="str">
        <f t="shared" si="149"/>
        <v>VALID</v>
      </c>
      <c r="V1365" t="str">
        <f t="shared" si="150"/>
        <v>NORMAL</v>
      </c>
      <c r="W1365" t="str">
        <f t="shared" si="151"/>
        <v>Valid</v>
      </c>
      <c r="X1365">
        <f t="shared" si="153"/>
        <v>7606.92</v>
      </c>
      <c r="Y1365">
        <f t="shared" si="152"/>
        <v>7226.5740000000005</v>
      </c>
    </row>
    <row r="1366" spans="1:25" x14ac:dyDescent="0.3">
      <c r="A1366" t="s">
        <v>1716</v>
      </c>
      <c r="B1366" s="1">
        <v>45655</v>
      </c>
      <c r="C1366" t="s">
        <v>225</v>
      </c>
      <c r="D1366" t="s">
        <v>96</v>
      </c>
      <c r="E1366" t="s">
        <v>97</v>
      </c>
      <c r="F1366" t="s">
        <v>31</v>
      </c>
      <c r="G1366" t="s">
        <v>32</v>
      </c>
      <c r="H1366" t="s">
        <v>47</v>
      </c>
      <c r="I1366">
        <v>3</v>
      </c>
      <c r="J1366">
        <v>1228.48</v>
      </c>
      <c r="K1366">
        <v>0.08</v>
      </c>
      <c r="L1366">
        <v>3390.6</v>
      </c>
      <c r="M1366" t="s">
        <v>76</v>
      </c>
      <c r="N1366" t="s">
        <v>71</v>
      </c>
      <c r="O1366" t="s">
        <v>25</v>
      </c>
      <c r="P1366" t="s">
        <v>42</v>
      </c>
      <c r="Q1366" t="str">
        <f t="shared" si="147"/>
        <v>Returned</v>
      </c>
      <c r="R1366" t="str">
        <f t="shared" si="148"/>
        <v>Store</v>
      </c>
      <c r="S1366" t="str">
        <v>Upi</v>
      </c>
      <c r="T1366" t="str">
        <v>Electronics</v>
      </c>
      <c r="U1366" t="str">
        <f t="shared" si="149"/>
        <v>VALID</v>
      </c>
      <c r="V1366" t="str">
        <f t="shared" si="150"/>
        <v>NORMAL</v>
      </c>
      <c r="W1366" t="str">
        <f t="shared" si="151"/>
        <v>Valid</v>
      </c>
      <c r="X1366">
        <f t="shared" si="153"/>
        <v>3685.44</v>
      </c>
      <c r="Y1366">
        <f t="shared" si="152"/>
        <v>3390.6048000000001</v>
      </c>
    </row>
    <row r="1367" spans="1:25" x14ac:dyDescent="0.3">
      <c r="A1367" t="s">
        <v>1717</v>
      </c>
      <c r="B1367" s="1">
        <v>45306</v>
      </c>
      <c r="C1367" t="s">
        <v>597</v>
      </c>
      <c r="D1367" t="s">
        <v>170</v>
      </c>
      <c r="E1367" t="s">
        <v>171</v>
      </c>
      <c r="F1367" t="s">
        <v>31</v>
      </c>
      <c r="G1367" t="s">
        <v>32</v>
      </c>
      <c r="H1367" t="s">
        <v>47</v>
      </c>
      <c r="I1367">
        <v>2</v>
      </c>
      <c r="J1367">
        <v>62964.61</v>
      </c>
      <c r="K1367">
        <v>0</v>
      </c>
      <c r="L1367">
        <v>125929.22</v>
      </c>
      <c r="M1367" t="s">
        <v>23</v>
      </c>
      <c r="N1367" t="s">
        <v>49</v>
      </c>
      <c r="O1367" t="s">
        <v>65</v>
      </c>
      <c r="P1367" t="s">
        <v>50</v>
      </c>
      <c r="Q1367" t="str">
        <f t="shared" si="147"/>
        <v>Completed</v>
      </c>
      <c r="R1367" t="str">
        <f t="shared" si="148"/>
        <v>Online</v>
      </c>
      <c r="S1367" t="str">
        <v>Net Banking</v>
      </c>
      <c r="T1367" t="str">
        <v>Electronics</v>
      </c>
      <c r="U1367" t="str">
        <f t="shared" si="149"/>
        <v>VALID</v>
      </c>
      <c r="V1367" t="str">
        <f t="shared" si="150"/>
        <v>NORMAL</v>
      </c>
      <c r="W1367" t="str">
        <f t="shared" si="151"/>
        <v>Valid</v>
      </c>
      <c r="X1367">
        <f t="shared" si="153"/>
        <v>125929.22</v>
      </c>
      <c r="Y1367">
        <f t="shared" si="152"/>
        <v>125929.22</v>
      </c>
    </row>
    <row r="1368" spans="1:25" x14ac:dyDescent="0.3">
      <c r="A1368" t="s">
        <v>1718</v>
      </c>
      <c r="B1368" s="1">
        <v>45604</v>
      </c>
      <c r="C1368" t="s">
        <v>581</v>
      </c>
      <c r="D1368" t="s">
        <v>53</v>
      </c>
      <c r="E1368" t="s">
        <v>54</v>
      </c>
      <c r="F1368" t="s">
        <v>55</v>
      </c>
      <c r="G1368" t="s">
        <v>81</v>
      </c>
      <c r="H1368" t="s">
        <v>98</v>
      </c>
      <c r="I1368">
        <v>4</v>
      </c>
      <c r="J1368">
        <v>224.73</v>
      </c>
      <c r="K1368">
        <v>0.03</v>
      </c>
      <c r="L1368">
        <v>871.95</v>
      </c>
      <c r="M1368" t="s">
        <v>23</v>
      </c>
      <c r="N1368" t="s">
        <v>71</v>
      </c>
      <c r="O1368" t="s">
        <v>65</v>
      </c>
      <c r="P1368" t="s">
        <v>111</v>
      </c>
      <c r="Q1368" t="str">
        <f t="shared" si="147"/>
        <v>Completed</v>
      </c>
      <c r="R1368" t="str">
        <f t="shared" si="148"/>
        <v>Online</v>
      </c>
      <c r="S1368" t="str">
        <v>Upi</v>
      </c>
      <c r="T1368" t="str">
        <v>Stationery</v>
      </c>
      <c r="U1368" t="str">
        <f t="shared" si="149"/>
        <v>VALID</v>
      </c>
      <c r="V1368" t="str">
        <f t="shared" si="150"/>
        <v>NORMAL</v>
      </c>
      <c r="W1368" t="str">
        <f t="shared" si="151"/>
        <v>Valid</v>
      </c>
      <c r="X1368">
        <f t="shared" si="153"/>
        <v>898.92</v>
      </c>
      <c r="Y1368">
        <f t="shared" si="152"/>
        <v>871.95240000000001</v>
      </c>
    </row>
    <row r="1369" spans="1:25" x14ac:dyDescent="0.3">
      <c r="A1369" t="s">
        <v>1719</v>
      </c>
      <c r="B1369" s="1">
        <v>45431</v>
      </c>
      <c r="C1369" t="s">
        <v>184</v>
      </c>
      <c r="D1369" t="s">
        <v>29</v>
      </c>
      <c r="E1369" t="s">
        <v>30</v>
      </c>
      <c r="F1369" t="s">
        <v>31</v>
      </c>
      <c r="G1369" t="s">
        <v>81</v>
      </c>
      <c r="H1369" t="s">
        <v>98</v>
      </c>
      <c r="I1369">
        <v>2</v>
      </c>
      <c r="J1369">
        <v>3341.78</v>
      </c>
      <c r="K1369">
        <v>0.1</v>
      </c>
      <c r="L1369">
        <v>6015.2</v>
      </c>
      <c r="M1369" t="s">
        <v>23</v>
      </c>
      <c r="N1369" t="s">
        <v>49</v>
      </c>
      <c r="O1369" t="s">
        <v>65</v>
      </c>
      <c r="P1369" t="s">
        <v>26</v>
      </c>
      <c r="Q1369" t="str">
        <f t="shared" si="147"/>
        <v>Completed</v>
      </c>
      <c r="R1369" t="str">
        <f t="shared" si="148"/>
        <v>Online</v>
      </c>
      <c r="S1369" t="str">
        <v>Net Banking</v>
      </c>
      <c r="T1369" t="str">
        <v>Electronics</v>
      </c>
      <c r="U1369" t="str">
        <f t="shared" si="149"/>
        <v>VALID</v>
      </c>
      <c r="V1369" t="str">
        <f t="shared" si="150"/>
        <v>NORMAL</v>
      </c>
      <c r="W1369" t="str">
        <f t="shared" si="151"/>
        <v>Valid</v>
      </c>
      <c r="X1369">
        <f t="shared" si="153"/>
        <v>6683.56</v>
      </c>
      <c r="Y1369">
        <f t="shared" si="152"/>
        <v>6015.2040000000006</v>
      </c>
    </row>
    <row r="1370" spans="1:25" x14ac:dyDescent="0.3">
      <c r="A1370" t="s">
        <v>1720</v>
      </c>
      <c r="B1370" s="1">
        <v>45933</v>
      </c>
      <c r="C1370" t="s">
        <v>166</v>
      </c>
      <c r="D1370" t="s">
        <v>18</v>
      </c>
      <c r="E1370" t="s">
        <v>19</v>
      </c>
      <c r="F1370" t="s">
        <v>20</v>
      </c>
      <c r="G1370" t="s">
        <v>81</v>
      </c>
      <c r="H1370" t="s">
        <v>82</v>
      </c>
      <c r="I1370">
        <v>2</v>
      </c>
      <c r="J1370">
        <v>798.29</v>
      </c>
      <c r="K1370">
        <v>0.03</v>
      </c>
      <c r="L1370">
        <v>1548.68</v>
      </c>
      <c r="M1370" t="s">
        <v>23</v>
      </c>
      <c r="N1370" t="s">
        <v>24</v>
      </c>
      <c r="O1370" t="s">
        <v>65</v>
      </c>
      <c r="P1370" t="s">
        <v>102</v>
      </c>
      <c r="Q1370" t="str">
        <f t="shared" si="147"/>
        <v>Completed</v>
      </c>
      <c r="R1370" t="str">
        <f t="shared" si="148"/>
        <v>Online</v>
      </c>
      <c r="S1370" t="str">
        <v>Debit Card</v>
      </c>
      <c r="T1370" t="str">
        <v>Accessories</v>
      </c>
      <c r="U1370" t="str">
        <f t="shared" si="149"/>
        <v>VALID</v>
      </c>
      <c r="V1370" t="str">
        <f t="shared" si="150"/>
        <v>NORMAL</v>
      </c>
      <c r="W1370" t="str">
        <f t="shared" si="151"/>
        <v>Valid</v>
      </c>
      <c r="X1370">
        <f t="shared" si="153"/>
        <v>1596.58</v>
      </c>
      <c r="Y1370">
        <f t="shared" si="152"/>
        <v>1548.6825999999999</v>
      </c>
    </row>
    <row r="1371" spans="1:25" x14ac:dyDescent="0.3">
      <c r="A1371" t="s">
        <v>1721</v>
      </c>
      <c r="B1371" s="1">
        <v>45583</v>
      </c>
      <c r="D1371" t="s">
        <v>62</v>
      </c>
      <c r="E1371" t="s">
        <v>63</v>
      </c>
      <c r="F1371" t="s">
        <v>31</v>
      </c>
      <c r="G1371" t="s">
        <v>81</v>
      </c>
      <c r="I1371">
        <v>1</v>
      </c>
      <c r="J1371">
        <v>2979.86</v>
      </c>
      <c r="K1371">
        <v>-0.1</v>
      </c>
      <c r="L1371">
        <v>2890.46</v>
      </c>
      <c r="M1371" t="s">
        <v>48</v>
      </c>
      <c r="N1371" t="s">
        <v>58</v>
      </c>
      <c r="O1371" t="s">
        <v>65</v>
      </c>
      <c r="P1371" t="s">
        <v>102</v>
      </c>
      <c r="Q1371" t="str">
        <f t="shared" si="147"/>
        <v>Completed</v>
      </c>
      <c r="R1371" t="str">
        <f t="shared" si="148"/>
        <v>Marketplace</v>
      </c>
      <c r="S1371" t="str">
        <v>Credit Card</v>
      </c>
      <c r="T1371" t="str">
        <v>Electronics</v>
      </c>
      <c r="U1371" t="str">
        <f t="shared" si="149"/>
        <v>VALID</v>
      </c>
      <c r="V1371" t="str">
        <f t="shared" si="150"/>
        <v>NORMAL</v>
      </c>
      <c r="W1371" t="str">
        <f t="shared" si="151"/>
        <v>Invalid</v>
      </c>
      <c r="X1371">
        <f t="shared" si="153"/>
        <v>2979.86</v>
      </c>
      <c r="Y1371">
        <f t="shared" si="152"/>
        <v>3277.846</v>
      </c>
    </row>
    <row r="1372" spans="1:25" x14ac:dyDescent="0.3">
      <c r="A1372" t="s">
        <v>1722</v>
      </c>
      <c r="B1372" s="1">
        <v>45943</v>
      </c>
      <c r="C1372" t="s">
        <v>520</v>
      </c>
      <c r="D1372" t="s">
        <v>79</v>
      </c>
      <c r="E1372" t="s">
        <v>80</v>
      </c>
      <c r="F1372" t="s">
        <v>31</v>
      </c>
      <c r="G1372" t="s">
        <v>32</v>
      </c>
      <c r="H1372" t="s">
        <v>75</v>
      </c>
      <c r="I1372">
        <v>3</v>
      </c>
      <c r="J1372">
        <v>12385.77</v>
      </c>
      <c r="K1372">
        <v>0</v>
      </c>
      <c r="L1372">
        <v>37157.31</v>
      </c>
      <c r="M1372" t="s">
        <v>23</v>
      </c>
      <c r="N1372" t="s">
        <v>34</v>
      </c>
      <c r="O1372" t="s">
        <v>65</v>
      </c>
      <c r="P1372" t="s">
        <v>42</v>
      </c>
      <c r="Q1372" t="str">
        <f t="shared" si="147"/>
        <v>Completed</v>
      </c>
      <c r="R1372" t="str">
        <f t="shared" si="148"/>
        <v>Online</v>
      </c>
      <c r="S1372" t="str">
        <v>Cash On Delivery</v>
      </c>
      <c r="T1372" t="str">
        <v>Electronics</v>
      </c>
      <c r="U1372" t="str">
        <f t="shared" si="149"/>
        <v>VALID</v>
      </c>
      <c r="V1372" t="str">
        <f t="shared" si="150"/>
        <v>NORMAL</v>
      </c>
      <c r="W1372" t="str">
        <f t="shared" si="151"/>
        <v>Valid</v>
      </c>
      <c r="X1372">
        <f t="shared" si="153"/>
        <v>37157.31</v>
      </c>
      <c r="Y1372">
        <f t="shared" si="152"/>
        <v>37157.31</v>
      </c>
    </row>
    <row r="1373" spans="1:25" x14ac:dyDescent="0.3">
      <c r="A1373" t="s">
        <v>1723</v>
      </c>
      <c r="B1373" s="1">
        <v>45748</v>
      </c>
      <c r="C1373" t="s">
        <v>457</v>
      </c>
      <c r="D1373" t="s">
        <v>131</v>
      </c>
      <c r="E1373" t="s">
        <v>132</v>
      </c>
      <c r="F1373" t="s">
        <v>40</v>
      </c>
      <c r="G1373" t="s">
        <v>21</v>
      </c>
      <c r="H1373" t="s">
        <v>93</v>
      </c>
      <c r="I1373">
        <v>4</v>
      </c>
      <c r="J1373">
        <v>9395.58</v>
      </c>
      <c r="K1373">
        <v>0.05</v>
      </c>
      <c r="L1373">
        <v>35703.199999999997</v>
      </c>
      <c r="M1373" t="s">
        <v>48</v>
      </c>
      <c r="N1373" t="s">
        <v>24</v>
      </c>
      <c r="O1373" t="s">
        <v>25</v>
      </c>
      <c r="P1373" t="s">
        <v>50</v>
      </c>
      <c r="Q1373" t="str">
        <f t="shared" si="147"/>
        <v>Returned</v>
      </c>
      <c r="R1373" t="str">
        <f t="shared" si="148"/>
        <v>Marketplace</v>
      </c>
      <c r="S1373" t="str">
        <v>Debit Card</v>
      </c>
      <c r="T1373" t="str">
        <v>Furniture</v>
      </c>
      <c r="U1373" t="str">
        <f t="shared" si="149"/>
        <v>VALID</v>
      </c>
      <c r="V1373" t="str">
        <f t="shared" si="150"/>
        <v>NORMAL</v>
      </c>
      <c r="W1373" t="str">
        <f t="shared" si="151"/>
        <v>Valid</v>
      </c>
      <c r="X1373">
        <f t="shared" si="153"/>
        <v>37582.32</v>
      </c>
      <c r="Y1373">
        <f t="shared" si="152"/>
        <v>35703.203999999998</v>
      </c>
    </row>
    <row r="1374" spans="1:25" x14ac:dyDescent="0.3">
      <c r="A1374" t="s">
        <v>1724</v>
      </c>
      <c r="B1374" s="1">
        <v>45471</v>
      </c>
      <c r="C1374" t="s">
        <v>528</v>
      </c>
      <c r="D1374" t="s">
        <v>62</v>
      </c>
      <c r="E1374" t="s">
        <v>63</v>
      </c>
      <c r="F1374" t="s">
        <v>31</v>
      </c>
      <c r="G1374" t="s">
        <v>32</v>
      </c>
      <c r="H1374" t="s">
        <v>33</v>
      </c>
      <c r="I1374">
        <v>4</v>
      </c>
      <c r="J1374">
        <v>2910.76</v>
      </c>
      <c r="K1374">
        <v>0.08</v>
      </c>
      <c r="L1374">
        <v>10711.6</v>
      </c>
      <c r="M1374" t="s">
        <v>23</v>
      </c>
      <c r="N1374" t="s">
        <v>71</v>
      </c>
      <c r="O1374" t="s">
        <v>65</v>
      </c>
      <c r="P1374" t="s">
        <v>26</v>
      </c>
      <c r="Q1374" t="str">
        <f t="shared" si="147"/>
        <v>Completed</v>
      </c>
      <c r="R1374" t="str">
        <f t="shared" si="148"/>
        <v>Online</v>
      </c>
      <c r="S1374" t="str">
        <v>Upi</v>
      </c>
      <c r="T1374" t="str">
        <v>Electronics</v>
      </c>
      <c r="U1374" t="str">
        <f t="shared" si="149"/>
        <v>VALID</v>
      </c>
      <c r="V1374" t="str">
        <f t="shared" si="150"/>
        <v>NORMAL</v>
      </c>
      <c r="W1374" t="str">
        <f t="shared" si="151"/>
        <v>Valid</v>
      </c>
      <c r="X1374">
        <f t="shared" si="153"/>
        <v>11643.04</v>
      </c>
      <c r="Y1374">
        <f t="shared" si="152"/>
        <v>10711.596800000001</v>
      </c>
    </row>
    <row r="1375" spans="1:25" x14ac:dyDescent="0.3">
      <c r="A1375" t="s">
        <v>1725</v>
      </c>
      <c r="B1375" s="1">
        <v>45693</v>
      </c>
      <c r="C1375" t="s">
        <v>406</v>
      </c>
      <c r="D1375" t="s">
        <v>176</v>
      </c>
      <c r="E1375" t="s">
        <v>177</v>
      </c>
      <c r="F1375" t="s">
        <v>31</v>
      </c>
      <c r="G1375" t="s">
        <v>56</v>
      </c>
      <c r="H1375" t="s">
        <v>123</v>
      </c>
      <c r="I1375">
        <v>2</v>
      </c>
      <c r="J1375">
        <v>2362.91</v>
      </c>
      <c r="K1375">
        <v>0.15</v>
      </c>
      <c r="L1375">
        <v>4016.95</v>
      </c>
      <c r="M1375" t="s">
        <v>48</v>
      </c>
      <c r="N1375" t="s">
        <v>58</v>
      </c>
      <c r="O1375" t="s">
        <v>25</v>
      </c>
      <c r="P1375" t="s">
        <v>116</v>
      </c>
      <c r="Q1375" t="str">
        <f t="shared" si="147"/>
        <v>Returned</v>
      </c>
      <c r="R1375" t="str">
        <f t="shared" si="148"/>
        <v>Marketplace</v>
      </c>
      <c r="S1375" t="str">
        <v>Credit Card</v>
      </c>
      <c r="T1375" t="str">
        <v>Electronics</v>
      </c>
      <c r="U1375" t="str">
        <f t="shared" si="149"/>
        <v>VALID</v>
      </c>
      <c r="V1375" t="str">
        <f t="shared" si="150"/>
        <v>NORMAL</v>
      </c>
      <c r="W1375" t="str">
        <f t="shared" si="151"/>
        <v>Valid</v>
      </c>
      <c r="X1375">
        <f t="shared" si="153"/>
        <v>4725.82</v>
      </c>
      <c r="Y1375">
        <f t="shared" si="152"/>
        <v>4016.9469999999997</v>
      </c>
    </row>
    <row r="1376" spans="1:25" x14ac:dyDescent="0.3">
      <c r="A1376" t="s">
        <v>1726</v>
      </c>
      <c r="B1376" s="1">
        <v>46053</v>
      </c>
      <c r="C1376" t="s">
        <v>212</v>
      </c>
      <c r="D1376" t="s">
        <v>131</v>
      </c>
      <c r="E1376" t="s">
        <v>132</v>
      </c>
      <c r="F1376" t="s">
        <v>40</v>
      </c>
      <c r="G1376" t="s">
        <v>81</v>
      </c>
      <c r="H1376" t="s">
        <v>87</v>
      </c>
      <c r="I1376">
        <v>1</v>
      </c>
      <c r="J1376">
        <v>9970.49</v>
      </c>
      <c r="K1376">
        <v>0.08</v>
      </c>
      <c r="L1376">
        <v>9172.85</v>
      </c>
      <c r="M1376" t="s">
        <v>48</v>
      </c>
      <c r="N1376" t="s">
        <v>34</v>
      </c>
      <c r="O1376" t="s">
        <v>65</v>
      </c>
      <c r="P1376" t="s">
        <v>111</v>
      </c>
      <c r="Q1376" t="str">
        <f t="shared" si="147"/>
        <v>Completed</v>
      </c>
      <c r="R1376" t="str">
        <f t="shared" si="148"/>
        <v>Marketplace</v>
      </c>
      <c r="S1376" t="str">
        <v>Cash On Delivery</v>
      </c>
      <c r="T1376" t="str">
        <v>Furniture</v>
      </c>
      <c r="U1376" t="str">
        <f t="shared" si="149"/>
        <v>VALID</v>
      </c>
      <c r="V1376" t="str">
        <f t="shared" si="150"/>
        <v>NORMAL</v>
      </c>
      <c r="W1376" t="str">
        <f t="shared" si="151"/>
        <v>Valid</v>
      </c>
      <c r="X1376">
        <f t="shared" si="153"/>
        <v>9970.49</v>
      </c>
      <c r="Y1376">
        <f t="shared" si="152"/>
        <v>9172.8508000000002</v>
      </c>
    </row>
    <row r="1377" spans="1:25" x14ac:dyDescent="0.3">
      <c r="A1377" t="s">
        <v>1727</v>
      </c>
      <c r="B1377" s="1">
        <v>45308</v>
      </c>
      <c r="C1377" t="s">
        <v>447</v>
      </c>
      <c r="D1377" t="s">
        <v>85</v>
      </c>
      <c r="E1377" t="s">
        <v>86</v>
      </c>
      <c r="F1377" t="s">
        <v>20</v>
      </c>
      <c r="G1377" t="s">
        <v>56</v>
      </c>
      <c r="H1377" t="s">
        <v>64</v>
      </c>
      <c r="I1377">
        <v>2</v>
      </c>
      <c r="J1377">
        <v>1695.84</v>
      </c>
      <c r="K1377">
        <v>0.2</v>
      </c>
      <c r="L1377">
        <v>2713.34</v>
      </c>
      <c r="M1377" t="s">
        <v>23</v>
      </c>
      <c r="N1377" t="s">
        <v>71</v>
      </c>
      <c r="O1377" t="s">
        <v>65</v>
      </c>
      <c r="P1377" t="s">
        <v>111</v>
      </c>
      <c r="Q1377" t="str">
        <f t="shared" si="147"/>
        <v>Completed</v>
      </c>
      <c r="R1377" t="str">
        <f t="shared" si="148"/>
        <v>Online</v>
      </c>
      <c r="S1377" t="str">
        <v>Upi</v>
      </c>
      <c r="T1377" t="str">
        <v>Accessories</v>
      </c>
      <c r="U1377" t="str">
        <f t="shared" si="149"/>
        <v>VALID</v>
      </c>
      <c r="V1377" t="str">
        <f t="shared" si="150"/>
        <v>NORMAL</v>
      </c>
      <c r="W1377" t="str">
        <f t="shared" si="151"/>
        <v>Valid</v>
      </c>
      <c r="X1377">
        <f t="shared" si="153"/>
        <v>3391.68</v>
      </c>
      <c r="Y1377">
        <f t="shared" si="152"/>
        <v>2713.3440000000001</v>
      </c>
    </row>
    <row r="1378" spans="1:25" x14ac:dyDescent="0.3">
      <c r="A1378" t="s">
        <v>1728</v>
      </c>
      <c r="B1378" s="1">
        <v>46088</v>
      </c>
      <c r="C1378" t="s">
        <v>526</v>
      </c>
      <c r="D1378" t="s">
        <v>18</v>
      </c>
      <c r="E1378" t="s">
        <v>19</v>
      </c>
      <c r="F1378" t="s">
        <v>20</v>
      </c>
      <c r="G1378" t="s">
        <v>56</v>
      </c>
      <c r="H1378" t="s">
        <v>123</v>
      </c>
      <c r="I1378">
        <v>4</v>
      </c>
      <c r="J1378">
        <v>880.37</v>
      </c>
      <c r="K1378">
        <v>0.2</v>
      </c>
      <c r="L1378">
        <v>2817.18</v>
      </c>
      <c r="M1378" t="s">
        <v>76</v>
      </c>
      <c r="N1378" t="s">
        <v>24</v>
      </c>
      <c r="O1378" t="s">
        <v>65</v>
      </c>
      <c r="P1378" t="s">
        <v>50</v>
      </c>
      <c r="Q1378" t="str">
        <f t="shared" si="147"/>
        <v>Completed</v>
      </c>
      <c r="R1378" t="str">
        <f t="shared" si="148"/>
        <v>Store</v>
      </c>
      <c r="S1378" t="str">
        <v>Debit Card</v>
      </c>
      <c r="T1378" t="str">
        <v>Accessories</v>
      </c>
      <c r="U1378" t="str">
        <f t="shared" si="149"/>
        <v>VALID</v>
      </c>
      <c r="V1378" t="str">
        <f t="shared" si="150"/>
        <v>NORMAL</v>
      </c>
      <c r="W1378" t="str">
        <f t="shared" si="151"/>
        <v>Valid</v>
      </c>
      <c r="X1378">
        <f t="shared" si="153"/>
        <v>3521.48</v>
      </c>
      <c r="Y1378">
        <f t="shared" si="152"/>
        <v>2817.1840000000002</v>
      </c>
    </row>
    <row r="1379" spans="1:25" x14ac:dyDescent="0.3">
      <c r="A1379" t="s">
        <v>1729</v>
      </c>
      <c r="B1379" s="1">
        <v>45561</v>
      </c>
      <c r="C1379" t="s">
        <v>208</v>
      </c>
      <c r="D1379" t="s">
        <v>170</v>
      </c>
      <c r="E1379" t="s">
        <v>171</v>
      </c>
      <c r="F1379" t="s">
        <v>31</v>
      </c>
      <c r="G1379" t="s">
        <v>21</v>
      </c>
      <c r="H1379" t="s">
        <v>93</v>
      </c>
      <c r="I1379">
        <v>3</v>
      </c>
      <c r="J1379">
        <v>69885.39</v>
      </c>
      <c r="K1379">
        <v>0.05</v>
      </c>
      <c r="L1379">
        <v>199173.36</v>
      </c>
      <c r="M1379" t="s">
        <v>48</v>
      </c>
      <c r="N1379" t="s">
        <v>58</v>
      </c>
      <c r="O1379" t="s">
        <v>65</v>
      </c>
      <c r="P1379" t="s">
        <v>26</v>
      </c>
      <c r="Q1379" t="str">
        <f t="shared" si="147"/>
        <v>Completed</v>
      </c>
      <c r="R1379" t="str">
        <f t="shared" si="148"/>
        <v>Marketplace</v>
      </c>
      <c r="S1379" t="str">
        <v>Credit Card</v>
      </c>
      <c r="T1379" t="str">
        <v>Electronics</v>
      </c>
      <c r="U1379" t="str">
        <f t="shared" si="149"/>
        <v>VALID</v>
      </c>
      <c r="V1379" t="str">
        <f t="shared" si="150"/>
        <v>NORMAL</v>
      </c>
      <c r="W1379" t="str">
        <f t="shared" si="151"/>
        <v>Valid</v>
      </c>
      <c r="X1379">
        <f t="shared" si="153"/>
        <v>209656.16999999998</v>
      </c>
      <c r="Y1379">
        <f t="shared" si="152"/>
        <v>199173.3615</v>
      </c>
    </row>
    <row r="1380" spans="1:25" x14ac:dyDescent="0.3">
      <c r="A1380" t="s">
        <v>1730</v>
      </c>
      <c r="B1380" s="1">
        <v>45994</v>
      </c>
      <c r="C1380" t="s">
        <v>542</v>
      </c>
      <c r="D1380" t="s">
        <v>176</v>
      </c>
      <c r="E1380" t="s">
        <v>177</v>
      </c>
      <c r="F1380" t="s">
        <v>31</v>
      </c>
      <c r="G1380" t="s">
        <v>21</v>
      </c>
      <c r="H1380" t="s">
        <v>41</v>
      </c>
      <c r="I1380">
        <v>1</v>
      </c>
      <c r="J1380">
        <v>2109.81</v>
      </c>
      <c r="K1380">
        <v>0.1</v>
      </c>
      <c r="L1380">
        <v>1898.83</v>
      </c>
      <c r="M1380" t="s">
        <v>76</v>
      </c>
      <c r="N1380" t="s">
        <v>58</v>
      </c>
      <c r="O1380" t="s">
        <v>35</v>
      </c>
      <c r="P1380" t="s">
        <v>59</v>
      </c>
      <c r="Q1380" t="str">
        <f t="shared" si="147"/>
        <v>Cancelled</v>
      </c>
      <c r="R1380" t="str">
        <f t="shared" si="148"/>
        <v>Store</v>
      </c>
      <c r="S1380" t="str">
        <v>Credit Card</v>
      </c>
      <c r="T1380" t="str">
        <v>Electronics</v>
      </c>
      <c r="U1380" t="str">
        <f t="shared" si="149"/>
        <v>VALID</v>
      </c>
      <c r="V1380" t="str">
        <f t="shared" si="150"/>
        <v>NORMAL</v>
      </c>
      <c r="W1380" t="str">
        <f t="shared" si="151"/>
        <v>Valid</v>
      </c>
      <c r="X1380">
        <f t="shared" si="153"/>
        <v>2109.81</v>
      </c>
      <c r="Y1380">
        <f t="shared" si="152"/>
        <v>1898.829</v>
      </c>
    </row>
    <row r="1381" spans="1:25" x14ac:dyDescent="0.3">
      <c r="A1381" t="s">
        <v>1731</v>
      </c>
      <c r="B1381" s="1">
        <v>45800</v>
      </c>
      <c r="C1381" t="s">
        <v>259</v>
      </c>
      <c r="D1381" t="s">
        <v>176</v>
      </c>
      <c r="E1381" t="s">
        <v>177</v>
      </c>
      <c r="F1381" t="s">
        <v>31</v>
      </c>
      <c r="G1381" t="s">
        <v>56</v>
      </c>
      <c r="H1381" t="s">
        <v>123</v>
      </c>
      <c r="I1381">
        <v>1</v>
      </c>
      <c r="J1381">
        <v>2201.9299999999998</v>
      </c>
      <c r="K1381">
        <v>0.03</v>
      </c>
      <c r="L1381">
        <v>2135.87</v>
      </c>
      <c r="M1381" t="s">
        <v>48</v>
      </c>
      <c r="N1381" t="s">
        <v>34</v>
      </c>
      <c r="O1381" t="s">
        <v>35</v>
      </c>
      <c r="P1381" t="s">
        <v>116</v>
      </c>
      <c r="Q1381" t="str">
        <f t="shared" si="147"/>
        <v>Cancelled</v>
      </c>
      <c r="R1381" t="str">
        <f t="shared" si="148"/>
        <v>Marketplace</v>
      </c>
      <c r="S1381" t="str">
        <v>Cash On Delivery</v>
      </c>
      <c r="T1381" t="str">
        <v>Electronics</v>
      </c>
      <c r="U1381" t="str">
        <f t="shared" si="149"/>
        <v>VALID</v>
      </c>
      <c r="V1381" t="str">
        <f t="shared" si="150"/>
        <v>NORMAL</v>
      </c>
      <c r="W1381" t="str">
        <f t="shared" si="151"/>
        <v>Valid</v>
      </c>
      <c r="X1381">
        <f t="shared" si="153"/>
        <v>2201.9299999999998</v>
      </c>
      <c r="Y1381">
        <f t="shared" si="152"/>
        <v>2135.8721</v>
      </c>
    </row>
    <row r="1382" spans="1:25" x14ac:dyDescent="0.3">
      <c r="A1382" t="s">
        <v>1732</v>
      </c>
      <c r="B1382" s="1">
        <v>45725</v>
      </c>
      <c r="C1382" t="s">
        <v>362</v>
      </c>
      <c r="D1382" t="s">
        <v>38</v>
      </c>
      <c r="E1382" t="s">
        <v>39</v>
      </c>
      <c r="F1382" t="s">
        <v>40</v>
      </c>
      <c r="G1382" t="s">
        <v>32</v>
      </c>
      <c r="H1382" t="s">
        <v>68</v>
      </c>
      <c r="I1382">
        <v>2</v>
      </c>
      <c r="J1382">
        <v>1486.47</v>
      </c>
      <c r="K1382">
        <v>0.2</v>
      </c>
      <c r="L1382">
        <v>2378.35</v>
      </c>
      <c r="M1382" t="s">
        <v>23</v>
      </c>
      <c r="N1382" t="s">
        <v>49</v>
      </c>
      <c r="O1382" t="s">
        <v>65</v>
      </c>
      <c r="P1382" t="s">
        <v>72</v>
      </c>
      <c r="Q1382" t="str">
        <f t="shared" si="147"/>
        <v>Completed</v>
      </c>
      <c r="R1382" t="str">
        <f t="shared" si="148"/>
        <v>Online</v>
      </c>
      <c r="S1382" t="str">
        <v>Net Banking</v>
      </c>
      <c r="T1382" t="str">
        <v>Furniture</v>
      </c>
      <c r="U1382" t="str">
        <f t="shared" si="149"/>
        <v>VALID</v>
      </c>
      <c r="V1382" t="str">
        <f t="shared" si="150"/>
        <v>NORMAL</v>
      </c>
      <c r="W1382" t="str">
        <f t="shared" si="151"/>
        <v>Valid</v>
      </c>
      <c r="X1382">
        <f t="shared" si="153"/>
        <v>2972.94</v>
      </c>
      <c r="Y1382">
        <f t="shared" si="152"/>
        <v>2378.3519999999999</v>
      </c>
    </row>
    <row r="1383" spans="1:25" x14ac:dyDescent="0.3">
      <c r="A1383" t="s">
        <v>1733</v>
      </c>
      <c r="B1383" s="1">
        <v>45320</v>
      </c>
      <c r="C1383" t="s">
        <v>1257</v>
      </c>
      <c r="D1383" t="s">
        <v>45</v>
      </c>
      <c r="E1383" t="s">
        <v>46</v>
      </c>
      <c r="F1383" t="s">
        <v>31</v>
      </c>
      <c r="G1383" t="s">
        <v>32</v>
      </c>
      <c r="H1383" t="s">
        <v>75</v>
      </c>
      <c r="I1383">
        <v>4</v>
      </c>
      <c r="J1383">
        <v>1836.03</v>
      </c>
      <c r="K1383">
        <v>0.15</v>
      </c>
      <c r="L1383">
        <v>6242.5</v>
      </c>
      <c r="M1383" t="s">
        <v>48</v>
      </c>
      <c r="N1383" t="s">
        <v>24</v>
      </c>
      <c r="O1383" t="s">
        <v>65</v>
      </c>
      <c r="P1383" t="s">
        <v>26</v>
      </c>
      <c r="Q1383" t="str">
        <f t="shared" si="147"/>
        <v>Completed</v>
      </c>
      <c r="R1383" t="str">
        <f t="shared" si="148"/>
        <v>Marketplace</v>
      </c>
      <c r="S1383" t="str">
        <v>Debit Card</v>
      </c>
      <c r="T1383" t="str">
        <v>Electronics</v>
      </c>
      <c r="U1383" t="str">
        <f t="shared" si="149"/>
        <v>VALID</v>
      </c>
      <c r="V1383" t="str">
        <f t="shared" si="150"/>
        <v>NORMAL</v>
      </c>
      <c r="W1383" t="str">
        <f t="shared" si="151"/>
        <v>Valid</v>
      </c>
      <c r="X1383">
        <f t="shared" si="153"/>
        <v>7344.12</v>
      </c>
      <c r="Y1383">
        <f t="shared" si="152"/>
        <v>6242.5020000000004</v>
      </c>
    </row>
    <row r="1384" spans="1:25" x14ac:dyDescent="0.3">
      <c r="A1384" t="s">
        <v>1734</v>
      </c>
      <c r="B1384" s="1">
        <v>46152</v>
      </c>
      <c r="C1384" t="s">
        <v>153</v>
      </c>
      <c r="D1384" t="s">
        <v>38</v>
      </c>
      <c r="E1384" t="s">
        <v>39</v>
      </c>
      <c r="F1384" t="s">
        <v>40</v>
      </c>
      <c r="G1384" t="s">
        <v>56</v>
      </c>
      <c r="H1384" t="s">
        <v>57</v>
      </c>
      <c r="I1384">
        <v>3</v>
      </c>
      <c r="J1384">
        <v>1543.93</v>
      </c>
      <c r="K1384">
        <v>0.2</v>
      </c>
      <c r="L1384">
        <v>3705.43</v>
      </c>
      <c r="M1384" t="s">
        <v>48</v>
      </c>
      <c r="N1384" t="s">
        <v>71</v>
      </c>
      <c r="O1384" t="s">
        <v>65</v>
      </c>
      <c r="Q1384" t="str">
        <f t="shared" si="147"/>
        <v>Completed</v>
      </c>
      <c r="R1384" t="str">
        <f t="shared" si="148"/>
        <v>Marketplace</v>
      </c>
      <c r="S1384" t="str">
        <v>Upi</v>
      </c>
      <c r="T1384" t="str">
        <v>Furniture</v>
      </c>
      <c r="U1384" t="str">
        <f t="shared" si="149"/>
        <v>VALID</v>
      </c>
      <c r="V1384" t="str">
        <f t="shared" si="150"/>
        <v>NORMAL</v>
      </c>
      <c r="W1384" t="str">
        <f t="shared" si="151"/>
        <v>Valid</v>
      </c>
      <c r="X1384">
        <f t="shared" si="153"/>
        <v>4631.79</v>
      </c>
      <c r="Y1384">
        <f t="shared" si="152"/>
        <v>3705.4319999999998</v>
      </c>
    </row>
    <row r="1385" spans="1:25" x14ac:dyDescent="0.3">
      <c r="A1385" t="s">
        <v>1735</v>
      </c>
      <c r="B1385" s="1">
        <v>45644</v>
      </c>
      <c r="C1385" t="s">
        <v>511</v>
      </c>
      <c r="D1385" t="s">
        <v>45</v>
      </c>
      <c r="E1385" t="s">
        <v>46</v>
      </c>
      <c r="F1385" t="s">
        <v>31</v>
      </c>
      <c r="G1385" t="s">
        <v>32</v>
      </c>
      <c r="H1385" t="s">
        <v>33</v>
      </c>
      <c r="I1385">
        <v>5</v>
      </c>
      <c r="J1385">
        <v>1696.71</v>
      </c>
      <c r="K1385">
        <v>0.03</v>
      </c>
      <c r="L1385">
        <v>8229.0400000000009</v>
      </c>
      <c r="M1385" t="s">
        <v>23</v>
      </c>
      <c r="N1385" t="s">
        <v>24</v>
      </c>
      <c r="O1385" t="s">
        <v>35</v>
      </c>
      <c r="P1385" t="s">
        <v>102</v>
      </c>
      <c r="Q1385" t="str">
        <f t="shared" si="147"/>
        <v>Cancelled</v>
      </c>
      <c r="R1385" t="str">
        <f t="shared" si="148"/>
        <v>Online</v>
      </c>
      <c r="S1385" t="str">
        <v>Debit Card</v>
      </c>
      <c r="T1385" t="str">
        <v>Electronics</v>
      </c>
      <c r="U1385" t="str">
        <f t="shared" si="149"/>
        <v>VALID</v>
      </c>
      <c r="V1385" t="str">
        <f t="shared" si="150"/>
        <v>NORMAL</v>
      </c>
      <c r="W1385" t="str">
        <f t="shared" si="151"/>
        <v>Valid</v>
      </c>
      <c r="X1385">
        <f t="shared" si="153"/>
        <v>8483.5499999999993</v>
      </c>
      <c r="Y1385">
        <f t="shared" si="152"/>
        <v>8229.0434999999998</v>
      </c>
    </row>
    <row r="1386" spans="1:25" x14ac:dyDescent="0.3">
      <c r="A1386" t="s">
        <v>1736</v>
      </c>
      <c r="B1386" s="1">
        <v>45402</v>
      </c>
      <c r="C1386" t="s">
        <v>457</v>
      </c>
      <c r="D1386" t="s">
        <v>38</v>
      </c>
      <c r="E1386" t="s">
        <v>39</v>
      </c>
      <c r="F1386" t="s">
        <v>40</v>
      </c>
      <c r="G1386" t="s">
        <v>56</v>
      </c>
      <c r="H1386" t="s">
        <v>101</v>
      </c>
      <c r="I1386">
        <v>3</v>
      </c>
      <c r="J1386">
        <v>1636.42</v>
      </c>
      <c r="K1386">
        <v>0</v>
      </c>
      <c r="L1386">
        <v>4909.26</v>
      </c>
      <c r="M1386" t="s">
        <v>48</v>
      </c>
      <c r="N1386" t="s">
        <v>71</v>
      </c>
      <c r="O1386" t="s">
        <v>65</v>
      </c>
      <c r="P1386" t="s">
        <v>72</v>
      </c>
      <c r="Q1386" t="str">
        <f t="shared" si="147"/>
        <v>Completed</v>
      </c>
      <c r="R1386" t="str">
        <f t="shared" si="148"/>
        <v>Marketplace</v>
      </c>
      <c r="S1386" t="str">
        <v>Upi</v>
      </c>
      <c r="T1386" t="str">
        <v>Furniture</v>
      </c>
      <c r="U1386" t="str">
        <f t="shared" si="149"/>
        <v>VALID</v>
      </c>
      <c r="V1386" t="str">
        <f t="shared" si="150"/>
        <v>NORMAL</v>
      </c>
      <c r="W1386" t="str">
        <f t="shared" si="151"/>
        <v>Valid</v>
      </c>
      <c r="X1386">
        <f t="shared" si="153"/>
        <v>4909.26</v>
      </c>
      <c r="Y1386">
        <f t="shared" si="152"/>
        <v>4909.26</v>
      </c>
    </row>
    <row r="1387" spans="1:25" x14ac:dyDescent="0.3">
      <c r="A1387" t="s">
        <v>1737</v>
      </c>
      <c r="B1387" s="1">
        <v>45737</v>
      </c>
      <c r="C1387" t="s">
        <v>520</v>
      </c>
      <c r="D1387" t="s">
        <v>53</v>
      </c>
      <c r="E1387" t="s">
        <v>54</v>
      </c>
      <c r="F1387" t="s">
        <v>55</v>
      </c>
      <c r="G1387" t="s">
        <v>81</v>
      </c>
      <c r="H1387" t="s">
        <v>98</v>
      </c>
      <c r="I1387">
        <v>4</v>
      </c>
      <c r="J1387">
        <v>227.23</v>
      </c>
      <c r="K1387">
        <v>0</v>
      </c>
      <c r="L1387">
        <v>908.92</v>
      </c>
      <c r="M1387" t="s">
        <v>48</v>
      </c>
      <c r="N1387" t="s">
        <v>24</v>
      </c>
      <c r="O1387" t="s">
        <v>25</v>
      </c>
      <c r="P1387" t="s">
        <v>26</v>
      </c>
      <c r="Q1387" t="str">
        <f t="shared" si="147"/>
        <v>Returned</v>
      </c>
      <c r="R1387" t="str">
        <f t="shared" si="148"/>
        <v>Marketplace</v>
      </c>
      <c r="S1387" t="str">
        <v>Debit Card</v>
      </c>
      <c r="T1387" t="str">
        <v>Stationery</v>
      </c>
      <c r="U1387" t="str">
        <f t="shared" si="149"/>
        <v>VALID</v>
      </c>
      <c r="V1387" t="str">
        <f t="shared" si="150"/>
        <v>NORMAL</v>
      </c>
      <c r="W1387" t="str">
        <f t="shared" si="151"/>
        <v>Valid</v>
      </c>
      <c r="X1387">
        <f t="shared" si="153"/>
        <v>908.92</v>
      </c>
      <c r="Y1387">
        <f t="shared" si="152"/>
        <v>908.92</v>
      </c>
    </row>
    <row r="1388" spans="1:25" x14ac:dyDescent="0.3">
      <c r="A1388" t="s">
        <v>1738</v>
      </c>
      <c r="B1388" s="1">
        <v>45890</v>
      </c>
      <c r="C1388" t="s">
        <v>327</v>
      </c>
      <c r="D1388" t="s">
        <v>170</v>
      </c>
      <c r="E1388" t="s">
        <v>171</v>
      </c>
      <c r="F1388" t="s">
        <v>31</v>
      </c>
      <c r="G1388" t="s">
        <v>21</v>
      </c>
      <c r="H1388" t="s">
        <v>22</v>
      </c>
      <c r="J1388">
        <v>69053.2</v>
      </c>
      <c r="K1388">
        <v>0.15</v>
      </c>
      <c r="L1388">
        <v>176085.66</v>
      </c>
      <c r="M1388" t="s">
        <v>23</v>
      </c>
      <c r="N1388" t="s">
        <v>58</v>
      </c>
      <c r="O1388" t="s">
        <v>25</v>
      </c>
      <c r="P1388" t="s">
        <v>50</v>
      </c>
      <c r="Q1388" t="str">
        <f t="shared" si="147"/>
        <v>Returned</v>
      </c>
      <c r="R1388" t="str">
        <f t="shared" si="148"/>
        <v>Online</v>
      </c>
      <c r="S1388" t="str">
        <v>Credit Card</v>
      </c>
      <c r="T1388" t="str">
        <v>Electronics</v>
      </c>
      <c r="U1388" t="str">
        <f t="shared" si="149"/>
        <v>INVALID</v>
      </c>
      <c r="V1388" t="str">
        <f t="shared" si="150"/>
        <v>NORMAL</v>
      </c>
      <c r="W1388" t="str">
        <f t="shared" si="151"/>
        <v>Valid</v>
      </c>
      <c r="X1388">
        <f t="shared" si="153"/>
        <v>0</v>
      </c>
      <c r="Y1388">
        <f t="shared" si="152"/>
        <v>0</v>
      </c>
    </row>
    <row r="1389" spans="1:25" x14ac:dyDescent="0.3">
      <c r="A1389" t="s">
        <v>1739</v>
      </c>
      <c r="B1389" s="1">
        <v>46062</v>
      </c>
      <c r="C1389" t="s">
        <v>631</v>
      </c>
      <c r="D1389" t="s">
        <v>79</v>
      </c>
      <c r="E1389" t="s">
        <v>80</v>
      </c>
      <c r="F1389" t="s">
        <v>31</v>
      </c>
      <c r="G1389" t="s">
        <v>21</v>
      </c>
      <c r="H1389" t="s">
        <v>41</v>
      </c>
      <c r="I1389">
        <v>1</v>
      </c>
      <c r="J1389">
        <v>12922.22</v>
      </c>
      <c r="K1389">
        <v>0.05</v>
      </c>
      <c r="L1389">
        <v>12276.11</v>
      </c>
      <c r="M1389" t="s">
        <v>76</v>
      </c>
      <c r="N1389" t="s">
        <v>58</v>
      </c>
      <c r="O1389" t="s">
        <v>65</v>
      </c>
      <c r="P1389" t="s">
        <v>102</v>
      </c>
      <c r="Q1389" t="str">
        <f t="shared" si="147"/>
        <v>Completed</v>
      </c>
      <c r="R1389" t="str">
        <f t="shared" si="148"/>
        <v>Store</v>
      </c>
      <c r="S1389" t="str">
        <v>Credit Card</v>
      </c>
      <c r="T1389" t="str">
        <v>Electronics</v>
      </c>
      <c r="U1389" t="str">
        <f t="shared" si="149"/>
        <v>VALID</v>
      </c>
      <c r="V1389" t="str">
        <f t="shared" si="150"/>
        <v>NORMAL</v>
      </c>
      <c r="W1389" t="str">
        <f t="shared" si="151"/>
        <v>Valid</v>
      </c>
      <c r="X1389">
        <f t="shared" si="153"/>
        <v>12922.22</v>
      </c>
      <c r="Y1389">
        <f t="shared" si="152"/>
        <v>12276.108999999999</v>
      </c>
    </row>
    <row r="1390" spans="1:25" x14ac:dyDescent="0.3">
      <c r="A1390" t="s">
        <v>1740</v>
      </c>
      <c r="B1390" s="1">
        <v>45846</v>
      </c>
      <c r="C1390" t="s">
        <v>190</v>
      </c>
      <c r="D1390" t="s">
        <v>62</v>
      </c>
      <c r="E1390" t="s">
        <v>63</v>
      </c>
      <c r="F1390" t="s">
        <v>31</v>
      </c>
      <c r="G1390" t="s">
        <v>56</v>
      </c>
      <c r="H1390" t="s">
        <v>64</v>
      </c>
      <c r="I1390">
        <v>3</v>
      </c>
      <c r="J1390">
        <v>2810.76</v>
      </c>
      <c r="K1390">
        <v>0.15</v>
      </c>
      <c r="L1390">
        <v>7167.44</v>
      </c>
      <c r="M1390" t="s">
        <v>48</v>
      </c>
      <c r="N1390" t="s">
        <v>71</v>
      </c>
      <c r="O1390" t="s">
        <v>35</v>
      </c>
      <c r="P1390" t="s">
        <v>102</v>
      </c>
      <c r="Q1390" t="str">
        <f t="shared" si="147"/>
        <v>Cancelled</v>
      </c>
      <c r="R1390" t="str">
        <f t="shared" si="148"/>
        <v>Marketplace</v>
      </c>
      <c r="S1390" t="str">
        <v>Upi</v>
      </c>
      <c r="T1390" t="str">
        <v>Electronics</v>
      </c>
      <c r="U1390" t="str">
        <f t="shared" si="149"/>
        <v>VALID</v>
      </c>
      <c r="V1390" t="str">
        <f t="shared" si="150"/>
        <v>NORMAL</v>
      </c>
      <c r="W1390" t="str">
        <f t="shared" si="151"/>
        <v>Valid</v>
      </c>
      <c r="X1390">
        <f t="shared" si="153"/>
        <v>8432.2800000000007</v>
      </c>
      <c r="Y1390">
        <f t="shared" si="152"/>
        <v>7167.4380000000001</v>
      </c>
    </row>
    <row r="1391" spans="1:25" x14ac:dyDescent="0.3">
      <c r="A1391" t="s">
        <v>1741</v>
      </c>
      <c r="B1391" s="1">
        <v>45313</v>
      </c>
      <c r="C1391" t="s">
        <v>61</v>
      </c>
      <c r="D1391" t="s">
        <v>176</v>
      </c>
      <c r="E1391" t="s">
        <v>177</v>
      </c>
      <c r="F1391" t="s">
        <v>31</v>
      </c>
      <c r="G1391" t="s">
        <v>81</v>
      </c>
      <c r="H1391" t="s">
        <v>87</v>
      </c>
      <c r="I1391">
        <v>2</v>
      </c>
      <c r="J1391">
        <v>2347</v>
      </c>
      <c r="K1391">
        <v>0.05</v>
      </c>
      <c r="L1391">
        <v>4459.3</v>
      </c>
      <c r="M1391" t="s">
        <v>23</v>
      </c>
      <c r="N1391" t="s">
        <v>34</v>
      </c>
      <c r="O1391" t="s">
        <v>65</v>
      </c>
      <c r="P1391" t="s">
        <v>59</v>
      </c>
      <c r="Q1391" t="str">
        <f t="shared" si="147"/>
        <v>Completed</v>
      </c>
      <c r="R1391" t="str">
        <f t="shared" si="148"/>
        <v>Online</v>
      </c>
      <c r="S1391" t="str">
        <v>Cash On Delivery</v>
      </c>
      <c r="T1391" t="str">
        <v>Electronics</v>
      </c>
      <c r="U1391" t="str">
        <f t="shared" si="149"/>
        <v>VALID</v>
      </c>
      <c r="V1391" t="str">
        <f t="shared" si="150"/>
        <v>NORMAL</v>
      </c>
      <c r="W1391" t="str">
        <f t="shared" si="151"/>
        <v>Valid</v>
      </c>
      <c r="X1391">
        <f t="shared" si="153"/>
        <v>4694</v>
      </c>
      <c r="Y1391">
        <f t="shared" si="152"/>
        <v>4459.3</v>
      </c>
    </row>
    <row r="1392" spans="1:25" x14ac:dyDescent="0.3">
      <c r="A1392" t="s">
        <v>1742</v>
      </c>
      <c r="B1392" s="1">
        <v>45376</v>
      </c>
      <c r="C1392" t="s">
        <v>570</v>
      </c>
      <c r="D1392" t="s">
        <v>131</v>
      </c>
      <c r="E1392" t="s">
        <v>132</v>
      </c>
      <c r="F1392" t="s">
        <v>40</v>
      </c>
      <c r="G1392" t="s">
        <v>21</v>
      </c>
      <c r="H1392" t="s">
        <v>93</v>
      </c>
      <c r="I1392">
        <v>5</v>
      </c>
      <c r="J1392">
        <v>9287.94</v>
      </c>
      <c r="K1392">
        <v>0.05</v>
      </c>
      <c r="L1392">
        <v>44117.72</v>
      </c>
      <c r="M1392" t="s">
        <v>23</v>
      </c>
      <c r="N1392" t="s">
        <v>34</v>
      </c>
      <c r="O1392" t="s">
        <v>65</v>
      </c>
      <c r="P1392" t="s">
        <v>50</v>
      </c>
      <c r="Q1392" t="str">
        <f t="shared" si="147"/>
        <v>Completed</v>
      </c>
      <c r="R1392" t="str">
        <f t="shared" si="148"/>
        <v>Online</v>
      </c>
      <c r="S1392" t="str">
        <v>Cash On Delivery</v>
      </c>
      <c r="T1392" t="str">
        <v>Furniture</v>
      </c>
      <c r="U1392" t="str">
        <f t="shared" si="149"/>
        <v>VALID</v>
      </c>
      <c r="V1392" t="str">
        <f t="shared" si="150"/>
        <v>NORMAL</v>
      </c>
      <c r="W1392" t="str">
        <f t="shared" si="151"/>
        <v>Valid</v>
      </c>
      <c r="X1392">
        <f t="shared" si="153"/>
        <v>46439.700000000004</v>
      </c>
      <c r="Y1392">
        <f t="shared" si="152"/>
        <v>44117.715000000004</v>
      </c>
    </row>
    <row r="1393" spans="1:25" x14ac:dyDescent="0.3">
      <c r="A1393" t="s">
        <v>1743</v>
      </c>
      <c r="B1393" s="1">
        <v>45419</v>
      </c>
      <c r="C1393" t="s">
        <v>817</v>
      </c>
      <c r="D1393" t="s">
        <v>29</v>
      </c>
      <c r="E1393" t="s">
        <v>30</v>
      </c>
      <c r="F1393" t="s">
        <v>31</v>
      </c>
      <c r="G1393" t="s">
        <v>56</v>
      </c>
      <c r="H1393" t="s">
        <v>64</v>
      </c>
      <c r="I1393">
        <v>4</v>
      </c>
      <c r="J1393">
        <v>3101.49</v>
      </c>
      <c r="K1393">
        <v>0.1</v>
      </c>
      <c r="L1393">
        <v>11165.36</v>
      </c>
      <c r="M1393" t="s">
        <v>76</v>
      </c>
      <c r="N1393" t="s">
        <v>58</v>
      </c>
      <c r="O1393" t="s">
        <v>65</v>
      </c>
      <c r="P1393" t="s">
        <v>59</v>
      </c>
      <c r="Q1393" t="str">
        <f t="shared" si="147"/>
        <v>Completed</v>
      </c>
      <c r="R1393" t="str">
        <f t="shared" si="148"/>
        <v>Store</v>
      </c>
      <c r="S1393" t="str">
        <v>Credit Card</v>
      </c>
      <c r="T1393" t="str">
        <v>Electronics</v>
      </c>
      <c r="U1393" t="str">
        <f t="shared" si="149"/>
        <v>VALID</v>
      </c>
      <c r="V1393" t="str">
        <f t="shared" si="150"/>
        <v>NORMAL</v>
      </c>
      <c r="W1393" t="str">
        <f t="shared" si="151"/>
        <v>Valid</v>
      </c>
      <c r="X1393">
        <f t="shared" si="153"/>
        <v>12405.96</v>
      </c>
      <c r="Y1393">
        <f t="shared" si="152"/>
        <v>11165.364</v>
      </c>
    </row>
    <row r="1394" spans="1:25" x14ac:dyDescent="0.3">
      <c r="A1394" t="s">
        <v>1744</v>
      </c>
      <c r="B1394" s="1">
        <v>45704</v>
      </c>
      <c r="C1394" t="s">
        <v>139</v>
      </c>
      <c r="D1394" t="s">
        <v>89</v>
      </c>
      <c r="E1394" t="s">
        <v>90</v>
      </c>
      <c r="F1394" t="s">
        <v>20</v>
      </c>
      <c r="G1394" t="s">
        <v>21</v>
      </c>
      <c r="H1394" t="s">
        <v>22</v>
      </c>
      <c r="I1394">
        <v>2</v>
      </c>
      <c r="J1394">
        <v>709.08</v>
      </c>
      <c r="K1394">
        <v>0.08</v>
      </c>
      <c r="L1394">
        <v>1304.71</v>
      </c>
      <c r="M1394" t="s">
        <v>48</v>
      </c>
      <c r="N1394" t="s">
        <v>24</v>
      </c>
      <c r="O1394" t="s">
        <v>35</v>
      </c>
      <c r="P1394" t="s">
        <v>42</v>
      </c>
      <c r="Q1394" t="str">
        <f t="shared" si="147"/>
        <v>Cancelled</v>
      </c>
      <c r="R1394" t="str">
        <f t="shared" si="148"/>
        <v>Marketplace</v>
      </c>
      <c r="S1394" t="str">
        <v>Debit Card</v>
      </c>
      <c r="T1394" t="str">
        <v>Accessories</v>
      </c>
      <c r="U1394" t="str">
        <f t="shared" si="149"/>
        <v>VALID</v>
      </c>
      <c r="V1394" t="str">
        <f t="shared" si="150"/>
        <v>NORMAL</v>
      </c>
      <c r="W1394" t="str">
        <f t="shared" si="151"/>
        <v>Valid</v>
      </c>
      <c r="X1394">
        <f t="shared" si="153"/>
        <v>1418.16</v>
      </c>
      <c r="Y1394">
        <f t="shared" si="152"/>
        <v>1304.7072000000001</v>
      </c>
    </row>
    <row r="1395" spans="1:25" x14ac:dyDescent="0.3">
      <c r="A1395" t="s">
        <v>1745</v>
      </c>
      <c r="B1395" s="1">
        <v>46054</v>
      </c>
      <c r="C1395" t="s">
        <v>247</v>
      </c>
      <c r="D1395" t="s">
        <v>105</v>
      </c>
      <c r="E1395" t="s">
        <v>106</v>
      </c>
      <c r="F1395" t="s">
        <v>40</v>
      </c>
      <c r="G1395" t="s">
        <v>32</v>
      </c>
      <c r="H1395" t="s">
        <v>68</v>
      </c>
      <c r="I1395">
        <v>3</v>
      </c>
      <c r="J1395">
        <v>7770.15</v>
      </c>
      <c r="K1395">
        <v>0.1</v>
      </c>
      <c r="L1395">
        <v>20979.4</v>
      </c>
      <c r="M1395" t="s">
        <v>76</v>
      </c>
      <c r="N1395" t="s">
        <v>34</v>
      </c>
      <c r="O1395" t="s">
        <v>25</v>
      </c>
      <c r="P1395" t="s">
        <v>111</v>
      </c>
      <c r="Q1395" t="str">
        <f t="shared" si="147"/>
        <v>Returned</v>
      </c>
      <c r="R1395" t="str">
        <f t="shared" si="148"/>
        <v>Store</v>
      </c>
      <c r="S1395" t="str">
        <v>Cash On Delivery</v>
      </c>
      <c r="T1395" t="str">
        <v>Furniture</v>
      </c>
      <c r="U1395" t="str">
        <f t="shared" si="149"/>
        <v>VALID</v>
      </c>
      <c r="V1395" t="str">
        <f t="shared" si="150"/>
        <v>NORMAL</v>
      </c>
      <c r="W1395" t="str">
        <f t="shared" si="151"/>
        <v>Valid</v>
      </c>
      <c r="X1395">
        <f t="shared" si="153"/>
        <v>23310.449999999997</v>
      </c>
      <c r="Y1395">
        <f t="shared" si="152"/>
        <v>20979.404999999999</v>
      </c>
    </row>
    <row r="1396" spans="1:25" x14ac:dyDescent="0.3">
      <c r="A1396" t="s">
        <v>1746</v>
      </c>
      <c r="B1396" s="1">
        <v>45796</v>
      </c>
      <c r="C1396" t="s">
        <v>511</v>
      </c>
      <c r="D1396" t="s">
        <v>62</v>
      </c>
      <c r="E1396" t="s">
        <v>63</v>
      </c>
      <c r="F1396" t="s">
        <v>31</v>
      </c>
      <c r="G1396" t="s">
        <v>56</v>
      </c>
      <c r="H1396" t="s">
        <v>123</v>
      </c>
      <c r="I1396">
        <v>3</v>
      </c>
      <c r="J1396">
        <v>2663.4</v>
      </c>
      <c r="K1396">
        <v>0.03</v>
      </c>
      <c r="L1396">
        <v>7750.49</v>
      </c>
      <c r="M1396" t="s">
        <v>76</v>
      </c>
      <c r="N1396" t="s">
        <v>58</v>
      </c>
      <c r="O1396" t="s">
        <v>65</v>
      </c>
      <c r="P1396" t="s">
        <v>42</v>
      </c>
      <c r="Q1396" t="str">
        <f t="shared" si="147"/>
        <v>Completed</v>
      </c>
      <c r="R1396" t="str">
        <f t="shared" si="148"/>
        <v>Store</v>
      </c>
      <c r="S1396" t="str">
        <v>Credit Card</v>
      </c>
      <c r="T1396" t="str">
        <v>Electronics</v>
      </c>
      <c r="U1396" t="str">
        <f t="shared" si="149"/>
        <v>VALID</v>
      </c>
      <c r="V1396" t="str">
        <f t="shared" si="150"/>
        <v>NORMAL</v>
      </c>
      <c r="W1396" t="str">
        <f t="shared" si="151"/>
        <v>Valid</v>
      </c>
      <c r="X1396">
        <f t="shared" si="153"/>
        <v>7990.2000000000007</v>
      </c>
      <c r="Y1396">
        <f t="shared" si="152"/>
        <v>7750.4940000000006</v>
      </c>
    </row>
    <row r="1397" spans="1:25" x14ac:dyDescent="0.3">
      <c r="A1397" t="s">
        <v>1747</v>
      </c>
      <c r="B1397" s="1">
        <v>45835</v>
      </c>
      <c r="C1397" t="s">
        <v>715</v>
      </c>
      <c r="D1397" t="s">
        <v>29</v>
      </c>
      <c r="E1397" t="s">
        <v>30</v>
      </c>
      <c r="F1397" t="s">
        <v>31</v>
      </c>
      <c r="G1397" t="s">
        <v>21</v>
      </c>
      <c r="H1397" t="s">
        <v>93</v>
      </c>
      <c r="I1397">
        <v>1</v>
      </c>
      <c r="J1397">
        <v>3054.71</v>
      </c>
      <c r="K1397">
        <v>0.05</v>
      </c>
      <c r="L1397">
        <v>2901.97</v>
      </c>
      <c r="M1397" t="s">
        <v>48</v>
      </c>
      <c r="N1397" t="s">
        <v>49</v>
      </c>
      <c r="O1397" t="s">
        <v>65</v>
      </c>
      <c r="P1397" t="s">
        <v>26</v>
      </c>
      <c r="Q1397" t="str">
        <f t="shared" si="147"/>
        <v>Completed</v>
      </c>
      <c r="R1397" t="str">
        <f t="shared" si="148"/>
        <v>Marketplace</v>
      </c>
      <c r="S1397" t="str">
        <v>Net Banking</v>
      </c>
      <c r="T1397" t="str">
        <v>Electronics</v>
      </c>
      <c r="U1397" t="str">
        <f t="shared" si="149"/>
        <v>VALID</v>
      </c>
      <c r="V1397" t="str">
        <f t="shared" si="150"/>
        <v>NORMAL</v>
      </c>
      <c r="W1397" t="str">
        <f t="shared" si="151"/>
        <v>Valid</v>
      </c>
      <c r="X1397">
        <f t="shared" si="153"/>
        <v>3054.71</v>
      </c>
      <c r="Y1397">
        <f t="shared" si="152"/>
        <v>2901.9745000000003</v>
      </c>
    </row>
    <row r="1398" spans="1:25" x14ac:dyDescent="0.3">
      <c r="A1398" t="s">
        <v>1748</v>
      </c>
      <c r="B1398" s="1">
        <v>45469</v>
      </c>
      <c r="C1398" t="s">
        <v>625</v>
      </c>
      <c r="D1398" t="s">
        <v>18</v>
      </c>
      <c r="E1398" t="s">
        <v>19</v>
      </c>
      <c r="F1398" t="s">
        <v>20</v>
      </c>
      <c r="G1398" t="s">
        <v>21</v>
      </c>
      <c r="H1398" t="s">
        <v>126</v>
      </c>
      <c r="I1398">
        <v>1</v>
      </c>
      <c r="J1398">
        <v>875.59</v>
      </c>
      <c r="K1398">
        <v>0.05</v>
      </c>
      <c r="L1398">
        <v>831.81</v>
      </c>
      <c r="M1398" t="s">
        <v>23</v>
      </c>
      <c r="N1398" t="s">
        <v>34</v>
      </c>
      <c r="O1398" t="s">
        <v>65</v>
      </c>
      <c r="P1398" t="s">
        <v>111</v>
      </c>
      <c r="Q1398" t="str">
        <f t="shared" si="147"/>
        <v>Completed</v>
      </c>
      <c r="R1398" t="str">
        <f t="shared" si="148"/>
        <v>Online</v>
      </c>
      <c r="S1398" t="str">
        <v>Cash On Delivery</v>
      </c>
      <c r="T1398" t="str">
        <v>Accessories</v>
      </c>
      <c r="U1398" t="str">
        <f t="shared" si="149"/>
        <v>VALID</v>
      </c>
      <c r="V1398" t="str">
        <f t="shared" si="150"/>
        <v>NORMAL</v>
      </c>
      <c r="W1398" t="str">
        <f t="shared" si="151"/>
        <v>Valid</v>
      </c>
      <c r="X1398">
        <f t="shared" si="153"/>
        <v>875.59</v>
      </c>
      <c r="Y1398">
        <f t="shared" si="152"/>
        <v>831.81050000000005</v>
      </c>
    </row>
    <row r="1399" spans="1:25" x14ac:dyDescent="0.3">
      <c r="A1399" t="s">
        <v>1749</v>
      </c>
      <c r="B1399" s="1">
        <v>45717</v>
      </c>
      <c r="C1399" t="s">
        <v>343</v>
      </c>
      <c r="D1399" t="s">
        <v>85</v>
      </c>
      <c r="E1399" t="s">
        <v>86</v>
      </c>
      <c r="F1399" t="s">
        <v>20</v>
      </c>
      <c r="G1399" t="s">
        <v>56</v>
      </c>
      <c r="H1399" t="s">
        <v>64</v>
      </c>
      <c r="I1399">
        <v>30</v>
      </c>
      <c r="J1399">
        <v>1715.72</v>
      </c>
      <c r="K1399">
        <v>0</v>
      </c>
      <c r="L1399">
        <v>8578.6</v>
      </c>
      <c r="M1399" t="s">
        <v>23</v>
      </c>
      <c r="N1399" t="s">
        <v>71</v>
      </c>
      <c r="O1399" t="s">
        <v>65</v>
      </c>
      <c r="P1399" t="s">
        <v>42</v>
      </c>
      <c r="Q1399" t="str">
        <f t="shared" si="147"/>
        <v>Completed</v>
      </c>
      <c r="R1399" t="str">
        <f t="shared" si="148"/>
        <v>Online</v>
      </c>
      <c r="S1399" t="str">
        <v>Upi</v>
      </c>
      <c r="T1399" t="str">
        <v>Accessories</v>
      </c>
      <c r="U1399" t="str">
        <f t="shared" si="149"/>
        <v>VALID</v>
      </c>
      <c r="V1399" t="str">
        <f t="shared" si="150"/>
        <v>NORMAL</v>
      </c>
      <c r="W1399" t="str">
        <f t="shared" si="151"/>
        <v>Valid</v>
      </c>
      <c r="X1399">
        <f t="shared" si="153"/>
        <v>51471.6</v>
      </c>
      <c r="Y1399">
        <f t="shared" si="152"/>
        <v>51471.6</v>
      </c>
    </row>
    <row r="1400" spans="1:25" x14ac:dyDescent="0.3">
      <c r="A1400" t="s">
        <v>1750</v>
      </c>
      <c r="B1400" s="1">
        <v>45837</v>
      </c>
      <c r="C1400" t="s">
        <v>159</v>
      </c>
      <c r="D1400" t="s">
        <v>38</v>
      </c>
      <c r="E1400" t="s">
        <v>39</v>
      </c>
      <c r="F1400" t="s">
        <v>40</v>
      </c>
      <c r="G1400" t="s">
        <v>81</v>
      </c>
      <c r="H1400" t="s">
        <v>98</v>
      </c>
      <c r="I1400">
        <v>3</v>
      </c>
      <c r="J1400">
        <v>1641.51</v>
      </c>
      <c r="K1400">
        <v>0.15</v>
      </c>
      <c r="L1400">
        <v>4185.8500000000004</v>
      </c>
      <c r="M1400" t="s">
        <v>76</v>
      </c>
      <c r="N1400" t="s">
        <v>58</v>
      </c>
      <c r="O1400" t="s">
        <v>65</v>
      </c>
      <c r="P1400" t="s">
        <v>102</v>
      </c>
      <c r="Q1400" t="str">
        <f t="shared" si="147"/>
        <v>Completed</v>
      </c>
      <c r="R1400" t="str">
        <f t="shared" si="148"/>
        <v>Store</v>
      </c>
      <c r="S1400" t="str">
        <v>Credit Card</v>
      </c>
      <c r="T1400" t="str">
        <v>Furniture</v>
      </c>
      <c r="U1400" t="str">
        <f t="shared" si="149"/>
        <v>VALID</v>
      </c>
      <c r="V1400" t="str">
        <f t="shared" si="150"/>
        <v>NORMAL</v>
      </c>
      <c r="W1400" t="str">
        <f t="shared" si="151"/>
        <v>Valid</v>
      </c>
      <c r="X1400">
        <f t="shared" si="153"/>
        <v>4924.53</v>
      </c>
      <c r="Y1400">
        <f t="shared" si="152"/>
        <v>4185.8504999999996</v>
      </c>
    </row>
    <row r="1401" spans="1:25" x14ac:dyDescent="0.3">
      <c r="A1401" t="s">
        <v>1751</v>
      </c>
      <c r="B1401" s="1">
        <v>45495</v>
      </c>
      <c r="C1401" t="s">
        <v>234</v>
      </c>
      <c r="D1401" t="s">
        <v>96</v>
      </c>
      <c r="E1401" t="s">
        <v>97</v>
      </c>
      <c r="F1401" t="s">
        <v>31</v>
      </c>
      <c r="G1401" t="s">
        <v>81</v>
      </c>
      <c r="H1401" t="s">
        <v>87</v>
      </c>
      <c r="I1401">
        <v>5</v>
      </c>
      <c r="J1401">
        <v>1192.6300000000001</v>
      </c>
      <c r="K1401">
        <v>0.1</v>
      </c>
      <c r="L1401">
        <v>5366.84</v>
      </c>
      <c r="M1401" t="s">
        <v>23</v>
      </c>
      <c r="N1401" t="s">
        <v>24</v>
      </c>
      <c r="O1401" t="s">
        <v>65</v>
      </c>
      <c r="P1401" t="s">
        <v>102</v>
      </c>
      <c r="Q1401" t="str">
        <f t="shared" si="147"/>
        <v>Completed</v>
      </c>
      <c r="R1401" t="str">
        <f t="shared" si="148"/>
        <v>Online</v>
      </c>
      <c r="S1401" t="str">
        <v>Debit Card</v>
      </c>
      <c r="T1401" t="str">
        <v>Electronics</v>
      </c>
      <c r="U1401" t="str">
        <f t="shared" si="149"/>
        <v>VALID</v>
      </c>
      <c r="V1401" t="str">
        <f t="shared" si="150"/>
        <v>NORMAL</v>
      </c>
      <c r="W1401" t="str">
        <f t="shared" si="151"/>
        <v>Valid</v>
      </c>
      <c r="X1401">
        <f t="shared" si="153"/>
        <v>5963.1500000000005</v>
      </c>
      <c r="Y1401">
        <f t="shared" si="152"/>
        <v>5366.8350000000009</v>
      </c>
    </row>
    <row r="1402" spans="1:25" x14ac:dyDescent="0.3">
      <c r="A1402" t="s">
        <v>1752</v>
      </c>
      <c r="B1402" s="1">
        <v>45636</v>
      </c>
      <c r="C1402" t="s">
        <v>262</v>
      </c>
      <c r="D1402" t="s">
        <v>131</v>
      </c>
      <c r="E1402" t="s">
        <v>132</v>
      </c>
      <c r="F1402" t="s">
        <v>40</v>
      </c>
      <c r="G1402" t="s">
        <v>32</v>
      </c>
      <c r="H1402" t="s">
        <v>75</v>
      </c>
      <c r="I1402">
        <v>3</v>
      </c>
      <c r="J1402">
        <v>9829.2999999999993</v>
      </c>
      <c r="K1402">
        <v>0.03</v>
      </c>
      <c r="L1402">
        <v>28603.26</v>
      </c>
      <c r="M1402" t="s">
        <v>48</v>
      </c>
      <c r="N1402" t="s">
        <v>34</v>
      </c>
      <c r="O1402" t="s">
        <v>35</v>
      </c>
      <c r="P1402" t="s">
        <v>42</v>
      </c>
      <c r="Q1402" t="str">
        <f t="shared" si="147"/>
        <v>Cancelled</v>
      </c>
      <c r="R1402" t="str">
        <f t="shared" si="148"/>
        <v>Marketplace</v>
      </c>
      <c r="S1402" t="str">
        <v>Cash On Delivery</v>
      </c>
      <c r="T1402" t="str">
        <v>Furniture</v>
      </c>
      <c r="U1402" t="str">
        <f t="shared" si="149"/>
        <v>VALID</v>
      </c>
      <c r="V1402" t="str">
        <f t="shared" si="150"/>
        <v>NORMAL</v>
      </c>
      <c r="W1402" t="str">
        <f t="shared" si="151"/>
        <v>Valid</v>
      </c>
      <c r="X1402">
        <f t="shared" si="153"/>
        <v>29487.899999999998</v>
      </c>
      <c r="Y1402">
        <f t="shared" si="152"/>
        <v>28603.262999999999</v>
      </c>
    </row>
    <row r="1403" spans="1:25" x14ac:dyDescent="0.3">
      <c r="A1403" t="s">
        <v>1753</v>
      </c>
      <c r="B1403" s="1">
        <v>45475</v>
      </c>
      <c r="C1403" t="s">
        <v>327</v>
      </c>
      <c r="D1403" t="s">
        <v>53</v>
      </c>
      <c r="E1403" t="s">
        <v>54</v>
      </c>
      <c r="F1403" t="s">
        <v>55</v>
      </c>
      <c r="G1403" t="s">
        <v>56</v>
      </c>
      <c r="H1403" t="s">
        <v>57</v>
      </c>
      <c r="I1403">
        <v>2</v>
      </c>
      <c r="J1403">
        <v>215.83</v>
      </c>
      <c r="K1403">
        <v>0.15</v>
      </c>
      <c r="L1403">
        <v>366.91</v>
      </c>
      <c r="M1403" t="s">
        <v>23</v>
      </c>
      <c r="N1403" t="s">
        <v>58</v>
      </c>
      <c r="O1403" t="s">
        <v>35</v>
      </c>
      <c r="P1403" t="s">
        <v>59</v>
      </c>
      <c r="Q1403" t="str">
        <f t="shared" si="147"/>
        <v>Cancelled</v>
      </c>
      <c r="R1403" t="str">
        <f t="shared" si="148"/>
        <v>Online</v>
      </c>
      <c r="S1403" t="str">
        <v>Credit Card</v>
      </c>
      <c r="T1403" t="str">
        <v>Stationery</v>
      </c>
      <c r="U1403" t="str">
        <f t="shared" si="149"/>
        <v>VALID</v>
      </c>
      <c r="V1403" t="str">
        <f t="shared" si="150"/>
        <v>NORMAL</v>
      </c>
      <c r="W1403" t="str">
        <f t="shared" si="151"/>
        <v>Valid</v>
      </c>
      <c r="X1403">
        <f t="shared" si="153"/>
        <v>431.66</v>
      </c>
      <c r="Y1403">
        <f t="shared" si="152"/>
        <v>366.91100000000006</v>
      </c>
    </row>
    <row r="1404" spans="1:25" x14ac:dyDescent="0.3">
      <c r="A1404" t="s">
        <v>1754</v>
      </c>
      <c r="B1404" s="1">
        <v>46014</v>
      </c>
      <c r="C1404" t="s">
        <v>194</v>
      </c>
      <c r="D1404" t="s">
        <v>53</v>
      </c>
      <c r="E1404" t="s">
        <v>54</v>
      </c>
      <c r="F1404" t="s">
        <v>55</v>
      </c>
      <c r="G1404" t="s">
        <v>81</v>
      </c>
      <c r="H1404" t="s">
        <v>98</v>
      </c>
      <c r="I1404">
        <v>3</v>
      </c>
      <c r="J1404">
        <v>207.87</v>
      </c>
      <c r="K1404">
        <v>0.05</v>
      </c>
      <c r="L1404">
        <v>592.42999999999995</v>
      </c>
      <c r="M1404" t="s">
        <v>76</v>
      </c>
      <c r="N1404" t="s">
        <v>34</v>
      </c>
      <c r="O1404" t="s">
        <v>65</v>
      </c>
      <c r="P1404" t="s">
        <v>111</v>
      </c>
      <c r="Q1404" t="str">
        <f t="shared" si="147"/>
        <v>Completed</v>
      </c>
      <c r="R1404" t="str">
        <f t="shared" si="148"/>
        <v>Store</v>
      </c>
      <c r="S1404" t="str">
        <v>Cash On Delivery</v>
      </c>
      <c r="T1404" t="str">
        <v>Stationery</v>
      </c>
      <c r="U1404" t="str">
        <f t="shared" si="149"/>
        <v>VALID</v>
      </c>
      <c r="V1404" t="str">
        <f t="shared" si="150"/>
        <v>NORMAL</v>
      </c>
      <c r="W1404" t="str">
        <f t="shared" si="151"/>
        <v>Valid</v>
      </c>
      <c r="X1404">
        <f t="shared" si="153"/>
        <v>623.61</v>
      </c>
      <c r="Y1404">
        <f t="shared" si="152"/>
        <v>592.42949999999996</v>
      </c>
    </row>
    <row r="1405" spans="1:25" x14ac:dyDescent="0.3">
      <c r="A1405" t="s">
        <v>1755</v>
      </c>
      <c r="B1405" s="1">
        <v>46068</v>
      </c>
      <c r="C1405" t="s">
        <v>266</v>
      </c>
      <c r="D1405" t="s">
        <v>176</v>
      </c>
      <c r="E1405" t="s">
        <v>177</v>
      </c>
      <c r="F1405" t="s">
        <v>31</v>
      </c>
      <c r="G1405" t="s">
        <v>21</v>
      </c>
      <c r="H1405" t="s">
        <v>93</v>
      </c>
      <c r="I1405">
        <v>2</v>
      </c>
      <c r="J1405">
        <v>2331</v>
      </c>
      <c r="K1405">
        <v>0.2</v>
      </c>
      <c r="L1405">
        <v>3729.6</v>
      </c>
      <c r="M1405" t="s">
        <v>23</v>
      </c>
      <c r="N1405" t="s">
        <v>34</v>
      </c>
      <c r="O1405" t="s">
        <v>65</v>
      </c>
      <c r="P1405" t="s">
        <v>102</v>
      </c>
      <c r="Q1405" t="str">
        <f t="shared" si="147"/>
        <v>Completed</v>
      </c>
      <c r="R1405" t="str">
        <f t="shared" si="148"/>
        <v>Online</v>
      </c>
      <c r="S1405" t="str">
        <v>Cash On Delivery</v>
      </c>
      <c r="T1405" t="str">
        <v>Electronics</v>
      </c>
      <c r="U1405" t="str">
        <f t="shared" si="149"/>
        <v>VALID</v>
      </c>
      <c r="V1405" t="str">
        <f t="shared" si="150"/>
        <v>NORMAL</v>
      </c>
      <c r="W1405" t="str">
        <f t="shared" si="151"/>
        <v>Valid</v>
      </c>
      <c r="X1405">
        <f t="shared" si="153"/>
        <v>4662</v>
      </c>
      <c r="Y1405">
        <f t="shared" si="152"/>
        <v>3729.6</v>
      </c>
    </row>
    <row r="1406" spans="1:25" x14ac:dyDescent="0.3">
      <c r="A1406" t="s">
        <v>1756</v>
      </c>
      <c r="B1406" s="1">
        <v>45925</v>
      </c>
      <c r="C1406" t="s">
        <v>287</v>
      </c>
      <c r="D1406" t="s">
        <v>79</v>
      </c>
      <c r="E1406" t="s">
        <v>80</v>
      </c>
      <c r="F1406" t="s">
        <v>31</v>
      </c>
      <c r="G1406" t="s">
        <v>56</v>
      </c>
      <c r="H1406" t="s">
        <v>64</v>
      </c>
      <c r="I1406">
        <v>4</v>
      </c>
      <c r="J1406">
        <v>12799.13</v>
      </c>
      <c r="K1406">
        <v>0.05</v>
      </c>
      <c r="L1406">
        <v>48636.69</v>
      </c>
      <c r="M1406" t="s">
        <v>23</v>
      </c>
      <c r="N1406" t="s">
        <v>71</v>
      </c>
      <c r="O1406" t="s">
        <v>35</v>
      </c>
      <c r="P1406" t="s">
        <v>72</v>
      </c>
      <c r="Q1406" t="str">
        <f t="shared" si="147"/>
        <v>Cancelled</v>
      </c>
      <c r="R1406" t="str">
        <f t="shared" si="148"/>
        <v>Online</v>
      </c>
      <c r="S1406" t="str">
        <v>Upi</v>
      </c>
      <c r="T1406" t="str">
        <v>Electronics</v>
      </c>
      <c r="U1406" t="str">
        <f t="shared" si="149"/>
        <v>VALID</v>
      </c>
      <c r="V1406" t="str">
        <f t="shared" si="150"/>
        <v>NORMAL</v>
      </c>
      <c r="W1406" t="str">
        <f t="shared" si="151"/>
        <v>Valid</v>
      </c>
      <c r="X1406">
        <f t="shared" si="153"/>
        <v>51196.52</v>
      </c>
      <c r="Y1406">
        <f t="shared" si="152"/>
        <v>48636.693999999996</v>
      </c>
    </row>
    <row r="1407" spans="1:25" x14ac:dyDescent="0.3">
      <c r="A1407" t="s">
        <v>1757</v>
      </c>
      <c r="B1407" s="1">
        <v>45674</v>
      </c>
      <c r="C1407" t="s">
        <v>350</v>
      </c>
      <c r="D1407" t="s">
        <v>96</v>
      </c>
      <c r="E1407" t="s">
        <v>97</v>
      </c>
      <c r="F1407" t="s">
        <v>31</v>
      </c>
      <c r="G1407" t="s">
        <v>21</v>
      </c>
      <c r="H1407" t="s">
        <v>93</v>
      </c>
      <c r="I1407">
        <v>1</v>
      </c>
      <c r="J1407">
        <v>1237.52</v>
      </c>
      <c r="K1407">
        <v>0</v>
      </c>
      <c r="L1407">
        <v>1237.52</v>
      </c>
      <c r="M1407" t="s">
        <v>48</v>
      </c>
      <c r="N1407" t="s">
        <v>49</v>
      </c>
      <c r="O1407" t="s">
        <v>35</v>
      </c>
      <c r="P1407" t="s">
        <v>42</v>
      </c>
      <c r="Q1407" t="str">
        <f t="shared" si="147"/>
        <v>Cancelled</v>
      </c>
      <c r="R1407" t="str">
        <f t="shared" si="148"/>
        <v>Marketplace</v>
      </c>
      <c r="S1407" t="str">
        <v>Net Banking</v>
      </c>
      <c r="T1407" t="str">
        <v>Electronics</v>
      </c>
      <c r="U1407" t="str">
        <f t="shared" si="149"/>
        <v>VALID</v>
      </c>
      <c r="V1407" t="str">
        <f t="shared" si="150"/>
        <v>NORMAL</v>
      </c>
      <c r="W1407" t="str">
        <f t="shared" si="151"/>
        <v>Valid</v>
      </c>
      <c r="X1407">
        <f t="shared" si="153"/>
        <v>1237.52</v>
      </c>
      <c r="Y1407">
        <f t="shared" si="152"/>
        <v>1237.52</v>
      </c>
    </row>
    <row r="1408" spans="1:25" x14ac:dyDescent="0.3">
      <c r="A1408" t="s">
        <v>1758</v>
      </c>
      <c r="B1408" s="1">
        <v>46151</v>
      </c>
      <c r="C1408" t="s">
        <v>466</v>
      </c>
      <c r="D1408" t="s">
        <v>45</v>
      </c>
      <c r="E1408" t="s">
        <v>46</v>
      </c>
      <c r="F1408" t="s">
        <v>31</v>
      </c>
      <c r="G1408" t="s">
        <v>21</v>
      </c>
      <c r="H1408" t="s">
        <v>22</v>
      </c>
      <c r="I1408">
        <v>3</v>
      </c>
      <c r="J1408">
        <v>1721.6</v>
      </c>
      <c r="K1408">
        <v>0</v>
      </c>
      <c r="L1408">
        <v>5164.8</v>
      </c>
      <c r="M1408" t="s">
        <v>48</v>
      </c>
      <c r="N1408" t="s">
        <v>24</v>
      </c>
      <c r="O1408" t="s">
        <v>65</v>
      </c>
      <c r="P1408" t="s">
        <v>102</v>
      </c>
      <c r="Q1408" t="str">
        <f t="shared" si="147"/>
        <v>Completed</v>
      </c>
      <c r="R1408" t="str">
        <f t="shared" si="148"/>
        <v>Marketplace</v>
      </c>
      <c r="S1408" t="str">
        <v>Debit Card</v>
      </c>
      <c r="T1408" t="str">
        <v>Electronics</v>
      </c>
      <c r="U1408" t="str">
        <f t="shared" si="149"/>
        <v>VALID</v>
      </c>
      <c r="V1408" t="str">
        <f t="shared" si="150"/>
        <v>NORMAL</v>
      </c>
      <c r="W1408" t="str">
        <f t="shared" si="151"/>
        <v>Valid</v>
      </c>
      <c r="X1408">
        <f t="shared" si="153"/>
        <v>5164.7999999999993</v>
      </c>
      <c r="Y1408">
        <f t="shared" si="152"/>
        <v>5164.7999999999993</v>
      </c>
    </row>
    <row r="1409" spans="1:25" x14ac:dyDescent="0.3">
      <c r="A1409" t="s">
        <v>1759</v>
      </c>
      <c r="B1409" s="1">
        <v>45946</v>
      </c>
      <c r="C1409" t="s">
        <v>643</v>
      </c>
      <c r="D1409" t="s">
        <v>121</v>
      </c>
      <c r="E1409" t="s">
        <v>122</v>
      </c>
      <c r="F1409" t="s">
        <v>55</v>
      </c>
      <c r="G1409" t="s">
        <v>81</v>
      </c>
      <c r="H1409" t="s">
        <v>98</v>
      </c>
      <c r="I1409">
        <v>2</v>
      </c>
      <c r="J1409">
        <v>440.48</v>
      </c>
      <c r="K1409">
        <v>0.08</v>
      </c>
      <c r="L1409">
        <v>810.48</v>
      </c>
      <c r="M1409" t="s">
        <v>23</v>
      </c>
      <c r="N1409" t="s">
        <v>58</v>
      </c>
      <c r="O1409" t="s">
        <v>65</v>
      </c>
      <c r="P1409" t="s">
        <v>42</v>
      </c>
      <c r="Q1409" t="str">
        <f t="shared" si="147"/>
        <v>Completed</v>
      </c>
      <c r="R1409" t="str">
        <f t="shared" si="148"/>
        <v>Online</v>
      </c>
      <c r="S1409" t="str">
        <v>Credit Card</v>
      </c>
      <c r="T1409" t="str">
        <v>Stationery</v>
      </c>
      <c r="U1409" t="str">
        <f t="shared" si="149"/>
        <v>VALID</v>
      </c>
      <c r="V1409" t="str">
        <f t="shared" si="150"/>
        <v>NORMAL</v>
      </c>
      <c r="W1409" t="str">
        <f t="shared" si="151"/>
        <v>Valid</v>
      </c>
      <c r="X1409">
        <f t="shared" si="153"/>
        <v>880.96</v>
      </c>
      <c r="Y1409">
        <f t="shared" si="152"/>
        <v>810.48320000000001</v>
      </c>
    </row>
    <row r="1410" spans="1:25" x14ac:dyDescent="0.3">
      <c r="A1410" t="s">
        <v>1760</v>
      </c>
      <c r="B1410" s="1">
        <v>45921</v>
      </c>
      <c r="C1410" t="s">
        <v>339</v>
      </c>
      <c r="D1410" t="s">
        <v>53</v>
      </c>
      <c r="E1410" t="s">
        <v>54</v>
      </c>
      <c r="F1410" t="s">
        <v>55</v>
      </c>
      <c r="G1410" t="s">
        <v>81</v>
      </c>
      <c r="H1410" t="s">
        <v>82</v>
      </c>
      <c r="I1410">
        <v>5</v>
      </c>
      <c r="J1410">
        <v>234.59</v>
      </c>
      <c r="K1410">
        <v>0.15</v>
      </c>
      <c r="L1410">
        <v>997.01</v>
      </c>
      <c r="M1410" t="s">
        <v>76</v>
      </c>
      <c r="N1410" t="s">
        <v>71</v>
      </c>
      <c r="O1410" t="s">
        <v>65</v>
      </c>
      <c r="P1410" t="s">
        <v>42</v>
      </c>
      <c r="Q1410" t="str">
        <f t="shared" si="147"/>
        <v>Completed</v>
      </c>
      <c r="R1410" t="str">
        <f t="shared" si="148"/>
        <v>Store</v>
      </c>
      <c r="S1410" t="str">
        <v>Upi</v>
      </c>
      <c r="T1410" t="str">
        <v>Stationery</v>
      </c>
      <c r="U1410" t="str">
        <f t="shared" si="149"/>
        <v>VALID</v>
      </c>
      <c r="V1410" t="str">
        <f t="shared" si="150"/>
        <v>NORMAL</v>
      </c>
      <c r="W1410" t="str">
        <f t="shared" si="151"/>
        <v>Valid</v>
      </c>
      <c r="X1410">
        <f t="shared" si="153"/>
        <v>1172.95</v>
      </c>
      <c r="Y1410">
        <f t="shared" si="152"/>
        <v>997.00750000000005</v>
      </c>
    </row>
    <row r="1411" spans="1:25" x14ac:dyDescent="0.3">
      <c r="A1411" t="s">
        <v>1761</v>
      </c>
      <c r="B1411" s="1">
        <v>45501</v>
      </c>
      <c r="C1411" t="s">
        <v>336</v>
      </c>
      <c r="D1411" t="s">
        <v>79</v>
      </c>
      <c r="E1411" t="s">
        <v>80</v>
      </c>
      <c r="F1411" t="s">
        <v>31</v>
      </c>
      <c r="G1411" t="s">
        <v>56</v>
      </c>
      <c r="H1411" t="s">
        <v>101</v>
      </c>
      <c r="I1411">
        <v>1</v>
      </c>
      <c r="J1411">
        <v>13231.66</v>
      </c>
      <c r="K1411">
        <v>0.05</v>
      </c>
      <c r="L1411">
        <v>12570.08</v>
      </c>
      <c r="M1411" t="s">
        <v>48</v>
      </c>
      <c r="N1411" t="s">
        <v>24</v>
      </c>
      <c r="O1411" t="s">
        <v>65</v>
      </c>
      <c r="P1411" t="s">
        <v>59</v>
      </c>
      <c r="Q1411" t="str">
        <f t="shared" ref="Q1411:Q1474" si="154">PROPER(O1411)</f>
        <v>Completed</v>
      </c>
      <c r="R1411" t="str">
        <f t="shared" ref="R1411:R1474" si="155">PROPER(M1411)</f>
        <v>Marketplace</v>
      </c>
      <c r="S1411" t="str">
        <v>Debit Card</v>
      </c>
      <c r="T1411" t="str">
        <v>Electronics</v>
      </c>
      <c r="U1411" t="str">
        <f t="shared" ref="U1411:U1474" si="156">IF(I1411&lt;=0,"INVALID","VALID")</f>
        <v>VALID</v>
      </c>
      <c r="V1411" t="str">
        <f t="shared" ref="V1411:V1474" si="157">IF(I1411&gt;100,"REVIEW","NORMAL")</f>
        <v>NORMAL</v>
      </c>
      <c r="W1411" t="str">
        <f t="shared" ref="W1411:W1474" si="158">IF(OR(K1411&lt;0,K1411&gt;1),"Invalid","Valid")</f>
        <v>Valid</v>
      </c>
      <c r="X1411">
        <f t="shared" si="153"/>
        <v>13231.66</v>
      </c>
      <c r="Y1411">
        <f t="shared" ref="Y1411:Y1474" si="159">I1411*J1411-(I1411*J1411*K1411)</f>
        <v>12570.076999999999</v>
      </c>
    </row>
    <row r="1412" spans="1:25" x14ac:dyDescent="0.3">
      <c r="A1412" t="s">
        <v>1762</v>
      </c>
      <c r="B1412" s="1">
        <v>45486</v>
      </c>
      <c r="C1412" t="s">
        <v>587</v>
      </c>
      <c r="D1412" t="s">
        <v>105</v>
      </c>
      <c r="E1412" t="s">
        <v>106</v>
      </c>
      <c r="F1412" t="s">
        <v>40</v>
      </c>
      <c r="G1412" t="s">
        <v>32</v>
      </c>
      <c r="H1412" t="s">
        <v>75</v>
      </c>
      <c r="I1412">
        <v>4</v>
      </c>
      <c r="J1412">
        <v>6811.24</v>
      </c>
      <c r="K1412">
        <v>0.08</v>
      </c>
      <c r="L1412">
        <v>25065.360000000001</v>
      </c>
      <c r="M1412" t="s">
        <v>23</v>
      </c>
      <c r="N1412" t="s">
        <v>58</v>
      </c>
      <c r="O1412" t="s">
        <v>65</v>
      </c>
      <c r="P1412" t="s">
        <v>59</v>
      </c>
      <c r="Q1412" t="str">
        <f t="shared" si="154"/>
        <v>Completed</v>
      </c>
      <c r="R1412" t="str">
        <f t="shared" si="155"/>
        <v>Online</v>
      </c>
      <c r="S1412" t="str">
        <v>Credit Card</v>
      </c>
      <c r="T1412" t="str">
        <v>Furniture</v>
      </c>
      <c r="U1412" t="str">
        <f t="shared" si="156"/>
        <v>VALID</v>
      </c>
      <c r="V1412" t="str">
        <f t="shared" si="157"/>
        <v>NORMAL</v>
      </c>
      <c r="W1412" t="str">
        <f t="shared" si="158"/>
        <v>Valid</v>
      </c>
      <c r="X1412">
        <f t="shared" ref="X1412:X1475" si="160">I1412*J1412</f>
        <v>27244.959999999999</v>
      </c>
      <c r="Y1412">
        <f t="shared" si="159"/>
        <v>25065.3632</v>
      </c>
    </row>
    <row r="1413" spans="1:25" x14ac:dyDescent="0.3">
      <c r="A1413" t="s">
        <v>1763</v>
      </c>
      <c r="B1413" s="1">
        <v>45909</v>
      </c>
      <c r="C1413" t="s">
        <v>212</v>
      </c>
      <c r="D1413" t="s">
        <v>121</v>
      </c>
      <c r="E1413" t="s">
        <v>122</v>
      </c>
      <c r="F1413" t="s">
        <v>55</v>
      </c>
      <c r="G1413" t="s">
        <v>81</v>
      </c>
      <c r="H1413" t="s">
        <v>135</v>
      </c>
      <c r="I1413">
        <v>2</v>
      </c>
      <c r="J1413">
        <v>478.99</v>
      </c>
      <c r="K1413">
        <v>0.03</v>
      </c>
      <c r="L1413">
        <v>929.24</v>
      </c>
      <c r="M1413" t="s">
        <v>23</v>
      </c>
      <c r="N1413" t="s">
        <v>24</v>
      </c>
      <c r="O1413" t="s">
        <v>65</v>
      </c>
      <c r="P1413" t="s">
        <v>59</v>
      </c>
      <c r="Q1413" t="str">
        <f t="shared" si="154"/>
        <v>Completed</v>
      </c>
      <c r="R1413" t="str">
        <f t="shared" si="155"/>
        <v>Online</v>
      </c>
      <c r="S1413" t="str">
        <v>Debit Card</v>
      </c>
      <c r="T1413" t="str">
        <v>Stationery</v>
      </c>
      <c r="U1413" t="str">
        <f t="shared" si="156"/>
        <v>VALID</v>
      </c>
      <c r="V1413" t="str">
        <f t="shared" si="157"/>
        <v>NORMAL</v>
      </c>
      <c r="W1413" t="str">
        <f t="shared" si="158"/>
        <v>Valid</v>
      </c>
      <c r="X1413">
        <f t="shared" si="160"/>
        <v>957.98</v>
      </c>
      <c r="Y1413">
        <f t="shared" si="159"/>
        <v>929.24059999999997</v>
      </c>
    </row>
    <row r="1414" spans="1:25" x14ac:dyDescent="0.3">
      <c r="A1414" t="s">
        <v>1764</v>
      </c>
      <c r="B1414" s="1">
        <v>45817</v>
      </c>
      <c r="C1414" t="s">
        <v>848</v>
      </c>
      <c r="D1414" t="s">
        <v>18</v>
      </c>
      <c r="E1414" t="s">
        <v>19</v>
      </c>
      <c r="F1414" t="s">
        <v>20</v>
      </c>
      <c r="G1414" t="s">
        <v>260</v>
      </c>
      <c r="H1414" t="s">
        <v>101</v>
      </c>
      <c r="I1414">
        <v>1</v>
      </c>
      <c r="J1414">
        <v>795.58</v>
      </c>
      <c r="K1414">
        <v>0.08</v>
      </c>
      <c r="L1414">
        <v>731.93</v>
      </c>
      <c r="M1414" t="s">
        <v>76</v>
      </c>
      <c r="N1414" t="s">
        <v>49</v>
      </c>
      <c r="O1414" t="s">
        <v>25</v>
      </c>
      <c r="P1414" t="s">
        <v>50</v>
      </c>
      <c r="Q1414" t="str">
        <f t="shared" si="154"/>
        <v>Returned</v>
      </c>
      <c r="R1414" t="str">
        <f t="shared" si="155"/>
        <v>Store</v>
      </c>
      <c r="S1414" t="str">
        <v>Net Banking</v>
      </c>
      <c r="T1414" t="str">
        <v>Accessories</v>
      </c>
      <c r="U1414" t="str">
        <f t="shared" si="156"/>
        <v>VALID</v>
      </c>
      <c r="V1414" t="str">
        <f t="shared" si="157"/>
        <v>NORMAL</v>
      </c>
      <c r="W1414" t="str">
        <f t="shared" si="158"/>
        <v>Valid</v>
      </c>
      <c r="X1414">
        <f t="shared" si="160"/>
        <v>795.58</v>
      </c>
      <c r="Y1414">
        <f t="shared" si="159"/>
        <v>731.93360000000007</v>
      </c>
    </row>
    <row r="1415" spans="1:25" x14ac:dyDescent="0.3">
      <c r="A1415" t="s">
        <v>1765</v>
      </c>
      <c r="B1415" s="1">
        <v>45979</v>
      </c>
      <c r="C1415" t="s">
        <v>100</v>
      </c>
      <c r="D1415" t="s">
        <v>96</v>
      </c>
      <c r="E1415" t="s">
        <v>97</v>
      </c>
      <c r="F1415" t="s">
        <v>31</v>
      </c>
      <c r="G1415" t="s">
        <v>32</v>
      </c>
      <c r="H1415" t="s">
        <v>47</v>
      </c>
      <c r="I1415">
        <v>3</v>
      </c>
      <c r="J1415">
        <v>1220.76</v>
      </c>
      <c r="K1415">
        <v>0.15</v>
      </c>
      <c r="L1415">
        <v>3112.94</v>
      </c>
      <c r="M1415" t="s">
        <v>76</v>
      </c>
      <c r="N1415" t="s">
        <v>49</v>
      </c>
      <c r="O1415" t="s">
        <v>65</v>
      </c>
      <c r="P1415" t="s">
        <v>59</v>
      </c>
      <c r="Q1415" t="str">
        <f t="shared" si="154"/>
        <v>Completed</v>
      </c>
      <c r="R1415" t="str">
        <f t="shared" si="155"/>
        <v>Store</v>
      </c>
      <c r="S1415" t="str">
        <v>Net Banking</v>
      </c>
      <c r="T1415" t="str">
        <v>Electronics</v>
      </c>
      <c r="U1415" t="str">
        <f t="shared" si="156"/>
        <v>VALID</v>
      </c>
      <c r="V1415" t="str">
        <f t="shared" si="157"/>
        <v>NORMAL</v>
      </c>
      <c r="W1415" t="str">
        <f t="shared" si="158"/>
        <v>Valid</v>
      </c>
      <c r="X1415">
        <f t="shared" si="160"/>
        <v>3662.2799999999997</v>
      </c>
      <c r="Y1415">
        <f t="shared" si="159"/>
        <v>3112.9379999999996</v>
      </c>
    </row>
    <row r="1416" spans="1:25" x14ac:dyDescent="0.3">
      <c r="A1416" t="s">
        <v>1766</v>
      </c>
      <c r="B1416" s="1">
        <v>45398</v>
      </c>
      <c r="D1416" t="s">
        <v>131</v>
      </c>
      <c r="E1416" t="s">
        <v>132</v>
      </c>
      <c r="F1416" t="s">
        <v>40</v>
      </c>
      <c r="G1416" t="s">
        <v>32</v>
      </c>
      <c r="H1416" t="s">
        <v>68</v>
      </c>
      <c r="I1416">
        <v>3</v>
      </c>
      <c r="J1416">
        <v>9479.75</v>
      </c>
      <c r="K1416">
        <v>0.1</v>
      </c>
      <c r="L1416">
        <v>25595.33</v>
      </c>
      <c r="M1416" t="s">
        <v>23</v>
      </c>
      <c r="N1416" t="s">
        <v>58</v>
      </c>
      <c r="O1416" t="s">
        <v>65</v>
      </c>
      <c r="P1416" t="s">
        <v>42</v>
      </c>
      <c r="Q1416" t="str">
        <f t="shared" si="154"/>
        <v>Completed</v>
      </c>
      <c r="R1416" t="str">
        <f t="shared" si="155"/>
        <v>Online</v>
      </c>
      <c r="S1416" t="str">
        <v>Credit Card</v>
      </c>
      <c r="T1416" t="str">
        <v>Furniture</v>
      </c>
      <c r="U1416" t="str">
        <f t="shared" si="156"/>
        <v>VALID</v>
      </c>
      <c r="V1416" t="str">
        <f t="shared" si="157"/>
        <v>NORMAL</v>
      </c>
      <c r="W1416" t="str">
        <f t="shared" si="158"/>
        <v>Valid</v>
      </c>
      <c r="X1416">
        <f t="shared" si="160"/>
        <v>28439.25</v>
      </c>
      <c r="Y1416">
        <f t="shared" si="159"/>
        <v>25595.325000000001</v>
      </c>
    </row>
    <row r="1417" spans="1:25" x14ac:dyDescent="0.3">
      <c r="A1417" t="s">
        <v>1767</v>
      </c>
      <c r="B1417" s="1">
        <v>45515</v>
      </c>
      <c r="C1417" t="s">
        <v>695</v>
      </c>
      <c r="D1417" t="s">
        <v>131</v>
      </c>
      <c r="E1417" t="s">
        <v>132</v>
      </c>
      <c r="F1417" t="s">
        <v>40</v>
      </c>
      <c r="G1417" t="s">
        <v>56</v>
      </c>
      <c r="H1417" t="s">
        <v>57</v>
      </c>
      <c r="I1417">
        <v>4</v>
      </c>
      <c r="J1417">
        <v>8987.0400000000009</v>
      </c>
      <c r="K1417">
        <v>0.08</v>
      </c>
      <c r="L1417">
        <v>33072.31</v>
      </c>
      <c r="M1417" t="s">
        <v>48</v>
      </c>
      <c r="N1417" t="s">
        <v>24</v>
      </c>
      <c r="O1417" t="s">
        <v>65</v>
      </c>
      <c r="P1417" t="s">
        <v>42</v>
      </c>
      <c r="Q1417" t="str">
        <f t="shared" si="154"/>
        <v>Completed</v>
      </c>
      <c r="R1417" t="str">
        <f t="shared" si="155"/>
        <v>Marketplace</v>
      </c>
      <c r="S1417" t="str">
        <v>Debit Card</v>
      </c>
      <c r="T1417" t="str">
        <v>Furniture</v>
      </c>
      <c r="U1417" t="str">
        <f t="shared" si="156"/>
        <v>VALID</v>
      </c>
      <c r="V1417" t="str">
        <f t="shared" si="157"/>
        <v>NORMAL</v>
      </c>
      <c r="W1417" t="str">
        <f t="shared" si="158"/>
        <v>Valid</v>
      </c>
      <c r="X1417">
        <f t="shared" si="160"/>
        <v>35948.160000000003</v>
      </c>
      <c r="Y1417">
        <f t="shared" si="159"/>
        <v>33072.307200000003</v>
      </c>
    </row>
    <row r="1418" spans="1:25" x14ac:dyDescent="0.3">
      <c r="A1418" t="s">
        <v>1768</v>
      </c>
      <c r="B1418" s="1">
        <v>45316</v>
      </c>
      <c r="C1418" t="s">
        <v>385</v>
      </c>
      <c r="D1418" t="s">
        <v>170</v>
      </c>
      <c r="E1418" t="s">
        <v>171</v>
      </c>
      <c r="F1418" t="s">
        <v>31</v>
      </c>
      <c r="G1418" t="s">
        <v>32</v>
      </c>
      <c r="H1418" t="s">
        <v>33</v>
      </c>
      <c r="I1418">
        <v>5</v>
      </c>
      <c r="J1418">
        <v>64130.61</v>
      </c>
      <c r="K1418">
        <v>0.2</v>
      </c>
      <c r="L1418">
        <v>256522.44</v>
      </c>
      <c r="M1418" t="s">
        <v>23</v>
      </c>
      <c r="N1418" t="s">
        <v>58</v>
      </c>
      <c r="O1418" t="s">
        <v>35</v>
      </c>
      <c r="P1418" t="s">
        <v>72</v>
      </c>
      <c r="Q1418" t="str">
        <f t="shared" si="154"/>
        <v>Cancelled</v>
      </c>
      <c r="R1418" t="str">
        <f t="shared" si="155"/>
        <v>Online</v>
      </c>
      <c r="S1418" t="str">
        <v>Credit Card</v>
      </c>
      <c r="T1418" t="str">
        <v>Electronics</v>
      </c>
      <c r="U1418" t="str">
        <f t="shared" si="156"/>
        <v>VALID</v>
      </c>
      <c r="V1418" t="str">
        <f t="shared" si="157"/>
        <v>NORMAL</v>
      </c>
      <c r="W1418" t="str">
        <f t="shared" si="158"/>
        <v>Valid</v>
      </c>
      <c r="X1418">
        <f t="shared" si="160"/>
        <v>320653.05</v>
      </c>
      <c r="Y1418">
        <f t="shared" si="159"/>
        <v>256522.44</v>
      </c>
    </row>
    <row r="1419" spans="1:25" x14ac:dyDescent="0.3">
      <c r="A1419" t="s">
        <v>1769</v>
      </c>
      <c r="B1419" s="1">
        <v>46154</v>
      </c>
      <c r="C1419" t="s">
        <v>277</v>
      </c>
      <c r="D1419" t="s">
        <v>18</v>
      </c>
      <c r="E1419" t="s">
        <v>19</v>
      </c>
      <c r="F1419" t="s">
        <v>20</v>
      </c>
      <c r="G1419" t="s">
        <v>56</v>
      </c>
      <c r="H1419" t="s">
        <v>64</v>
      </c>
      <c r="I1419">
        <v>4</v>
      </c>
      <c r="J1419">
        <v>796.85</v>
      </c>
      <c r="K1419">
        <v>0</v>
      </c>
      <c r="L1419">
        <v>3187.4</v>
      </c>
      <c r="M1419" t="s">
        <v>48</v>
      </c>
      <c r="N1419" t="s">
        <v>49</v>
      </c>
      <c r="O1419" t="s">
        <v>25</v>
      </c>
      <c r="P1419" t="s">
        <v>102</v>
      </c>
      <c r="Q1419" t="str">
        <f t="shared" si="154"/>
        <v>Returned</v>
      </c>
      <c r="R1419" t="str">
        <f t="shared" si="155"/>
        <v>Marketplace</v>
      </c>
      <c r="S1419" t="str">
        <v>Net Banking</v>
      </c>
      <c r="T1419" t="str">
        <v>Accessories</v>
      </c>
      <c r="U1419" t="str">
        <f t="shared" si="156"/>
        <v>VALID</v>
      </c>
      <c r="V1419" t="str">
        <f t="shared" si="157"/>
        <v>NORMAL</v>
      </c>
      <c r="W1419" t="str">
        <f t="shared" si="158"/>
        <v>Valid</v>
      </c>
      <c r="X1419">
        <f t="shared" si="160"/>
        <v>3187.4</v>
      </c>
      <c r="Y1419">
        <f t="shared" si="159"/>
        <v>3187.4</v>
      </c>
    </row>
    <row r="1420" spans="1:25" x14ac:dyDescent="0.3">
      <c r="A1420" t="s">
        <v>1770</v>
      </c>
      <c r="B1420" s="1">
        <v>46171</v>
      </c>
      <c r="C1420" t="s">
        <v>468</v>
      </c>
      <c r="D1420" t="s">
        <v>89</v>
      </c>
      <c r="E1420" t="s">
        <v>90</v>
      </c>
      <c r="F1420" t="s">
        <v>20</v>
      </c>
      <c r="G1420" t="s">
        <v>81</v>
      </c>
      <c r="H1420" t="s">
        <v>135</v>
      </c>
      <c r="I1420">
        <v>4</v>
      </c>
      <c r="J1420">
        <v>753.5</v>
      </c>
      <c r="K1420">
        <v>0.15</v>
      </c>
      <c r="L1420">
        <v>2561.9</v>
      </c>
      <c r="M1420" t="s">
        <v>23</v>
      </c>
      <c r="N1420" t="s">
        <v>71</v>
      </c>
      <c r="O1420" t="s">
        <v>65</v>
      </c>
      <c r="P1420" t="s">
        <v>72</v>
      </c>
      <c r="Q1420" t="str">
        <f t="shared" si="154"/>
        <v>Completed</v>
      </c>
      <c r="R1420" t="str">
        <f t="shared" si="155"/>
        <v>Online</v>
      </c>
      <c r="S1420" t="str">
        <v>Upi</v>
      </c>
      <c r="T1420" t="str">
        <v>Accessories</v>
      </c>
      <c r="U1420" t="str">
        <f t="shared" si="156"/>
        <v>VALID</v>
      </c>
      <c r="V1420" t="str">
        <f t="shared" si="157"/>
        <v>NORMAL</v>
      </c>
      <c r="W1420" t="str">
        <f t="shared" si="158"/>
        <v>Valid</v>
      </c>
      <c r="X1420">
        <f t="shared" si="160"/>
        <v>3014</v>
      </c>
      <c r="Y1420">
        <f t="shared" si="159"/>
        <v>2561.9</v>
      </c>
    </row>
    <row r="1421" spans="1:25" x14ac:dyDescent="0.3">
      <c r="A1421" t="s">
        <v>1771</v>
      </c>
      <c r="B1421" s="1">
        <v>45918</v>
      </c>
      <c r="C1421" t="s">
        <v>204</v>
      </c>
      <c r="D1421" t="s">
        <v>105</v>
      </c>
      <c r="E1421" t="s">
        <v>106</v>
      </c>
      <c r="F1421" t="s">
        <v>40</v>
      </c>
      <c r="G1421" t="s">
        <v>81</v>
      </c>
      <c r="H1421" t="s">
        <v>135</v>
      </c>
      <c r="I1421">
        <v>5</v>
      </c>
      <c r="J1421">
        <v>7772.89</v>
      </c>
      <c r="K1421">
        <v>0.15</v>
      </c>
      <c r="L1421">
        <v>33034.78</v>
      </c>
      <c r="M1421" t="s">
        <v>48</v>
      </c>
      <c r="N1421" t="s">
        <v>49</v>
      </c>
      <c r="O1421" t="s">
        <v>65</v>
      </c>
      <c r="P1421" t="s">
        <v>59</v>
      </c>
      <c r="Q1421" t="str">
        <f t="shared" si="154"/>
        <v>Completed</v>
      </c>
      <c r="R1421" t="str">
        <f t="shared" si="155"/>
        <v>Marketplace</v>
      </c>
      <c r="S1421" t="str">
        <v>Net Banking</v>
      </c>
      <c r="T1421" t="str">
        <v>Furniture</v>
      </c>
      <c r="U1421" t="str">
        <f t="shared" si="156"/>
        <v>VALID</v>
      </c>
      <c r="V1421" t="str">
        <f t="shared" si="157"/>
        <v>NORMAL</v>
      </c>
      <c r="W1421" t="str">
        <f t="shared" si="158"/>
        <v>Valid</v>
      </c>
      <c r="X1421">
        <f t="shared" si="160"/>
        <v>38864.450000000004</v>
      </c>
      <c r="Y1421">
        <f t="shared" si="159"/>
        <v>33034.782500000001</v>
      </c>
    </row>
    <row r="1422" spans="1:25" x14ac:dyDescent="0.3">
      <c r="A1422" t="s">
        <v>1772</v>
      </c>
      <c r="B1422" s="1">
        <v>46139</v>
      </c>
      <c r="C1422" t="s">
        <v>687</v>
      </c>
      <c r="D1422" t="s">
        <v>170</v>
      </c>
      <c r="E1422" t="s">
        <v>171</v>
      </c>
      <c r="F1422" t="s">
        <v>31</v>
      </c>
      <c r="G1422" t="s">
        <v>21</v>
      </c>
      <c r="H1422" t="s">
        <v>41</v>
      </c>
      <c r="I1422">
        <v>4</v>
      </c>
      <c r="J1422">
        <v>69257.119999999995</v>
      </c>
      <c r="K1422">
        <v>0.15</v>
      </c>
      <c r="L1422">
        <v>235474.21</v>
      </c>
      <c r="M1422" t="s">
        <v>23</v>
      </c>
      <c r="N1422" t="s">
        <v>58</v>
      </c>
      <c r="O1422" t="s">
        <v>65</v>
      </c>
      <c r="P1422" t="s">
        <v>42</v>
      </c>
      <c r="Q1422" t="str">
        <f t="shared" si="154"/>
        <v>Completed</v>
      </c>
      <c r="R1422" t="str">
        <f t="shared" si="155"/>
        <v>Online</v>
      </c>
      <c r="S1422" t="str">
        <v>Credit Card</v>
      </c>
      <c r="T1422" t="str">
        <v>Electronics</v>
      </c>
      <c r="U1422" t="str">
        <f t="shared" si="156"/>
        <v>VALID</v>
      </c>
      <c r="V1422" t="str">
        <f t="shared" si="157"/>
        <v>NORMAL</v>
      </c>
      <c r="W1422" t="str">
        <f t="shared" si="158"/>
        <v>Valid</v>
      </c>
      <c r="X1422">
        <f t="shared" si="160"/>
        <v>277028.47999999998</v>
      </c>
      <c r="Y1422">
        <f t="shared" si="159"/>
        <v>235474.20799999998</v>
      </c>
    </row>
    <row r="1423" spans="1:25" x14ac:dyDescent="0.3">
      <c r="A1423" t="s">
        <v>1773</v>
      </c>
      <c r="B1423" s="1">
        <v>45620</v>
      </c>
      <c r="C1423" t="s">
        <v>817</v>
      </c>
      <c r="D1423" t="s">
        <v>79</v>
      </c>
      <c r="E1423" t="s">
        <v>80</v>
      </c>
      <c r="F1423" t="s">
        <v>31</v>
      </c>
      <c r="G1423" t="s">
        <v>21</v>
      </c>
      <c r="H1423" t="s">
        <v>93</v>
      </c>
      <c r="I1423">
        <v>1</v>
      </c>
      <c r="J1423">
        <v>13422.04</v>
      </c>
      <c r="K1423">
        <v>0.15</v>
      </c>
      <c r="L1423">
        <v>11408.73</v>
      </c>
      <c r="M1423" t="s">
        <v>48</v>
      </c>
      <c r="N1423" t="s">
        <v>24</v>
      </c>
      <c r="O1423" t="s">
        <v>65</v>
      </c>
      <c r="P1423" t="s">
        <v>72</v>
      </c>
      <c r="Q1423" t="str">
        <f t="shared" si="154"/>
        <v>Completed</v>
      </c>
      <c r="R1423" t="str">
        <f t="shared" si="155"/>
        <v>Marketplace</v>
      </c>
      <c r="S1423" t="str">
        <v>Debit Card</v>
      </c>
      <c r="T1423" t="str">
        <v>Electronics</v>
      </c>
      <c r="U1423" t="str">
        <f t="shared" si="156"/>
        <v>VALID</v>
      </c>
      <c r="V1423" t="str">
        <f t="shared" si="157"/>
        <v>NORMAL</v>
      </c>
      <c r="W1423" t="str">
        <f t="shared" si="158"/>
        <v>Valid</v>
      </c>
      <c r="X1423">
        <f t="shared" si="160"/>
        <v>13422.04</v>
      </c>
      <c r="Y1423">
        <f t="shared" si="159"/>
        <v>11408.734</v>
      </c>
    </row>
    <row r="1424" spans="1:25" x14ac:dyDescent="0.3">
      <c r="A1424" t="s">
        <v>1774</v>
      </c>
      <c r="B1424" s="1">
        <v>45987</v>
      </c>
      <c r="C1424" t="s">
        <v>319</v>
      </c>
      <c r="D1424" t="s">
        <v>79</v>
      </c>
      <c r="E1424" t="s">
        <v>80</v>
      </c>
      <c r="F1424" t="s">
        <v>31</v>
      </c>
      <c r="G1424" t="s">
        <v>32</v>
      </c>
      <c r="H1424" t="s">
        <v>47</v>
      </c>
      <c r="I1424">
        <v>2</v>
      </c>
      <c r="J1424">
        <v>12441.69</v>
      </c>
      <c r="K1424">
        <v>0.03</v>
      </c>
      <c r="L1424">
        <v>24136.880000000001</v>
      </c>
      <c r="M1424" t="s">
        <v>76</v>
      </c>
      <c r="N1424" t="s">
        <v>58</v>
      </c>
      <c r="O1424" t="s">
        <v>65</v>
      </c>
      <c r="P1424" t="s">
        <v>50</v>
      </c>
      <c r="Q1424" t="str">
        <f t="shared" si="154"/>
        <v>Completed</v>
      </c>
      <c r="R1424" t="str">
        <f t="shared" si="155"/>
        <v>Store</v>
      </c>
      <c r="S1424" t="str">
        <v>Credit Card</v>
      </c>
      <c r="T1424" t="str">
        <v>Electronics</v>
      </c>
      <c r="U1424" t="str">
        <f t="shared" si="156"/>
        <v>VALID</v>
      </c>
      <c r="V1424" t="str">
        <f t="shared" si="157"/>
        <v>NORMAL</v>
      </c>
      <c r="W1424" t="str">
        <f t="shared" si="158"/>
        <v>Valid</v>
      </c>
      <c r="X1424">
        <f t="shared" si="160"/>
        <v>24883.38</v>
      </c>
      <c r="Y1424">
        <f t="shared" si="159"/>
        <v>24136.8786</v>
      </c>
    </row>
    <row r="1425" spans="1:25" x14ac:dyDescent="0.3">
      <c r="A1425" t="s">
        <v>1775</v>
      </c>
      <c r="B1425" s="1">
        <v>46047</v>
      </c>
      <c r="D1425" t="s">
        <v>79</v>
      </c>
      <c r="E1425" t="s">
        <v>80</v>
      </c>
      <c r="F1425" t="s">
        <v>31</v>
      </c>
      <c r="G1425" t="s">
        <v>81</v>
      </c>
      <c r="H1425" t="s">
        <v>135</v>
      </c>
      <c r="I1425">
        <v>1</v>
      </c>
      <c r="J1425">
        <v>12909.85</v>
      </c>
      <c r="K1425">
        <v>0.05</v>
      </c>
      <c r="L1425">
        <v>12264.36</v>
      </c>
      <c r="M1425" t="s">
        <v>23</v>
      </c>
      <c r="N1425" t="s">
        <v>34</v>
      </c>
      <c r="O1425" t="s">
        <v>65</v>
      </c>
      <c r="P1425" t="s">
        <v>50</v>
      </c>
      <c r="Q1425" t="str">
        <f t="shared" si="154"/>
        <v>Completed</v>
      </c>
      <c r="R1425" t="str">
        <f t="shared" si="155"/>
        <v>Online</v>
      </c>
      <c r="S1425" t="str">
        <v>Cash On Delivery</v>
      </c>
      <c r="T1425" t="str">
        <v>Electronics</v>
      </c>
      <c r="U1425" t="str">
        <f t="shared" si="156"/>
        <v>VALID</v>
      </c>
      <c r="V1425" t="str">
        <f t="shared" si="157"/>
        <v>NORMAL</v>
      </c>
      <c r="W1425" t="str">
        <f t="shared" si="158"/>
        <v>Valid</v>
      </c>
      <c r="X1425">
        <f t="shared" si="160"/>
        <v>12909.85</v>
      </c>
      <c r="Y1425">
        <f t="shared" si="159"/>
        <v>12264.3575</v>
      </c>
    </row>
    <row r="1426" spans="1:25" x14ac:dyDescent="0.3">
      <c r="A1426" t="s">
        <v>1776</v>
      </c>
      <c r="B1426" s="1">
        <v>45618</v>
      </c>
      <c r="C1426" t="s">
        <v>389</v>
      </c>
      <c r="D1426" t="s">
        <v>85</v>
      </c>
      <c r="E1426" t="s">
        <v>86</v>
      </c>
      <c r="F1426" t="s">
        <v>20</v>
      </c>
      <c r="G1426" t="s">
        <v>81</v>
      </c>
      <c r="H1426" t="s">
        <v>87</v>
      </c>
      <c r="I1426">
        <v>5</v>
      </c>
      <c r="J1426">
        <v>1779.81</v>
      </c>
      <c r="K1426">
        <v>0.03</v>
      </c>
      <c r="L1426">
        <v>8632.08</v>
      </c>
      <c r="M1426" t="s">
        <v>48</v>
      </c>
      <c r="N1426" t="s">
        <v>24</v>
      </c>
      <c r="O1426" t="s">
        <v>65</v>
      </c>
      <c r="P1426" t="s">
        <v>26</v>
      </c>
      <c r="Q1426" t="str">
        <f t="shared" si="154"/>
        <v>Completed</v>
      </c>
      <c r="R1426" t="str">
        <f t="shared" si="155"/>
        <v>Marketplace</v>
      </c>
      <c r="S1426" t="str">
        <v>Debit Card</v>
      </c>
      <c r="T1426" t="str">
        <v>Accessories</v>
      </c>
      <c r="U1426" t="str">
        <f t="shared" si="156"/>
        <v>VALID</v>
      </c>
      <c r="V1426" t="str">
        <f t="shared" si="157"/>
        <v>NORMAL</v>
      </c>
      <c r="W1426" t="str">
        <f t="shared" si="158"/>
        <v>Valid</v>
      </c>
      <c r="X1426">
        <f t="shared" si="160"/>
        <v>8899.0499999999993</v>
      </c>
      <c r="Y1426">
        <f t="shared" si="159"/>
        <v>8632.0784999999996</v>
      </c>
    </row>
    <row r="1427" spans="1:25" x14ac:dyDescent="0.3">
      <c r="A1427" t="s">
        <v>1777</v>
      </c>
      <c r="B1427" s="1">
        <v>45935</v>
      </c>
      <c r="C1427" t="s">
        <v>643</v>
      </c>
      <c r="D1427" t="s">
        <v>79</v>
      </c>
      <c r="E1427" t="s">
        <v>80</v>
      </c>
      <c r="F1427" t="s">
        <v>31</v>
      </c>
      <c r="G1427" t="s">
        <v>32</v>
      </c>
      <c r="H1427" t="s">
        <v>33</v>
      </c>
      <c r="I1427">
        <v>2</v>
      </c>
      <c r="J1427">
        <v>12928.91</v>
      </c>
      <c r="K1427">
        <v>0.03</v>
      </c>
      <c r="L1427">
        <v>25082.09</v>
      </c>
      <c r="M1427" t="s">
        <v>48</v>
      </c>
      <c r="N1427" t="s">
        <v>34</v>
      </c>
      <c r="O1427" t="s">
        <v>65</v>
      </c>
      <c r="P1427" t="s">
        <v>102</v>
      </c>
      <c r="Q1427" t="str">
        <f t="shared" si="154"/>
        <v>Completed</v>
      </c>
      <c r="R1427" t="str">
        <f t="shared" si="155"/>
        <v>Marketplace</v>
      </c>
      <c r="S1427" t="str">
        <v>Cash On Delivery</v>
      </c>
      <c r="T1427" t="str">
        <v>Electronics</v>
      </c>
      <c r="U1427" t="str">
        <f t="shared" si="156"/>
        <v>VALID</v>
      </c>
      <c r="V1427" t="str">
        <f t="shared" si="157"/>
        <v>NORMAL</v>
      </c>
      <c r="W1427" t="str">
        <f t="shared" si="158"/>
        <v>Valid</v>
      </c>
      <c r="X1427">
        <f t="shared" si="160"/>
        <v>25857.82</v>
      </c>
      <c r="Y1427">
        <f t="shared" si="159"/>
        <v>25082.0854</v>
      </c>
    </row>
    <row r="1428" spans="1:25" x14ac:dyDescent="0.3">
      <c r="A1428" t="s">
        <v>1778</v>
      </c>
      <c r="B1428" s="1">
        <v>45567</v>
      </c>
      <c r="C1428" t="s">
        <v>245</v>
      </c>
      <c r="D1428" t="s">
        <v>62</v>
      </c>
      <c r="E1428" t="s">
        <v>63</v>
      </c>
      <c r="F1428" t="s">
        <v>31</v>
      </c>
      <c r="G1428" t="s">
        <v>56</v>
      </c>
      <c r="H1428" t="s">
        <v>64</v>
      </c>
      <c r="I1428">
        <v>1</v>
      </c>
      <c r="J1428">
        <v>2988.84</v>
      </c>
      <c r="K1428">
        <v>0.15</v>
      </c>
      <c r="L1428">
        <v>2540.5100000000002</v>
      </c>
      <c r="M1428" t="s">
        <v>76</v>
      </c>
      <c r="N1428" t="s">
        <v>49</v>
      </c>
      <c r="O1428" t="s">
        <v>65</v>
      </c>
      <c r="P1428" t="s">
        <v>72</v>
      </c>
      <c r="Q1428" t="str">
        <f t="shared" si="154"/>
        <v>Completed</v>
      </c>
      <c r="R1428" t="str">
        <f t="shared" si="155"/>
        <v>Store</v>
      </c>
      <c r="S1428" t="str">
        <v>Net Banking</v>
      </c>
      <c r="T1428" t="str">
        <v>Electronics</v>
      </c>
      <c r="U1428" t="str">
        <f t="shared" si="156"/>
        <v>VALID</v>
      </c>
      <c r="V1428" t="str">
        <f t="shared" si="157"/>
        <v>NORMAL</v>
      </c>
      <c r="W1428" t="str">
        <f t="shared" si="158"/>
        <v>Valid</v>
      </c>
      <c r="X1428">
        <f t="shared" si="160"/>
        <v>2988.84</v>
      </c>
      <c r="Y1428">
        <f t="shared" si="159"/>
        <v>2540.5140000000001</v>
      </c>
    </row>
    <row r="1429" spans="1:25" x14ac:dyDescent="0.3">
      <c r="A1429" t="s">
        <v>1779</v>
      </c>
      <c r="B1429" s="1">
        <v>45333</v>
      </c>
      <c r="C1429" t="s">
        <v>266</v>
      </c>
      <c r="D1429" t="s">
        <v>29</v>
      </c>
      <c r="E1429" t="s">
        <v>30</v>
      </c>
      <c r="F1429" t="s">
        <v>31</v>
      </c>
      <c r="G1429" t="s">
        <v>32</v>
      </c>
      <c r="H1429" t="s">
        <v>47</v>
      </c>
      <c r="I1429">
        <v>1</v>
      </c>
      <c r="J1429">
        <v>3104.52</v>
      </c>
      <c r="K1429">
        <v>0</v>
      </c>
      <c r="L1429">
        <v>3104.52</v>
      </c>
      <c r="M1429" t="s">
        <v>76</v>
      </c>
      <c r="N1429" t="s">
        <v>34</v>
      </c>
      <c r="O1429" t="s">
        <v>65</v>
      </c>
      <c r="P1429" t="s">
        <v>102</v>
      </c>
      <c r="Q1429" t="str">
        <f t="shared" si="154"/>
        <v>Completed</v>
      </c>
      <c r="R1429" t="str">
        <f t="shared" si="155"/>
        <v>Store</v>
      </c>
      <c r="S1429" t="str">
        <v>Cash On Delivery</v>
      </c>
      <c r="T1429" t="str">
        <v>Electronics</v>
      </c>
      <c r="U1429" t="str">
        <f t="shared" si="156"/>
        <v>VALID</v>
      </c>
      <c r="V1429" t="str">
        <f t="shared" si="157"/>
        <v>NORMAL</v>
      </c>
      <c r="W1429" t="str">
        <f t="shared" si="158"/>
        <v>Valid</v>
      </c>
      <c r="X1429">
        <f t="shared" si="160"/>
        <v>3104.52</v>
      </c>
      <c r="Y1429">
        <f t="shared" si="159"/>
        <v>3104.52</v>
      </c>
    </row>
    <row r="1430" spans="1:25" x14ac:dyDescent="0.3">
      <c r="A1430" t="s">
        <v>1780</v>
      </c>
      <c r="B1430" s="1">
        <v>45699</v>
      </c>
      <c r="C1430" t="s">
        <v>648</v>
      </c>
      <c r="D1430" t="s">
        <v>53</v>
      </c>
      <c r="E1430" t="s">
        <v>54</v>
      </c>
      <c r="F1430" t="s">
        <v>55</v>
      </c>
      <c r="G1430" t="s">
        <v>81</v>
      </c>
      <c r="H1430" t="s">
        <v>82</v>
      </c>
      <c r="I1430">
        <v>1</v>
      </c>
      <c r="J1430">
        <v>206</v>
      </c>
      <c r="K1430">
        <v>0.03</v>
      </c>
      <c r="L1430">
        <v>199.82</v>
      </c>
      <c r="M1430" t="s">
        <v>48</v>
      </c>
      <c r="N1430" t="s">
        <v>71</v>
      </c>
      <c r="O1430" t="s">
        <v>65</v>
      </c>
      <c r="P1430" t="s">
        <v>102</v>
      </c>
      <c r="Q1430" t="str">
        <f t="shared" si="154"/>
        <v>Completed</v>
      </c>
      <c r="R1430" t="str">
        <f t="shared" si="155"/>
        <v>Marketplace</v>
      </c>
      <c r="S1430" t="str">
        <v>Upi</v>
      </c>
      <c r="T1430" t="str">
        <v>Stationery</v>
      </c>
      <c r="U1430" t="str">
        <f t="shared" si="156"/>
        <v>VALID</v>
      </c>
      <c r="V1430" t="str">
        <f t="shared" si="157"/>
        <v>NORMAL</v>
      </c>
      <c r="W1430" t="str">
        <f t="shared" si="158"/>
        <v>Valid</v>
      </c>
      <c r="X1430">
        <f t="shared" si="160"/>
        <v>206</v>
      </c>
      <c r="Y1430">
        <f t="shared" si="159"/>
        <v>199.82</v>
      </c>
    </row>
    <row r="1431" spans="1:25" x14ac:dyDescent="0.3">
      <c r="A1431" t="s">
        <v>1781</v>
      </c>
      <c r="B1431" s="1">
        <v>45660</v>
      </c>
      <c r="C1431" t="s">
        <v>243</v>
      </c>
      <c r="D1431" t="s">
        <v>45</v>
      </c>
      <c r="E1431" t="s">
        <v>46</v>
      </c>
      <c r="F1431" t="s">
        <v>31</v>
      </c>
      <c r="G1431" t="s">
        <v>81</v>
      </c>
      <c r="H1431" t="s">
        <v>82</v>
      </c>
      <c r="I1431">
        <v>5</v>
      </c>
      <c r="J1431">
        <v>1905.46</v>
      </c>
      <c r="K1431">
        <v>0.05</v>
      </c>
      <c r="L1431">
        <v>9050.93</v>
      </c>
      <c r="M1431" t="s">
        <v>23</v>
      </c>
      <c r="N1431" t="s">
        <v>71</v>
      </c>
      <c r="O1431" t="s">
        <v>65</v>
      </c>
      <c r="P1431" t="s">
        <v>50</v>
      </c>
      <c r="Q1431" t="str">
        <f t="shared" si="154"/>
        <v>Completed</v>
      </c>
      <c r="R1431" t="str">
        <f t="shared" si="155"/>
        <v>Online</v>
      </c>
      <c r="S1431" t="str">
        <v>Upi</v>
      </c>
      <c r="T1431" t="str">
        <v>Electronics</v>
      </c>
      <c r="U1431" t="str">
        <f t="shared" si="156"/>
        <v>VALID</v>
      </c>
      <c r="V1431" t="str">
        <f t="shared" si="157"/>
        <v>NORMAL</v>
      </c>
      <c r="W1431" t="str">
        <f t="shared" si="158"/>
        <v>Valid</v>
      </c>
      <c r="X1431">
        <f t="shared" si="160"/>
        <v>9527.2999999999993</v>
      </c>
      <c r="Y1431">
        <f t="shared" si="159"/>
        <v>9050.9349999999995</v>
      </c>
    </row>
    <row r="1432" spans="1:25" x14ac:dyDescent="0.3">
      <c r="A1432" t="s">
        <v>1782</v>
      </c>
      <c r="B1432" s="1">
        <v>45777</v>
      </c>
      <c r="D1432" t="s">
        <v>105</v>
      </c>
      <c r="E1432" t="s">
        <v>106</v>
      </c>
      <c r="F1432" t="s">
        <v>40</v>
      </c>
      <c r="G1432" t="s">
        <v>32</v>
      </c>
      <c r="H1432" t="s">
        <v>75</v>
      </c>
      <c r="I1432">
        <v>1</v>
      </c>
      <c r="J1432">
        <v>7375.44</v>
      </c>
      <c r="K1432">
        <v>0.15</v>
      </c>
      <c r="L1432">
        <v>6269.12</v>
      </c>
      <c r="M1432" t="s">
        <v>23</v>
      </c>
      <c r="N1432" t="s">
        <v>58</v>
      </c>
      <c r="O1432" t="s">
        <v>35</v>
      </c>
      <c r="P1432" t="s">
        <v>111</v>
      </c>
      <c r="Q1432" t="str">
        <f t="shared" si="154"/>
        <v>Cancelled</v>
      </c>
      <c r="R1432" t="str">
        <f t="shared" si="155"/>
        <v>Online</v>
      </c>
      <c r="S1432" t="str">
        <v>Credit Card</v>
      </c>
      <c r="T1432" t="str">
        <v>Furniture</v>
      </c>
      <c r="U1432" t="str">
        <f t="shared" si="156"/>
        <v>VALID</v>
      </c>
      <c r="V1432" t="str">
        <f t="shared" si="157"/>
        <v>NORMAL</v>
      </c>
      <c r="W1432" t="str">
        <f t="shared" si="158"/>
        <v>Valid</v>
      </c>
      <c r="X1432">
        <f t="shared" si="160"/>
        <v>7375.44</v>
      </c>
      <c r="Y1432">
        <f t="shared" si="159"/>
        <v>6269.1239999999998</v>
      </c>
    </row>
    <row r="1433" spans="1:25" x14ac:dyDescent="0.3">
      <c r="A1433" t="s">
        <v>1783</v>
      </c>
      <c r="B1433" s="1">
        <v>45627</v>
      </c>
      <c r="C1433" t="s">
        <v>483</v>
      </c>
      <c r="D1433" t="s">
        <v>96</v>
      </c>
      <c r="E1433" t="s">
        <v>97</v>
      </c>
      <c r="F1433" t="s">
        <v>31</v>
      </c>
      <c r="G1433" t="s">
        <v>81</v>
      </c>
      <c r="H1433" t="s">
        <v>87</v>
      </c>
      <c r="I1433">
        <v>5</v>
      </c>
      <c r="J1433">
        <v>1106.57</v>
      </c>
      <c r="K1433">
        <v>0.08</v>
      </c>
      <c r="L1433">
        <v>5090.22</v>
      </c>
      <c r="M1433" t="s">
        <v>76</v>
      </c>
      <c r="N1433" t="s">
        <v>34</v>
      </c>
      <c r="O1433" t="s">
        <v>65</v>
      </c>
      <c r="P1433" t="s">
        <v>102</v>
      </c>
      <c r="Q1433" t="str">
        <f t="shared" si="154"/>
        <v>Completed</v>
      </c>
      <c r="R1433" t="str">
        <f t="shared" si="155"/>
        <v>Store</v>
      </c>
      <c r="S1433" t="str">
        <v>Cash On Delivery</v>
      </c>
      <c r="T1433" t="str">
        <v>Electronics</v>
      </c>
      <c r="U1433" t="str">
        <f t="shared" si="156"/>
        <v>VALID</v>
      </c>
      <c r="V1433" t="str">
        <f t="shared" si="157"/>
        <v>NORMAL</v>
      </c>
      <c r="W1433" t="str">
        <f t="shared" si="158"/>
        <v>Valid</v>
      </c>
      <c r="X1433">
        <f t="shared" si="160"/>
        <v>5532.8499999999995</v>
      </c>
      <c r="Y1433">
        <f t="shared" si="159"/>
        <v>5090.2219999999998</v>
      </c>
    </row>
    <row r="1434" spans="1:25" x14ac:dyDescent="0.3">
      <c r="A1434" t="s">
        <v>1784</v>
      </c>
      <c r="B1434" s="1">
        <v>45802</v>
      </c>
      <c r="C1434" t="s">
        <v>493</v>
      </c>
      <c r="D1434" t="s">
        <v>105</v>
      </c>
      <c r="E1434" t="s">
        <v>106</v>
      </c>
      <c r="F1434" t="s">
        <v>40</v>
      </c>
      <c r="G1434" t="s">
        <v>32</v>
      </c>
      <c r="H1434" t="s">
        <v>68</v>
      </c>
      <c r="I1434">
        <v>4</v>
      </c>
      <c r="J1434">
        <v>7269.37</v>
      </c>
      <c r="K1434">
        <v>0.15</v>
      </c>
      <c r="L1434">
        <v>24715.86</v>
      </c>
      <c r="M1434" t="s">
        <v>23</v>
      </c>
      <c r="N1434" t="s">
        <v>34</v>
      </c>
      <c r="O1434" t="s">
        <v>413</v>
      </c>
      <c r="P1434" t="s">
        <v>111</v>
      </c>
      <c r="Q1434" t="str">
        <f t="shared" si="154"/>
        <v>Completed</v>
      </c>
      <c r="R1434" t="str">
        <f t="shared" si="155"/>
        <v>Online</v>
      </c>
      <c r="S1434" t="str">
        <v>Cash On Delivery</v>
      </c>
      <c r="T1434" t="str">
        <v>Furniture</v>
      </c>
      <c r="U1434" t="str">
        <f t="shared" si="156"/>
        <v>VALID</v>
      </c>
      <c r="V1434" t="str">
        <f t="shared" si="157"/>
        <v>NORMAL</v>
      </c>
      <c r="W1434" t="str">
        <f t="shared" si="158"/>
        <v>Valid</v>
      </c>
      <c r="X1434">
        <f t="shared" si="160"/>
        <v>29077.48</v>
      </c>
      <c r="Y1434">
        <f t="shared" si="159"/>
        <v>24715.858</v>
      </c>
    </row>
    <row r="1435" spans="1:25" x14ac:dyDescent="0.3">
      <c r="A1435" t="s">
        <v>1785</v>
      </c>
      <c r="B1435" s="1">
        <v>45448</v>
      </c>
      <c r="C1435" t="s">
        <v>426</v>
      </c>
      <c r="D1435" t="s">
        <v>79</v>
      </c>
      <c r="E1435" t="s">
        <v>80</v>
      </c>
      <c r="F1435" t="s">
        <v>31</v>
      </c>
      <c r="G1435" t="s">
        <v>32</v>
      </c>
      <c r="H1435" t="s">
        <v>47</v>
      </c>
      <c r="I1435">
        <v>3</v>
      </c>
      <c r="J1435">
        <v>12173.84</v>
      </c>
      <c r="K1435">
        <v>0.2</v>
      </c>
      <c r="L1435">
        <v>29217.22</v>
      </c>
      <c r="M1435" t="s">
        <v>23</v>
      </c>
      <c r="N1435" t="s">
        <v>71</v>
      </c>
      <c r="O1435" t="s">
        <v>65</v>
      </c>
      <c r="P1435" t="s">
        <v>26</v>
      </c>
      <c r="Q1435" t="str">
        <f t="shared" si="154"/>
        <v>Completed</v>
      </c>
      <c r="R1435" t="str">
        <f t="shared" si="155"/>
        <v>Online</v>
      </c>
      <c r="S1435" t="str">
        <v>Upi</v>
      </c>
      <c r="T1435" t="str">
        <v>Electronics</v>
      </c>
      <c r="U1435" t="str">
        <f t="shared" si="156"/>
        <v>VALID</v>
      </c>
      <c r="V1435" t="str">
        <f t="shared" si="157"/>
        <v>NORMAL</v>
      </c>
      <c r="W1435" t="str">
        <f t="shared" si="158"/>
        <v>Valid</v>
      </c>
      <c r="X1435">
        <f t="shared" si="160"/>
        <v>36521.520000000004</v>
      </c>
      <c r="Y1435">
        <f t="shared" si="159"/>
        <v>29217.216000000004</v>
      </c>
    </row>
    <row r="1436" spans="1:25" x14ac:dyDescent="0.3">
      <c r="A1436" t="s">
        <v>1786</v>
      </c>
      <c r="B1436" s="1">
        <v>45422</v>
      </c>
      <c r="C1436" t="s">
        <v>208</v>
      </c>
      <c r="D1436" t="s">
        <v>131</v>
      </c>
      <c r="E1436" t="s">
        <v>132</v>
      </c>
      <c r="F1436" t="s">
        <v>40</v>
      </c>
      <c r="G1436" t="s">
        <v>56</v>
      </c>
      <c r="H1436" t="s">
        <v>101</v>
      </c>
      <c r="I1436">
        <v>1</v>
      </c>
      <c r="J1436">
        <v>9454.11</v>
      </c>
      <c r="K1436">
        <v>0.05</v>
      </c>
      <c r="L1436">
        <v>8981.4</v>
      </c>
      <c r="M1436" t="s">
        <v>76</v>
      </c>
      <c r="N1436" t="s">
        <v>24</v>
      </c>
      <c r="O1436" t="s">
        <v>65</v>
      </c>
      <c r="P1436" t="s">
        <v>102</v>
      </c>
      <c r="Q1436" t="str">
        <f t="shared" si="154"/>
        <v>Completed</v>
      </c>
      <c r="R1436" t="str">
        <f t="shared" si="155"/>
        <v>Store</v>
      </c>
      <c r="S1436" t="str">
        <v>Debit Card</v>
      </c>
      <c r="T1436" t="str">
        <v>Furniture</v>
      </c>
      <c r="U1436" t="str">
        <f t="shared" si="156"/>
        <v>VALID</v>
      </c>
      <c r="V1436" t="str">
        <f t="shared" si="157"/>
        <v>NORMAL</v>
      </c>
      <c r="W1436" t="str">
        <f t="shared" si="158"/>
        <v>Valid</v>
      </c>
      <c r="X1436">
        <f t="shared" si="160"/>
        <v>9454.11</v>
      </c>
      <c r="Y1436">
        <f t="shared" si="159"/>
        <v>8981.4045000000006</v>
      </c>
    </row>
    <row r="1437" spans="1:25" x14ac:dyDescent="0.3">
      <c r="A1437" t="s">
        <v>1787</v>
      </c>
      <c r="B1437" s="1">
        <v>45346</v>
      </c>
      <c r="C1437" t="s">
        <v>845</v>
      </c>
      <c r="D1437" t="s">
        <v>53</v>
      </c>
      <c r="E1437" t="s">
        <v>54</v>
      </c>
      <c r="F1437" t="s">
        <v>55</v>
      </c>
      <c r="G1437" t="s">
        <v>81</v>
      </c>
      <c r="H1437" t="s">
        <v>98</v>
      </c>
      <c r="I1437">
        <v>5</v>
      </c>
      <c r="J1437">
        <v>224.36</v>
      </c>
      <c r="K1437">
        <v>0.1</v>
      </c>
      <c r="L1437">
        <v>1009.62</v>
      </c>
      <c r="M1437" t="s">
        <v>48</v>
      </c>
      <c r="N1437" t="s">
        <v>58</v>
      </c>
      <c r="O1437" t="s">
        <v>65</v>
      </c>
      <c r="P1437" t="s">
        <v>116</v>
      </c>
      <c r="Q1437" t="str">
        <f t="shared" si="154"/>
        <v>Completed</v>
      </c>
      <c r="R1437" t="str">
        <f t="shared" si="155"/>
        <v>Marketplace</v>
      </c>
      <c r="S1437" t="str">
        <v>Credit Card</v>
      </c>
      <c r="T1437" t="str">
        <v>Stationery</v>
      </c>
      <c r="U1437" t="str">
        <f t="shared" si="156"/>
        <v>VALID</v>
      </c>
      <c r="V1437" t="str">
        <f t="shared" si="157"/>
        <v>NORMAL</v>
      </c>
      <c r="W1437" t="str">
        <f t="shared" si="158"/>
        <v>Valid</v>
      </c>
      <c r="X1437">
        <f t="shared" si="160"/>
        <v>1121.8000000000002</v>
      </c>
      <c r="Y1437">
        <f t="shared" si="159"/>
        <v>1009.6200000000001</v>
      </c>
    </row>
    <row r="1438" spans="1:25" x14ac:dyDescent="0.3">
      <c r="A1438" t="s">
        <v>1788</v>
      </c>
      <c r="B1438" s="1">
        <v>45634</v>
      </c>
      <c r="C1438" t="s">
        <v>419</v>
      </c>
      <c r="D1438" t="s">
        <v>176</v>
      </c>
      <c r="E1438" t="s">
        <v>177</v>
      </c>
      <c r="F1438" t="s">
        <v>31</v>
      </c>
      <c r="G1438" t="s">
        <v>81</v>
      </c>
      <c r="H1438" t="s">
        <v>98</v>
      </c>
      <c r="I1438">
        <v>5</v>
      </c>
      <c r="J1438">
        <v>2216.9899999999998</v>
      </c>
      <c r="K1438">
        <v>0.05</v>
      </c>
      <c r="L1438">
        <v>10530.7</v>
      </c>
      <c r="M1438" t="s">
        <v>76</v>
      </c>
      <c r="N1438" t="s">
        <v>49</v>
      </c>
      <c r="O1438" t="s">
        <v>65</v>
      </c>
      <c r="P1438" t="s">
        <v>50</v>
      </c>
      <c r="Q1438" t="str">
        <f t="shared" si="154"/>
        <v>Completed</v>
      </c>
      <c r="R1438" t="str">
        <f t="shared" si="155"/>
        <v>Store</v>
      </c>
      <c r="S1438" t="str">
        <v>Net Banking</v>
      </c>
      <c r="T1438" t="str">
        <v>Electronics</v>
      </c>
      <c r="U1438" t="str">
        <f t="shared" si="156"/>
        <v>VALID</v>
      </c>
      <c r="V1438" t="str">
        <f t="shared" si="157"/>
        <v>NORMAL</v>
      </c>
      <c r="W1438" t="str">
        <f t="shared" si="158"/>
        <v>Valid</v>
      </c>
      <c r="X1438">
        <f t="shared" si="160"/>
        <v>11084.949999999999</v>
      </c>
      <c r="Y1438">
        <f t="shared" si="159"/>
        <v>10530.702499999999</v>
      </c>
    </row>
    <row r="1439" spans="1:25" x14ac:dyDescent="0.3">
      <c r="A1439" t="s">
        <v>1789</v>
      </c>
      <c r="B1439" s="1">
        <v>45341</v>
      </c>
      <c r="C1439" t="s">
        <v>1250</v>
      </c>
      <c r="D1439" t="s">
        <v>38</v>
      </c>
      <c r="E1439" t="s">
        <v>39</v>
      </c>
      <c r="F1439" t="s">
        <v>40</v>
      </c>
      <c r="G1439" t="s">
        <v>81</v>
      </c>
      <c r="H1439" t="s">
        <v>82</v>
      </c>
      <c r="I1439">
        <v>3</v>
      </c>
      <c r="J1439">
        <v>1523.26</v>
      </c>
      <c r="K1439">
        <v>0.15</v>
      </c>
      <c r="L1439">
        <v>3884.31</v>
      </c>
      <c r="M1439" t="s">
        <v>23</v>
      </c>
      <c r="N1439" t="s">
        <v>24</v>
      </c>
      <c r="O1439" t="s">
        <v>65</v>
      </c>
      <c r="P1439" t="s">
        <v>59</v>
      </c>
      <c r="Q1439" t="str">
        <f t="shared" si="154"/>
        <v>Completed</v>
      </c>
      <c r="R1439" t="str">
        <f t="shared" si="155"/>
        <v>Online</v>
      </c>
      <c r="S1439" t="str">
        <v>Debit Card</v>
      </c>
      <c r="T1439" t="str">
        <v>Furniture</v>
      </c>
      <c r="U1439" t="str">
        <f t="shared" si="156"/>
        <v>VALID</v>
      </c>
      <c r="V1439" t="str">
        <f t="shared" si="157"/>
        <v>NORMAL</v>
      </c>
      <c r="W1439" t="str">
        <f t="shared" si="158"/>
        <v>Valid</v>
      </c>
      <c r="X1439">
        <f t="shared" si="160"/>
        <v>4569.78</v>
      </c>
      <c r="Y1439">
        <f t="shared" si="159"/>
        <v>3884.3129999999996</v>
      </c>
    </row>
    <row r="1440" spans="1:25" x14ac:dyDescent="0.3">
      <c r="A1440" t="s">
        <v>1790</v>
      </c>
      <c r="B1440" s="1">
        <v>45569</v>
      </c>
      <c r="C1440" t="s">
        <v>304</v>
      </c>
      <c r="D1440" t="s">
        <v>38</v>
      </c>
      <c r="E1440" t="s">
        <v>39</v>
      </c>
      <c r="F1440" t="s">
        <v>40</v>
      </c>
      <c r="G1440" t="s">
        <v>32</v>
      </c>
      <c r="H1440" t="s">
        <v>33</v>
      </c>
      <c r="I1440">
        <v>4</v>
      </c>
      <c r="J1440">
        <v>1670.83</v>
      </c>
      <c r="K1440">
        <v>0.15</v>
      </c>
      <c r="L1440">
        <v>5680.82</v>
      </c>
      <c r="M1440" t="s">
        <v>76</v>
      </c>
      <c r="N1440" t="s">
        <v>49</v>
      </c>
      <c r="O1440" t="s">
        <v>65</v>
      </c>
      <c r="P1440" t="s">
        <v>26</v>
      </c>
      <c r="Q1440" t="str">
        <f t="shared" si="154"/>
        <v>Completed</v>
      </c>
      <c r="R1440" t="str">
        <f t="shared" si="155"/>
        <v>Store</v>
      </c>
      <c r="S1440" t="str">
        <v>Net Banking</v>
      </c>
      <c r="T1440" t="str">
        <v>Furniture</v>
      </c>
      <c r="U1440" t="str">
        <f t="shared" si="156"/>
        <v>VALID</v>
      </c>
      <c r="V1440" t="str">
        <f t="shared" si="157"/>
        <v>NORMAL</v>
      </c>
      <c r="W1440" t="str">
        <f t="shared" si="158"/>
        <v>Valid</v>
      </c>
      <c r="X1440">
        <f t="shared" si="160"/>
        <v>6683.32</v>
      </c>
      <c r="Y1440">
        <f t="shared" si="159"/>
        <v>5680.8220000000001</v>
      </c>
    </row>
    <row r="1441" spans="1:25" x14ac:dyDescent="0.3">
      <c r="A1441" t="s">
        <v>1791</v>
      </c>
      <c r="B1441" s="1">
        <v>45954</v>
      </c>
      <c r="C1441" t="s">
        <v>776</v>
      </c>
      <c r="D1441" t="s">
        <v>79</v>
      </c>
      <c r="E1441" t="s">
        <v>80</v>
      </c>
      <c r="F1441" t="s">
        <v>31</v>
      </c>
      <c r="G1441" t="s">
        <v>21</v>
      </c>
      <c r="H1441" t="s">
        <v>126</v>
      </c>
      <c r="I1441">
        <v>1</v>
      </c>
      <c r="J1441">
        <v>13466.08</v>
      </c>
      <c r="K1441">
        <v>0.05</v>
      </c>
      <c r="L1441">
        <v>12792.78</v>
      </c>
      <c r="M1441" t="s">
        <v>76</v>
      </c>
      <c r="N1441" t="s">
        <v>49</v>
      </c>
      <c r="O1441" t="s">
        <v>35</v>
      </c>
      <c r="P1441" t="s">
        <v>72</v>
      </c>
      <c r="Q1441" t="str">
        <f t="shared" si="154"/>
        <v>Cancelled</v>
      </c>
      <c r="R1441" t="str">
        <f t="shared" si="155"/>
        <v>Store</v>
      </c>
      <c r="S1441" t="str">
        <v>Net Banking</v>
      </c>
      <c r="T1441" t="str">
        <v>Electronics</v>
      </c>
      <c r="U1441" t="str">
        <f t="shared" si="156"/>
        <v>VALID</v>
      </c>
      <c r="V1441" t="str">
        <f t="shared" si="157"/>
        <v>NORMAL</v>
      </c>
      <c r="W1441" t="str">
        <f t="shared" si="158"/>
        <v>Valid</v>
      </c>
      <c r="X1441">
        <f t="shared" si="160"/>
        <v>13466.08</v>
      </c>
      <c r="Y1441">
        <f t="shared" si="159"/>
        <v>12792.776</v>
      </c>
    </row>
    <row r="1442" spans="1:25" x14ac:dyDescent="0.3">
      <c r="A1442" t="s">
        <v>1792</v>
      </c>
      <c r="B1442" s="1">
        <v>45966</v>
      </c>
      <c r="C1442" t="s">
        <v>113</v>
      </c>
      <c r="D1442" t="s">
        <v>131</v>
      </c>
      <c r="E1442" t="s">
        <v>132</v>
      </c>
      <c r="F1442" t="s">
        <v>40</v>
      </c>
      <c r="G1442" t="s">
        <v>81</v>
      </c>
      <c r="H1442" t="s">
        <v>98</v>
      </c>
      <c r="I1442">
        <v>3</v>
      </c>
      <c r="J1442">
        <v>9519.4</v>
      </c>
      <c r="K1442">
        <v>0</v>
      </c>
      <c r="L1442">
        <v>28558.2</v>
      </c>
      <c r="M1442" t="s">
        <v>48</v>
      </c>
      <c r="N1442" t="s">
        <v>71</v>
      </c>
      <c r="O1442" t="s">
        <v>65</v>
      </c>
      <c r="P1442" t="s">
        <v>59</v>
      </c>
      <c r="Q1442" t="str">
        <f t="shared" si="154"/>
        <v>Completed</v>
      </c>
      <c r="R1442" t="str">
        <f t="shared" si="155"/>
        <v>Marketplace</v>
      </c>
      <c r="S1442" t="str">
        <v>Upi</v>
      </c>
      <c r="T1442" t="str">
        <v>Furniture</v>
      </c>
      <c r="U1442" t="str">
        <f t="shared" si="156"/>
        <v>VALID</v>
      </c>
      <c r="V1442" t="str">
        <f t="shared" si="157"/>
        <v>NORMAL</v>
      </c>
      <c r="W1442" t="str">
        <f t="shared" si="158"/>
        <v>Valid</v>
      </c>
      <c r="X1442">
        <f t="shared" si="160"/>
        <v>28558.199999999997</v>
      </c>
      <c r="Y1442">
        <f t="shared" si="159"/>
        <v>28558.199999999997</v>
      </c>
    </row>
    <row r="1443" spans="1:25" x14ac:dyDescent="0.3">
      <c r="A1443" t="s">
        <v>1793</v>
      </c>
      <c r="B1443" s="1">
        <v>45932</v>
      </c>
      <c r="C1443" t="s">
        <v>539</v>
      </c>
      <c r="D1443" t="s">
        <v>121</v>
      </c>
      <c r="E1443" t="s">
        <v>122</v>
      </c>
      <c r="F1443" t="s">
        <v>55</v>
      </c>
      <c r="G1443" t="s">
        <v>32</v>
      </c>
      <c r="H1443" t="s">
        <v>47</v>
      </c>
      <c r="I1443">
        <v>5</v>
      </c>
      <c r="J1443">
        <v>469.5</v>
      </c>
      <c r="K1443">
        <v>0.15</v>
      </c>
      <c r="L1443">
        <v>1995.38</v>
      </c>
      <c r="M1443" t="s">
        <v>48</v>
      </c>
      <c r="N1443" t="s">
        <v>71</v>
      </c>
      <c r="O1443" t="s">
        <v>65</v>
      </c>
      <c r="P1443" t="s">
        <v>26</v>
      </c>
      <c r="Q1443" t="str">
        <f t="shared" si="154"/>
        <v>Completed</v>
      </c>
      <c r="R1443" t="str">
        <f t="shared" si="155"/>
        <v>Marketplace</v>
      </c>
      <c r="S1443" t="str">
        <v>Upi</v>
      </c>
      <c r="T1443" t="str">
        <v>Stationery</v>
      </c>
      <c r="U1443" t="str">
        <f t="shared" si="156"/>
        <v>VALID</v>
      </c>
      <c r="V1443" t="str">
        <f t="shared" si="157"/>
        <v>NORMAL</v>
      </c>
      <c r="W1443" t="str">
        <f t="shared" si="158"/>
        <v>Valid</v>
      </c>
      <c r="X1443">
        <f t="shared" si="160"/>
        <v>2347.5</v>
      </c>
      <c r="Y1443">
        <f t="shared" si="159"/>
        <v>1995.375</v>
      </c>
    </row>
    <row r="1444" spans="1:25" x14ac:dyDescent="0.3">
      <c r="A1444" t="s">
        <v>1794</v>
      </c>
      <c r="B1444" s="1">
        <v>45422</v>
      </c>
      <c r="C1444" t="s">
        <v>643</v>
      </c>
      <c r="D1444" t="s">
        <v>89</v>
      </c>
      <c r="E1444" t="s">
        <v>90</v>
      </c>
      <c r="F1444" t="s">
        <v>20</v>
      </c>
      <c r="G1444" t="s">
        <v>21</v>
      </c>
      <c r="H1444" t="s">
        <v>22</v>
      </c>
      <c r="I1444">
        <v>3</v>
      </c>
      <c r="J1444">
        <v>755.86</v>
      </c>
      <c r="K1444">
        <v>0.2</v>
      </c>
      <c r="L1444">
        <v>1814.06</v>
      </c>
      <c r="M1444" t="s">
        <v>23</v>
      </c>
      <c r="N1444" t="s">
        <v>71</v>
      </c>
      <c r="O1444" t="s">
        <v>65</v>
      </c>
      <c r="P1444" t="s">
        <v>50</v>
      </c>
      <c r="Q1444" t="str">
        <f t="shared" si="154"/>
        <v>Completed</v>
      </c>
      <c r="R1444" t="str">
        <f t="shared" si="155"/>
        <v>Online</v>
      </c>
      <c r="S1444" t="str">
        <v>Upi</v>
      </c>
      <c r="T1444" t="str">
        <v>Accessories</v>
      </c>
      <c r="U1444" t="str">
        <f t="shared" si="156"/>
        <v>VALID</v>
      </c>
      <c r="V1444" t="str">
        <f t="shared" si="157"/>
        <v>NORMAL</v>
      </c>
      <c r="W1444" t="str">
        <f t="shared" si="158"/>
        <v>Valid</v>
      </c>
      <c r="X1444">
        <f t="shared" si="160"/>
        <v>2267.58</v>
      </c>
      <c r="Y1444">
        <f t="shared" si="159"/>
        <v>1814.0639999999999</v>
      </c>
    </row>
    <row r="1445" spans="1:25" x14ac:dyDescent="0.3">
      <c r="A1445" t="s">
        <v>1795</v>
      </c>
      <c r="B1445" s="1">
        <v>45448</v>
      </c>
      <c r="C1445" t="s">
        <v>155</v>
      </c>
      <c r="D1445" t="s">
        <v>38</v>
      </c>
      <c r="E1445" t="s">
        <v>39</v>
      </c>
      <c r="F1445" t="s">
        <v>40</v>
      </c>
      <c r="G1445" t="s">
        <v>56</v>
      </c>
      <c r="H1445" t="s">
        <v>57</v>
      </c>
      <c r="I1445">
        <v>2</v>
      </c>
      <c r="J1445">
        <v>1597.76</v>
      </c>
      <c r="K1445">
        <v>0.05</v>
      </c>
      <c r="L1445">
        <v>3035.74</v>
      </c>
      <c r="M1445" t="s">
        <v>23</v>
      </c>
      <c r="N1445" t="s">
        <v>24</v>
      </c>
      <c r="O1445" t="s">
        <v>35</v>
      </c>
      <c r="P1445" t="s">
        <v>116</v>
      </c>
      <c r="Q1445" t="str">
        <f t="shared" si="154"/>
        <v>Cancelled</v>
      </c>
      <c r="R1445" t="str">
        <f t="shared" si="155"/>
        <v>Online</v>
      </c>
      <c r="S1445" t="str">
        <v>Debit Card</v>
      </c>
      <c r="T1445" t="str">
        <v>Furniture</v>
      </c>
      <c r="U1445" t="str">
        <f t="shared" si="156"/>
        <v>VALID</v>
      </c>
      <c r="V1445" t="str">
        <f t="shared" si="157"/>
        <v>NORMAL</v>
      </c>
      <c r="W1445" t="str">
        <f t="shared" si="158"/>
        <v>Valid</v>
      </c>
      <c r="X1445">
        <f t="shared" si="160"/>
        <v>3195.52</v>
      </c>
      <c r="Y1445">
        <f t="shared" si="159"/>
        <v>3035.7440000000001</v>
      </c>
    </row>
    <row r="1446" spans="1:25" x14ac:dyDescent="0.3">
      <c r="A1446" t="s">
        <v>1796</v>
      </c>
      <c r="B1446" s="1">
        <v>46083</v>
      </c>
      <c r="C1446" t="s">
        <v>173</v>
      </c>
      <c r="D1446" t="s">
        <v>62</v>
      </c>
      <c r="E1446" t="s">
        <v>63</v>
      </c>
      <c r="F1446" t="s">
        <v>31</v>
      </c>
      <c r="G1446" t="s">
        <v>56</v>
      </c>
      <c r="H1446" t="s">
        <v>123</v>
      </c>
      <c r="I1446">
        <v>5</v>
      </c>
      <c r="J1446">
        <v>2581.79</v>
      </c>
      <c r="K1446">
        <v>0.03</v>
      </c>
      <c r="L1446">
        <v>12521.68</v>
      </c>
      <c r="M1446" t="s">
        <v>76</v>
      </c>
      <c r="N1446" t="s">
        <v>24</v>
      </c>
      <c r="O1446" t="s">
        <v>25</v>
      </c>
      <c r="P1446" t="s">
        <v>42</v>
      </c>
      <c r="Q1446" t="str">
        <f t="shared" si="154"/>
        <v>Returned</v>
      </c>
      <c r="R1446" t="str">
        <f t="shared" si="155"/>
        <v>Store</v>
      </c>
      <c r="S1446" t="str">
        <v>Debit Card</v>
      </c>
      <c r="T1446" t="str">
        <v>Electronics</v>
      </c>
      <c r="U1446" t="str">
        <f t="shared" si="156"/>
        <v>VALID</v>
      </c>
      <c r="V1446" t="str">
        <f t="shared" si="157"/>
        <v>NORMAL</v>
      </c>
      <c r="W1446" t="str">
        <f t="shared" si="158"/>
        <v>Valid</v>
      </c>
      <c r="X1446">
        <f t="shared" si="160"/>
        <v>12908.95</v>
      </c>
      <c r="Y1446">
        <f t="shared" si="159"/>
        <v>12521.681500000001</v>
      </c>
    </row>
    <row r="1447" spans="1:25" x14ac:dyDescent="0.3">
      <c r="A1447" t="s">
        <v>1797</v>
      </c>
      <c r="B1447" s="1">
        <v>45796</v>
      </c>
      <c r="C1447" t="s">
        <v>329</v>
      </c>
      <c r="D1447" t="s">
        <v>96</v>
      </c>
      <c r="E1447" t="s">
        <v>97</v>
      </c>
      <c r="F1447" t="s">
        <v>31</v>
      </c>
      <c r="G1447" t="s">
        <v>81</v>
      </c>
      <c r="H1447" t="s">
        <v>82</v>
      </c>
      <c r="I1447">
        <v>1</v>
      </c>
      <c r="J1447">
        <v>1232.55</v>
      </c>
      <c r="K1447">
        <v>0.15</v>
      </c>
      <c r="L1447">
        <v>1047.67</v>
      </c>
      <c r="M1447" t="s">
        <v>48</v>
      </c>
      <c r="N1447" t="s">
        <v>34</v>
      </c>
      <c r="O1447" t="s">
        <v>65</v>
      </c>
      <c r="P1447" t="s">
        <v>111</v>
      </c>
      <c r="Q1447" t="str">
        <f t="shared" si="154"/>
        <v>Completed</v>
      </c>
      <c r="R1447" t="str">
        <f t="shared" si="155"/>
        <v>Marketplace</v>
      </c>
      <c r="S1447" t="str">
        <v>Cash On Delivery</v>
      </c>
      <c r="T1447" t="str">
        <v>Electronics</v>
      </c>
      <c r="U1447" t="str">
        <f t="shared" si="156"/>
        <v>VALID</v>
      </c>
      <c r="V1447" t="str">
        <f t="shared" si="157"/>
        <v>NORMAL</v>
      </c>
      <c r="W1447" t="str">
        <f t="shared" si="158"/>
        <v>Valid</v>
      </c>
      <c r="X1447">
        <f t="shared" si="160"/>
        <v>1232.55</v>
      </c>
      <c r="Y1447">
        <f t="shared" si="159"/>
        <v>1047.6675</v>
      </c>
    </row>
    <row r="1448" spans="1:25" x14ac:dyDescent="0.3">
      <c r="A1448" t="s">
        <v>1798</v>
      </c>
      <c r="B1448" s="1">
        <v>46163</v>
      </c>
      <c r="C1448" t="s">
        <v>92</v>
      </c>
      <c r="D1448" t="s">
        <v>29</v>
      </c>
      <c r="E1448" t="s">
        <v>30</v>
      </c>
      <c r="F1448" t="s">
        <v>31</v>
      </c>
      <c r="G1448" t="s">
        <v>81</v>
      </c>
      <c r="H1448" t="s">
        <v>82</v>
      </c>
      <c r="I1448">
        <v>4</v>
      </c>
      <c r="J1448">
        <v>3212.88</v>
      </c>
      <c r="K1448">
        <v>0.1</v>
      </c>
      <c r="L1448">
        <v>11566.37</v>
      </c>
      <c r="M1448" t="s">
        <v>76</v>
      </c>
      <c r="N1448" t="s">
        <v>49</v>
      </c>
      <c r="O1448" t="s">
        <v>35</v>
      </c>
      <c r="P1448" t="s">
        <v>42</v>
      </c>
      <c r="Q1448" t="str">
        <f t="shared" si="154"/>
        <v>Cancelled</v>
      </c>
      <c r="R1448" t="str">
        <f t="shared" si="155"/>
        <v>Store</v>
      </c>
      <c r="S1448" t="str">
        <v>Net Banking</v>
      </c>
      <c r="T1448" t="str">
        <v>Electronics</v>
      </c>
      <c r="U1448" t="str">
        <f t="shared" si="156"/>
        <v>VALID</v>
      </c>
      <c r="V1448" t="str">
        <f t="shared" si="157"/>
        <v>NORMAL</v>
      </c>
      <c r="W1448" t="str">
        <f t="shared" si="158"/>
        <v>Valid</v>
      </c>
      <c r="X1448">
        <f t="shared" si="160"/>
        <v>12851.52</v>
      </c>
      <c r="Y1448">
        <f t="shared" si="159"/>
        <v>11566.368</v>
      </c>
    </row>
    <row r="1449" spans="1:25" x14ac:dyDescent="0.3">
      <c r="A1449" t="s">
        <v>1799</v>
      </c>
      <c r="B1449" s="1">
        <v>45848</v>
      </c>
      <c r="C1449" t="s">
        <v>352</v>
      </c>
      <c r="D1449" t="s">
        <v>18</v>
      </c>
      <c r="E1449" t="s">
        <v>19</v>
      </c>
      <c r="F1449" t="s">
        <v>20</v>
      </c>
      <c r="G1449" t="s">
        <v>56</v>
      </c>
      <c r="H1449" t="s">
        <v>101</v>
      </c>
      <c r="I1449">
        <v>4</v>
      </c>
      <c r="J1449">
        <v>877.46</v>
      </c>
      <c r="K1449">
        <v>0</v>
      </c>
      <c r="L1449">
        <v>3509.84</v>
      </c>
      <c r="M1449" t="s">
        <v>76</v>
      </c>
      <c r="N1449" t="s">
        <v>58</v>
      </c>
      <c r="O1449" t="s">
        <v>35</v>
      </c>
      <c r="P1449" t="s">
        <v>42</v>
      </c>
      <c r="Q1449" t="str">
        <f t="shared" si="154"/>
        <v>Cancelled</v>
      </c>
      <c r="R1449" t="str">
        <f t="shared" si="155"/>
        <v>Store</v>
      </c>
      <c r="S1449" t="str">
        <v>Credit Card</v>
      </c>
      <c r="T1449" t="str">
        <v>Accessories</v>
      </c>
      <c r="U1449" t="str">
        <f t="shared" si="156"/>
        <v>VALID</v>
      </c>
      <c r="V1449" t="str">
        <f t="shared" si="157"/>
        <v>NORMAL</v>
      </c>
      <c r="W1449" t="str">
        <f t="shared" si="158"/>
        <v>Valid</v>
      </c>
      <c r="X1449">
        <f t="shared" si="160"/>
        <v>3509.84</v>
      </c>
      <c r="Y1449">
        <f t="shared" si="159"/>
        <v>3509.84</v>
      </c>
    </row>
    <row r="1450" spans="1:25" x14ac:dyDescent="0.3">
      <c r="A1450" t="s">
        <v>1800</v>
      </c>
      <c r="B1450" s="1">
        <v>45339</v>
      </c>
      <c r="C1450" t="s">
        <v>17</v>
      </c>
      <c r="D1450" t="s">
        <v>79</v>
      </c>
      <c r="E1450" t="s">
        <v>80</v>
      </c>
      <c r="F1450" t="s">
        <v>31</v>
      </c>
      <c r="G1450" t="s">
        <v>21</v>
      </c>
      <c r="H1450" t="s">
        <v>41</v>
      </c>
      <c r="I1450">
        <v>5</v>
      </c>
      <c r="J1450">
        <v>12622.1</v>
      </c>
      <c r="K1450">
        <v>0.08</v>
      </c>
      <c r="L1450">
        <v>58061.66</v>
      </c>
      <c r="M1450" t="s">
        <v>76</v>
      </c>
      <c r="N1450" t="s">
        <v>24</v>
      </c>
      <c r="O1450" t="s">
        <v>35</v>
      </c>
      <c r="P1450" t="s">
        <v>26</v>
      </c>
      <c r="Q1450" t="str">
        <f t="shared" si="154"/>
        <v>Cancelled</v>
      </c>
      <c r="R1450" t="str">
        <f t="shared" si="155"/>
        <v>Store</v>
      </c>
      <c r="S1450" t="str">
        <v>Debit Card</v>
      </c>
      <c r="T1450" t="str">
        <v>Electronics</v>
      </c>
      <c r="U1450" t="str">
        <f t="shared" si="156"/>
        <v>VALID</v>
      </c>
      <c r="V1450" t="str">
        <f t="shared" si="157"/>
        <v>NORMAL</v>
      </c>
      <c r="W1450" t="str">
        <f t="shared" si="158"/>
        <v>Valid</v>
      </c>
      <c r="X1450">
        <f t="shared" si="160"/>
        <v>63110.5</v>
      </c>
      <c r="Y1450">
        <f t="shared" si="159"/>
        <v>58061.66</v>
      </c>
    </row>
    <row r="1451" spans="1:25" x14ac:dyDescent="0.3">
      <c r="A1451" t="s">
        <v>1801</v>
      </c>
      <c r="B1451" s="1">
        <v>45773</v>
      </c>
      <c r="C1451" t="s">
        <v>257</v>
      </c>
      <c r="D1451" t="s">
        <v>121</v>
      </c>
      <c r="E1451" t="s">
        <v>122</v>
      </c>
      <c r="F1451" t="s">
        <v>55</v>
      </c>
      <c r="G1451" t="s">
        <v>32</v>
      </c>
      <c r="H1451" t="s">
        <v>75</v>
      </c>
      <c r="I1451">
        <v>1</v>
      </c>
      <c r="J1451">
        <v>416.47</v>
      </c>
      <c r="K1451">
        <v>0</v>
      </c>
      <c r="L1451">
        <v>416.47</v>
      </c>
      <c r="M1451" t="s">
        <v>76</v>
      </c>
      <c r="N1451" t="s">
        <v>58</v>
      </c>
      <c r="O1451" t="s">
        <v>65</v>
      </c>
      <c r="P1451" t="s">
        <v>116</v>
      </c>
      <c r="Q1451" t="str">
        <f t="shared" si="154"/>
        <v>Completed</v>
      </c>
      <c r="R1451" t="str">
        <f t="shared" si="155"/>
        <v>Store</v>
      </c>
      <c r="S1451" t="str">
        <v>Credit Card</v>
      </c>
      <c r="T1451" t="str">
        <v>Stationery</v>
      </c>
      <c r="U1451" t="str">
        <f t="shared" si="156"/>
        <v>VALID</v>
      </c>
      <c r="V1451" t="str">
        <f t="shared" si="157"/>
        <v>NORMAL</v>
      </c>
      <c r="W1451" t="str">
        <f t="shared" si="158"/>
        <v>Valid</v>
      </c>
      <c r="X1451">
        <f t="shared" si="160"/>
        <v>416.47</v>
      </c>
      <c r="Y1451">
        <f t="shared" si="159"/>
        <v>416.47</v>
      </c>
    </row>
    <row r="1452" spans="1:25" x14ac:dyDescent="0.3">
      <c r="A1452" t="s">
        <v>1802</v>
      </c>
      <c r="B1452" s="1">
        <v>46159</v>
      </c>
      <c r="C1452" t="s">
        <v>836</v>
      </c>
      <c r="D1452" t="s">
        <v>18</v>
      </c>
      <c r="E1452" t="s">
        <v>19</v>
      </c>
      <c r="F1452" t="s">
        <v>20</v>
      </c>
      <c r="G1452" t="s">
        <v>21</v>
      </c>
      <c r="H1452" t="s">
        <v>93</v>
      </c>
      <c r="I1452">
        <v>1</v>
      </c>
      <c r="J1452">
        <v>875.66</v>
      </c>
      <c r="K1452">
        <v>0.03</v>
      </c>
      <c r="L1452">
        <v>849.39</v>
      </c>
      <c r="M1452" t="s">
        <v>48</v>
      </c>
      <c r="N1452" t="s">
        <v>58</v>
      </c>
      <c r="O1452" t="s">
        <v>65</v>
      </c>
      <c r="P1452" t="s">
        <v>26</v>
      </c>
      <c r="Q1452" t="str">
        <f t="shared" si="154"/>
        <v>Completed</v>
      </c>
      <c r="R1452" t="str">
        <f t="shared" si="155"/>
        <v>Marketplace</v>
      </c>
      <c r="S1452" t="str">
        <v>Credit Card</v>
      </c>
      <c r="T1452" t="str">
        <v>Accessories</v>
      </c>
      <c r="U1452" t="str">
        <f t="shared" si="156"/>
        <v>VALID</v>
      </c>
      <c r="V1452" t="str">
        <f t="shared" si="157"/>
        <v>NORMAL</v>
      </c>
      <c r="W1452" t="str">
        <f t="shared" si="158"/>
        <v>Valid</v>
      </c>
      <c r="X1452">
        <f t="shared" si="160"/>
        <v>875.66</v>
      </c>
      <c r="Y1452">
        <f t="shared" si="159"/>
        <v>849.39019999999994</v>
      </c>
    </row>
    <row r="1453" spans="1:25" x14ac:dyDescent="0.3">
      <c r="A1453" t="s">
        <v>1803</v>
      </c>
      <c r="B1453" s="1">
        <v>45480</v>
      </c>
      <c r="C1453" t="s">
        <v>504</v>
      </c>
      <c r="D1453" t="s">
        <v>18</v>
      </c>
      <c r="E1453" t="s">
        <v>19</v>
      </c>
      <c r="F1453" t="s">
        <v>20</v>
      </c>
      <c r="G1453" t="s">
        <v>21</v>
      </c>
      <c r="H1453" t="s">
        <v>126</v>
      </c>
      <c r="I1453">
        <v>4</v>
      </c>
      <c r="J1453">
        <v>886.98</v>
      </c>
      <c r="K1453">
        <v>0.08</v>
      </c>
      <c r="L1453">
        <v>3264.09</v>
      </c>
      <c r="M1453" t="s">
        <v>48</v>
      </c>
      <c r="N1453" t="s">
        <v>58</v>
      </c>
      <c r="O1453" t="s">
        <v>65</v>
      </c>
      <c r="P1453" t="s">
        <v>111</v>
      </c>
      <c r="Q1453" t="str">
        <f t="shared" si="154"/>
        <v>Completed</v>
      </c>
      <c r="R1453" t="str">
        <f t="shared" si="155"/>
        <v>Marketplace</v>
      </c>
      <c r="S1453" t="str">
        <v>Credit Card</v>
      </c>
      <c r="T1453" t="str">
        <v>Accessories</v>
      </c>
      <c r="U1453" t="str">
        <f t="shared" si="156"/>
        <v>VALID</v>
      </c>
      <c r="V1453" t="str">
        <f t="shared" si="157"/>
        <v>NORMAL</v>
      </c>
      <c r="W1453" t="str">
        <f t="shared" si="158"/>
        <v>Valid</v>
      </c>
      <c r="X1453">
        <f t="shared" si="160"/>
        <v>3547.92</v>
      </c>
      <c r="Y1453">
        <f t="shared" si="159"/>
        <v>3264.0864000000001</v>
      </c>
    </row>
    <row r="1454" spans="1:25" x14ac:dyDescent="0.3">
      <c r="A1454" t="s">
        <v>1804</v>
      </c>
      <c r="B1454" s="1">
        <v>45541</v>
      </c>
      <c r="C1454" t="s">
        <v>640</v>
      </c>
      <c r="D1454" t="s">
        <v>53</v>
      </c>
      <c r="E1454" t="s">
        <v>54</v>
      </c>
      <c r="F1454" t="s">
        <v>55</v>
      </c>
      <c r="G1454" t="s">
        <v>21</v>
      </c>
      <c r="H1454" t="s">
        <v>126</v>
      </c>
      <c r="I1454">
        <v>1</v>
      </c>
      <c r="J1454">
        <v>235.78</v>
      </c>
      <c r="K1454">
        <v>0.03</v>
      </c>
      <c r="L1454">
        <v>228.71</v>
      </c>
      <c r="M1454" t="s">
        <v>48</v>
      </c>
      <c r="N1454" t="s">
        <v>58</v>
      </c>
      <c r="O1454" t="s">
        <v>65</v>
      </c>
      <c r="P1454" t="s">
        <v>59</v>
      </c>
      <c r="Q1454" t="str">
        <f t="shared" si="154"/>
        <v>Completed</v>
      </c>
      <c r="R1454" t="str">
        <f t="shared" si="155"/>
        <v>Marketplace</v>
      </c>
      <c r="S1454" t="str">
        <v>Credit Card</v>
      </c>
      <c r="T1454" t="str">
        <v>Stationery</v>
      </c>
      <c r="U1454" t="str">
        <f t="shared" si="156"/>
        <v>VALID</v>
      </c>
      <c r="V1454" t="str">
        <f t="shared" si="157"/>
        <v>NORMAL</v>
      </c>
      <c r="W1454" t="str">
        <f t="shared" si="158"/>
        <v>Valid</v>
      </c>
      <c r="X1454">
        <f t="shared" si="160"/>
        <v>235.78</v>
      </c>
      <c r="Y1454">
        <f t="shared" si="159"/>
        <v>228.70660000000001</v>
      </c>
    </row>
    <row r="1455" spans="1:25" x14ac:dyDescent="0.3">
      <c r="A1455" t="s">
        <v>1805</v>
      </c>
      <c r="B1455" s="1">
        <v>45940</v>
      </c>
      <c r="C1455" t="s">
        <v>289</v>
      </c>
      <c r="D1455" t="s">
        <v>105</v>
      </c>
      <c r="E1455" t="s">
        <v>106</v>
      </c>
      <c r="F1455" t="s">
        <v>40</v>
      </c>
      <c r="G1455" t="s">
        <v>56</v>
      </c>
      <c r="H1455" t="s">
        <v>64</v>
      </c>
      <c r="I1455">
        <v>1</v>
      </c>
      <c r="J1455">
        <v>7230.64</v>
      </c>
      <c r="K1455">
        <v>0.08</v>
      </c>
      <c r="L1455">
        <v>6652.19</v>
      </c>
      <c r="M1455" t="s">
        <v>76</v>
      </c>
      <c r="N1455" t="s">
        <v>58</v>
      </c>
      <c r="O1455" t="s">
        <v>65</v>
      </c>
      <c r="P1455" t="s">
        <v>102</v>
      </c>
      <c r="Q1455" t="str">
        <f t="shared" si="154"/>
        <v>Completed</v>
      </c>
      <c r="R1455" t="str">
        <f t="shared" si="155"/>
        <v>Store</v>
      </c>
      <c r="S1455" t="str">
        <v>Credit Card</v>
      </c>
      <c r="T1455" t="str">
        <v>Furniture</v>
      </c>
      <c r="U1455" t="str">
        <f t="shared" si="156"/>
        <v>VALID</v>
      </c>
      <c r="V1455" t="str">
        <f t="shared" si="157"/>
        <v>NORMAL</v>
      </c>
      <c r="W1455" t="str">
        <f t="shared" si="158"/>
        <v>Valid</v>
      </c>
      <c r="X1455">
        <f t="shared" si="160"/>
        <v>7230.64</v>
      </c>
      <c r="Y1455">
        <f t="shared" si="159"/>
        <v>6652.1887999999999</v>
      </c>
    </row>
    <row r="1456" spans="1:25" x14ac:dyDescent="0.3">
      <c r="A1456" t="s">
        <v>1806</v>
      </c>
      <c r="B1456" s="1">
        <v>45592</v>
      </c>
      <c r="C1456" t="s">
        <v>560</v>
      </c>
      <c r="D1456" t="s">
        <v>79</v>
      </c>
      <c r="E1456" t="s">
        <v>80</v>
      </c>
      <c r="F1456" t="s">
        <v>31</v>
      </c>
      <c r="G1456" t="s">
        <v>21</v>
      </c>
      <c r="H1456" t="s">
        <v>22</v>
      </c>
      <c r="I1456">
        <v>5</v>
      </c>
      <c r="J1456">
        <v>12565.26</v>
      </c>
      <c r="K1456">
        <v>0.08</v>
      </c>
      <c r="L1456">
        <v>57800.2</v>
      </c>
      <c r="M1456" t="s">
        <v>23</v>
      </c>
      <c r="N1456" t="s">
        <v>24</v>
      </c>
      <c r="O1456" t="s">
        <v>65</v>
      </c>
      <c r="P1456" t="s">
        <v>72</v>
      </c>
      <c r="Q1456" t="str">
        <f t="shared" si="154"/>
        <v>Completed</v>
      </c>
      <c r="R1456" t="str">
        <f t="shared" si="155"/>
        <v>Online</v>
      </c>
      <c r="S1456" t="str">
        <v>Debit Card</v>
      </c>
      <c r="T1456" t="str">
        <v>Electronics</v>
      </c>
      <c r="U1456" t="str">
        <f t="shared" si="156"/>
        <v>VALID</v>
      </c>
      <c r="V1456" t="str">
        <f t="shared" si="157"/>
        <v>NORMAL</v>
      </c>
      <c r="W1456" t="str">
        <f t="shared" si="158"/>
        <v>Valid</v>
      </c>
      <c r="X1456">
        <f t="shared" si="160"/>
        <v>62826.3</v>
      </c>
      <c r="Y1456">
        <f t="shared" si="159"/>
        <v>57800.196000000004</v>
      </c>
    </row>
    <row r="1457" spans="1:25" x14ac:dyDescent="0.3">
      <c r="A1457" t="s">
        <v>1807</v>
      </c>
      <c r="B1457" s="1">
        <v>45455</v>
      </c>
      <c r="C1457" t="s">
        <v>329</v>
      </c>
      <c r="D1457" t="s">
        <v>18</v>
      </c>
      <c r="E1457" t="s">
        <v>19</v>
      </c>
      <c r="F1457" t="s">
        <v>20</v>
      </c>
      <c r="G1457" t="s">
        <v>21</v>
      </c>
      <c r="H1457" t="s">
        <v>22</v>
      </c>
      <c r="I1457">
        <v>2</v>
      </c>
      <c r="J1457">
        <v>901.3</v>
      </c>
      <c r="K1457">
        <v>0.2</v>
      </c>
      <c r="L1457">
        <v>1442.08</v>
      </c>
      <c r="M1457" t="s">
        <v>23</v>
      </c>
      <c r="N1457" t="s">
        <v>58</v>
      </c>
      <c r="O1457" t="s">
        <v>65</v>
      </c>
      <c r="P1457" t="s">
        <v>50</v>
      </c>
      <c r="Q1457" t="str">
        <f t="shared" si="154"/>
        <v>Completed</v>
      </c>
      <c r="R1457" t="str">
        <f t="shared" si="155"/>
        <v>Online</v>
      </c>
      <c r="S1457" t="str">
        <v>Credit Card</v>
      </c>
      <c r="T1457" t="str">
        <v>Accessories</v>
      </c>
      <c r="U1457" t="str">
        <f t="shared" si="156"/>
        <v>VALID</v>
      </c>
      <c r="V1457" t="str">
        <f t="shared" si="157"/>
        <v>NORMAL</v>
      </c>
      <c r="W1457" t="str">
        <f t="shared" si="158"/>
        <v>Valid</v>
      </c>
      <c r="X1457">
        <f t="shared" si="160"/>
        <v>1802.6</v>
      </c>
      <c r="Y1457">
        <f t="shared" si="159"/>
        <v>1442.08</v>
      </c>
    </row>
    <row r="1458" spans="1:25" x14ac:dyDescent="0.3">
      <c r="A1458" t="s">
        <v>1808</v>
      </c>
      <c r="B1458" s="1">
        <v>45641</v>
      </c>
      <c r="C1458" t="s">
        <v>828</v>
      </c>
      <c r="D1458" t="s">
        <v>89</v>
      </c>
      <c r="E1458" t="s">
        <v>90</v>
      </c>
      <c r="F1458" t="s">
        <v>20</v>
      </c>
      <c r="G1458" t="s">
        <v>81</v>
      </c>
      <c r="H1458" t="s">
        <v>135</v>
      </c>
      <c r="I1458">
        <v>2</v>
      </c>
      <c r="J1458">
        <v>713.54</v>
      </c>
      <c r="K1458">
        <v>0.2</v>
      </c>
      <c r="L1458">
        <v>1141.6600000000001</v>
      </c>
      <c r="M1458" t="s">
        <v>76</v>
      </c>
      <c r="N1458" t="s">
        <v>24</v>
      </c>
      <c r="O1458" t="s">
        <v>65</v>
      </c>
      <c r="P1458" t="s">
        <v>116</v>
      </c>
      <c r="Q1458" t="str">
        <f t="shared" si="154"/>
        <v>Completed</v>
      </c>
      <c r="R1458" t="str">
        <f t="shared" si="155"/>
        <v>Store</v>
      </c>
      <c r="S1458" t="str">
        <v>Debit Card</v>
      </c>
      <c r="T1458" t="str">
        <v>Accessories</v>
      </c>
      <c r="U1458" t="str">
        <f t="shared" si="156"/>
        <v>VALID</v>
      </c>
      <c r="V1458" t="str">
        <f t="shared" si="157"/>
        <v>NORMAL</v>
      </c>
      <c r="W1458" t="str">
        <f t="shared" si="158"/>
        <v>Valid</v>
      </c>
      <c r="X1458">
        <f t="shared" si="160"/>
        <v>1427.08</v>
      </c>
      <c r="Y1458">
        <f t="shared" si="159"/>
        <v>1141.664</v>
      </c>
    </row>
    <row r="1459" spans="1:25" x14ac:dyDescent="0.3">
      <c r="A1459" t="s">
        <v>1809</v>
      </c>
      <c r="B1459" s="1">
        <v>45903</v>
      </c>
      <c r="C1459" t="s">
        <v>1186</v>
      </c>
      <c r="D1459" t="s">
        <v>89</v>
      </c>
      <c r="E1459" t="s">
        <v>90</v>
      </c>
      <c r="F1459" t="s">
        <v>20</v>
      </c>
      <c r="G1459" t="s">
        <v>81</v>
      </c>
      <c r="H1459" t="s">
        <v>87</v>
      </c>
      <c r="I1459">
        <v>1</v>
      </c>
      <c r="J1459">
        <v>653.23</v>
      </c>
      <c r="K1459">
        <v>0</v>
      </c>
      <c r="L1459">
        <v>653.23</v>
      </c>
      <c r="M1459" t="s">
        <v>23</v>
      </c>
      <c r="N1459" t="s">
        <v>34</v>
      </c>
      <c r="O1459" t="s">
        <v>35</v>
      </c>
      <c r="P1459" t="s">
        <v>116</v>
      </c>
      <c r="Q1459" t="str">
        <f t="shared" si="154"/>
        <v>Cancelled</v>
      </c>
      <c r="R1459" t="str">
        <f t="shared" si="155"/>
        <v>Online</v>
      </c>
      <c r="S1459" t="str">
        <v>Cash On Delivery</v>
      </c>
      <c r="T1459" t="str">
        <v>Accessories</v>
      </c>
      <c r="U1459" t="str">
        <f t="shared" si="156"/>
        <v>VALID</v>
      </c>
      <c r="V1459" t="str">
        <f t="shared" si="157"/>
        <v>NORMAL</v>
      </c>
      <c r="W1459" t="str">
        <f t="shared" si="158"/>
        <v>Valid</v>
      </c>
      <c r="X1459">
        <f t="shared" si="160"/>
        <v>653.23</v>
      </c>
      <c r="Y1459">
        <f t="shared" si="159"/>
        <v>653.23</v>
      </c>
    </row>
    <row r="1460" spans="1:25" x14ac:dyDescent="0.3">
      <c r="A1460" t="s">
        <v>1810</v>
      </c>
      <c r="B1460" s="1">
        <v>46102</v>
      </c>
      <c r="C1460" t="s">
        <v>190</v>
      </c>
      <c r="D1460" t="s">
        <v>18</v>
      </c>
      <c r="E1460" t="s">
        <v>19</v>
      </c>
      <c r="F1460" t="s">
        <v>20</v>
      </c>
      <c r="G1460" t="s">
        <v>21</v>
      </c>
      <c r="H1460" t="s">
        <v>126</v>
      </c>
      <c r="I1460">
        <v>2</v>
      </c>
      <c r="J1460">
        <v>913.4</v>
      </c>
      <c r="K1460">
        <v>0.2</v>
      </c>
      <c r="L1460">
        <v>1461.44</v>
      </c>
      <c r="M1460" t="s">
        <v>76</v>
      </c>
      <c r="N1460" t="s">
        <v>34</v>
      </c>
      <c r="O1460" t="s">
        <v>25</v>
      </c>
      <c r="P1460" t="s">
        <v>72</v>
      </c>
      <c r="Q1460" t="str">
        <f t="shared" si="154"/>
        <v>Returned</v>
      </c>
      <c r="R1460" t="str">
        <f t="shared" si="155"/>
        <v>Store</v>
      </c>
      <c r="S1460" t="str">
        <v>Cash On Delivery</v>
      </c>
      <c r="T1460" t="str">
        <v>Accessories</v>
      </c>
      <c r="U1460" t="str">
        <f t="shared" si="156"/>
        <v>VALID</v>
      </c>
      <c r="V1460" t="str">
        <f t="shared" si="157"/>
        <v>NORMAL</v>
      </c>
      <c r="W1460" t="str">
        <f t="shared" si="158"/>
        <v>Valid</v>
      </c>
      <c r="X1460">
        <f t="shared" si="160"/>
        <v>1826.8</v>
      </c>
      <c r="Y1460">
        <f t="shared" si="159"/>
        <v>1461.44</v>
      </c>
    </row>
    <row r="1461" spans="1:25" x14ac:dyDescent="0.3">
      <c r="A1461" t="s">
        <v>1811</v>
      </c>
      <c r="B1461" s="1">
        <v>45874</v>
      </c>
      <c r="C1461" t="s">
        <v>787</v>
      </c>
      <c r="D1461" t="s">
        <v>176</v>
      </c>
      <c r="E1461" t="s">
        <v>177</v>
      </c>
      <c r="F1461" t="s">
        <v>31</v>
      </c>
      <c r="G1461" t="s">
        <v>21</v>
      </c>
      <c r="H1461" t="s">
        <v>126</v>
      </c>
      <c r="I1461">
        <v>5</v>
      </c>
      <c r="J1461">
        <v>2250.37</v>
      </c>
      <c r="K1461">
        <v>0.03</v>
      </c>
      <c r="L1461">
        <v>10914.29</v>
      </c>
      <c r="M1461" t="s">
        <v>23</v>
      </c>
      <c r="N1461" t="s">
        <v>34</v>
      </c>
      <c r="O1461" t="s">
        <v>35</v>
      </c>
      <c r="P1461" t="s">
        <v>102</v>
      </c>
      <c r="Q1461" t="str">
        <f t="shared" si="154"/>
        <v>Cancelled</v>
      </c>
      <c r="R1461" t="str">
        <f t="shared" si="155"/>
        <v>Online</v>
      </c>
      <c r="S1461" t="str">
        <v>Cash On Delivery</v>
      </c>
      <c r="T1461" t="str">
        <v>Electronics</v>
      </c>
      <c r="U1461" t="str">
        <f t="shared" si="156"/>
        <v>VALID</v>
      </c>
      <c r="V1461" t="str">
        <f t="shared" si="157"/>
        <v>NORMAL</v>
      </c>
      <c r="W1461" t="str">
        <f t="shared" si="158"/>
        <v>Valid</v>
      </c>
      <c r="X1461">
        <f t="shared" si="160"/>
        <v>11251.849999999999</v>
      </c>
      <c r="Y1461">
        <f t="shared" si="159"/>
        <v>10914.294499999998</v>
      </c>
    </row>
    <row r="1462" spans="1:25" x14ac:dyDescent="0.3">
      <c r="A1462" t="s">
        <v>1812</v>
      </c>
      <c r="B1462" s="1">
        <v>45841</v>
      </c>
      <c r="C1462" t="s">
        <v>657</v>
      </c>
      <c r="D1462" t="s">
        <v>105</v>
      </c>
      <c r="E1462" t="s">
        <v>106</v>
      </c>
      <c r="F1462" t="s">
        <v>40</v>
      </c>
      <c r="G1462" t="s">
        <v>56</v>
      </c>
      <c r="H1462" t="s">
        <v>101</v>
      </c>
      <c r="I1462">
        <v>5</v>
      </c>
      <c r="J1462">
        <v>7304.12</v>
      </c>
      <c r="K1462">
        <v>0.03</v>
      </c>
      <c r="L1462">
        <v>35424.980000000003</v>
      </c>
      <c r="M1462" t="s">
        <v>23</v>
      </c>
      <c r="N1462" t="s">
        <v>71</v>
      </c>
      <c r="O1462" t="s">
        <v>65</v>
      </c>
      <c r="P1462" t="s">
        <v>111</v>
      </c>
      <c r="Q1462" t="str">
        <f t="shared" si="154"/>
        <v>Completed</v>
      </c>
      <c r="R1462" t="str">
        <f t="shared" si="155"/>
        <v>Online</v>
      </c>
      <c r="S1462" t="str">
        <v>Upi</v>
      </c>
      <c r="T1462" t="str">
        <v>Furniture</v>
      </c>
      <c r="U1462" t="str">
        <f t="shared" si="156"/>
        <v>VALID</v>
      </c>
      <c r="V1462" t="str">
        <f t="shared" si="157"/>
        <v>NORMAL</v>
      </c>
      <c r="W1462" t="str">
        <f t="shared" si="158"/>
        <v>Valid</v>
      </c>
      <c r="X1462">
        <f t="shared" si="160"/>
        <v>36520.6</v>
      </c>
      <c r="Y1462">
        <f t="shared" si="159"/>
        <v>35424.981999999996</v>
      </c>
    </row>
    <row r="1463" spans="1:25" x14ac:dyDescent="0.3">
      <c r="A1463" t="s">
        <v>1813</v>
      </c>
      <c r="B1463" s="1">
        <v>45362</v>
      </c>
      <c r="C1463" t="s">
        <v>44</v>
      </c>
      <c r="D1463" t="s">
        <v>176</v>
      </c>
      <c r="E1463" t="s">
        <v>177</v>
      </c>
      <c r="F1463" t="s">
        <v>31</v>
      </c>
      <c r="G1463" t="s">
        <v>81</v>
      </c>
      <c r="H1463" t="s">
        <v>82</v>
      </c>
      <c r="I1463">
        <v>4</v>
      </c>
      <c r="J1463">
        <v>2098.6799999999998</v>
      </c>
      <c r="K1463">
        <v>0.2</v>
      </c>
      <c r="L1463">
        <v>6715.78</v>
      </c>
      <c r="M1463" t="s">
        <v>48</v>
      </c>
      <c r="N1463" t="s">
        <v>49</v>
      </c>
      <c r="O1463" t="s">
        <v>65</v>
      </c>
      <c r="P1463" t="s">
        <v>26</v>
      </c>
      <c r="Q1463" t="str">
        <f t="shared" si="154"/>
        <v>Completed</v>
      </c>
      <c r="R1463" t="str">
        <f t="shared" si="155"/>
        <v>Marketplace</v>
      </c>
      <c r="S1463" t="str">
        <v>Net Banking</v>
      </c>
      <c r="T1463" t="str">
        <v>Electronics</v>
      </c>
      <c r="U1463" t="str">
        <f t="shared" si="156"/>
        <v>VALID</v>
      </c>
      <c r="V1463" t="str">
        <f t="shared" si="157"/>
        <v>NORMAL</v>
      </c>
      <c r="W1463" t="str">
        <f t="shared" si="158"/>
        <v>Valid</v>
      </c>
      <c r="X1463">
        <f t="shared" si="160"/>
        <v>8394.7199999999993</v>
      </c>
      <c r="Y1463">
        <f t="shared" si="159"/>
        <v>6715.7759999999998</v>
      </c>
    </row>
    <row r="1464" spans="1:25" x14ac:dyDescent="0.3">
      <c r="A1464" t="s">
        <v>1814</v>
      </c>
      <c r="B1464" s="1">
        <v>45490</v>
      </c>
      <c r="C1464" t="s">
        <v>385</v>
      </c>
      <c r="D1464" t="s">
        <v>79</v>
      </c>
      <c r="E1464" t="s">
        <v>80</v>
      </c>
      <c r="F1464" t="s">
        <v>31</v>
      </c>
      <c r="G1464" t="s">
        <v>32</v>
      </c>
      <c r="H1464" t="s">
        <v>75</v>
      </c>
      <c r="I1464">
        <v>3</v>
      </c>
      <c r="J1464">
        <v>12640.81</v>
      </c>
      <c r="K1464">
        <v>0.2</v>
      </c>
      <c r="L1464">
        <v>30337.94</v>
      </c>
      <c r="M1464" t="s">
        <v>23</v>
      </c>
      <c r="N1464" t="s">
        <v>24</v>
      </c>
      <c r="O1464" t="s">
        <v>35</v>
      </c>
      <c r="P1464" t="s">
        <v>72</v>
      </c>
      <c r="Q1464" t="str">
        <f t="shared" si="154"/>
        <v>Cancelled</v>
      </c>
      <c r="R1464" t="str">
        <f t="shared" si="155"/>
        <v>Online</v>
      </c>
      <c r="S1464" t="str">
        <v>Debit Card</v>
      </c>
      <c r="T1464" t="str">
        <v>Electronics</v>
      </c>
      <c r="U1464" t="str">
        <f t="shared" si="156"/>
        <v>VALID</v>
      </c>
      <c r="V1464" t="str">
        <f t="shared" si="157"/>
        <v>NORMAL</v>
      </c>
      <c r="W1464" t="str">
        <f t="shared" si="158"/>
        <v>Valid</v>
      </c>
      <c r="X1464">
        <f t="shared" si="160"/>
        <v>37922.43</v>
      </c>
      <c r="Y1464">
        <f t="shared" si="159"/>
        <v>30337.944</v>
      </c>
    </row>
    <row r="1465" spans="1:25" x14ac:dyDescent="0.3">
      <c r="A1465" t="s">
        <v>1815</v>
      </c>
      <c r="B1465" s="1">
        <v>45358</v>
      </c>
      <c r="C1465" t="s">
        <v>531</v>
      </c>
      <c r="D1465" t="s">
        <v>45</v>
      </c>
      <c r="E1465" t="s">
        <v>46</v>
      </c>
      <c r="F1465" t="s">
        <v>31</v>
      </c>
      <c r="G1465" t="s">
        <v>21</v>
      </c>
      <c r="H1465" t="s">
        <v>41</v>
      </c>
      <c r="I1465">
        <v>2</v>
      </c>
      <c r="J1465">
        <v>1728.08</v>
      </c>
      <c r="K1465">
        <v>0.08</v>
      </c>
      <c r="L1465">
        <v>3179.67</v>
      </c>
      <c r="M1465" t="s">
        <v>76</v>
      </c>
      <c r="N1465" t="s">
        <v>71</v>
      </c>
      <c r="O1465" t="s">
        <v>65</v>
      </c>
      <c r="P1465" t="s">
        <v>102</v>
      </c>
      <c r="Q1465" t="str">
        <f t="shared" si="154"/>
        <v>Completed</v>
      </c>
      <c r="R1465" t="str">
        <f t="shared" si="155"/>
        <v>Store</v>
      </c>
      <c r="S1465" t="str">
        <v>Upi</v>
      </c>
      <c r="T1465" t="str">
        <v>Electronics</v>
      </c>
      <c r="U1465" t="str">
        <f t="shared" si="156"/>
        <v>VALID</v>
      </c>
      <c r="V1465" t="str">
        <f t="shared" si="157"/>
        <v>NORMAL</v>
      </c>
      <c r="W1465" t="str">
        <f t="shared" si="158"/>
        <v>Valid</v>
      </c>
      <c r="X1465">
        <f t="shared" si="160"/>
        <v>3456.16</v>
      </c>
      <c r="Y1465">
        <f t="shared" si="159"/>
        <v>3179.6671999999999</v>
      </c>
    </row>
    <row r="1466" spans="1:25" x14ac:dyDescent="0.3">
      <c r="A1466" t="s">
        <v>1816</v>
      </c>
      <c r="B1466" s="1">
        <v>46044</v>
      </c>
      <c r="C1466" t="s">
        <v>84</v>
      </c>
      <c r="D1466" t="s">
        <v>62</v>
      </c>
      <c r="E1466" t="s">
        <v>63</v>
      </c>
      <c r="F1466" t="s">
        <v>31</v>
      </c>
      <c r="G1466" t="s">
        <v>56</v>
      </c>
      <c r="H1466" t="s">
        <v>57</v>
      </c>
      <c r="I1466">
        <v>2</v>
      </c>
      <c r="J1466">
        <v>2637.59</v>
      </c>
      <c r="K1466">
        <v>0.05</v>
      </c>
      <c r="L1466">
        <v>5011.42</v>
      </c>
      <c r="M1466" t="s">
        <v>48</v>
      </c>
      <c r="N1466" t="s">
        <v>34</v>
      </c>
      <c r="O1466" t="s">
        <v>65</v>
      </c>
      <c r="P1466" t="s">
        <v>111</v>
      </c>
      <c r="Q1466" t="str">
        <f t="shared" si="154"/>
        <v>Completed</v>
      </c>
      <c r="R1466" t="str">
        <f t="shared" si="155"/>
        <v>Marketplace</v>
      </c>
      <c r="S1466" t="str">
        <v>Cash On Delivery</v>
      </c>
      <c r="T1466" t="str">
        <v>Electronics</v>
      </c>
      <c r="U1466" t="str">
        <f t="shared" si="156"/>
        <v>VALID</v>
      </c>
      <c r="V1466" t="str">
        <f t="shared" si="157"/>
        <v>NORMAL</v>
      </c>
      <c r="W1466" t="str">
        <f t="shared" si="158"/>
        <v>Valid</v>
      </c>
      <c r="X1466">
        <f t="shared" si="160"/>
        <v>5275.18</v>
      </c>
      <c r="Y1466">
        <f t="shared" si="159"/>
        <v>5011.4210000000003</v>
      </c>
    </row>
    <row r="1467" spans="1:25" x14ac:dyDescent="0.3">
      <c r="A1467" t="s">
        <v>1817</v>
      </c>
      <c r="B1467" s="1">
        <v>45320</v>
      </c>
      <c r="C1467" t="s">
        <v>552</v>
      </c>
      <c r="D1467" t="s">
        <v>38</v>
      </c>
      <c r="E1467" t="s">
        <v>39</v>
      </c>
      <c r="F1467" t="s">
        <v>40</v>
      </c>
      <c r="G1467" t="s">
        <v>21</v>
      </c>
      <c r="H1467" t="s">
        <v>126</v>
      </c>
      <c r="I1467">
        <v>5</v>
      </c>
      <c r="J1467">
        <v>1618.88</v>
      </c>
      <c r="K1467">
        <v>0</v>
      </c>
      <c r="L1467">
        <v>8094.4</v>
      </c>
      <c r="M1467" t="s">
        <v>23</v>
      </c>
      <c r="N1467" t="s">
        <v>71</v>
      </c>
      <c r="O1467" t="s">
        <v>65</v>
      </c>
      <c r="P1467" t="s">
        <v>111</v>
      </c>
      <c r="Q1467" t="str">
        <f t="shared" si="154"/>
        <v>Completed</v>
      </c>
      <c r="R1467" t="str">
        <f t="shared" si="155"/>
        <v>Online</v>
      </c>
      <c r="S1467" t="str">
        <v>Upi</v>
      </c>
      <c r="T1467" t="str">
        <v>Furniture</v>
      </c>
      <c r="U1467" t="str">
        <f t="shared" si="156"/>
        <v>VALID</v>
      </c>
      <c r="V1467" t="str">
        <f t="shared" si="157"/>
        <v>NORMAL</v>
      </c>
      <c r="W1467" t="str">
        <f t="shared" si="158"/>
        <v>Valid</v>
      </c>
      <c r="X1467">
        <f t="shared" si="160"/>
        <v>8094.4000000000005</v>
      </c>
      <c r="Y1467">
        <f t="shared" si="159"/>
        <v>8094.4000000000005</v>
      </c>
    </row>
    <row r="1468" spans="1:25" x14ac:dyDescent="0.3">
      <c r="A1468" t="s">
        <v>1818</v>
      </c>
      <c r="B1468" s="1">
        <v>45390</v>
      </c>
      <c r="C1468" t="s">
        <v>946</v>
      </c>
      <c r="D1468" t="s">
        <v>79</v>
      </c>
      <c r="E1468" t="s">
        <v>80</v>
      </c>
      <c r="F1468" t="s">
        <v>31</v>
      </c>
      <c r="G1468" t="s">
        <v>56</v>
      </c>
      <c r="H1468" t="s">
        <v>123</v>
      </c>
      <c r="J1468">
        <v>13424.61</v>
      </c>
      <c r="K1468">
        <v>0</v>
      </c>
      <c r="L1468">
        <v>40273.83</v>
      </c>
      <c r="M1468" t="s">
        <v>76</v>
      </c>
      <c r="N1468" t="s">
        <v>71</v>
      </c>
      <c r="O1468" t="s">
        <v>25</v>
      </c>
      <c r="P1468" t="s">
        <v>111</v>
      </c>
      <c r="Q1468" t="str">
        <f t="shared" si="154"/>
        <v>Returned</v>
      </c>
      <c r="R1468" t="str">
        <f t="shared" si="155"/>
        <v>Store</v>
      </c>
      <c r="S1468" t="str">
        <v>Upi</v>
      </c>
      <c r="T1468" t="str">
        <v>Electronics</v>
      </c>
      <c r="U1468" t="str">
        <f t="shared" si="156"/>
        <v>INVALID</v>
      </c>
      <c r="V1468" t="str">
        <f t="shared" si="157"/>
        <v>NORMAL</v>
      </c>
      <c r="W1468" t="str">
        <f t="shared" si="158"/>
        <v>Valid</v>
      </c>
      <c r="X1468">
        <f t="shared" si="160"/>
        <v>0</v>
      </c>
      <c r="Y1468">
        <f t="shared" si="159"/>
        <v>0</v>
      </c>
    </row>
    <row r="1469" spans="1:25" x14ac:dyDescent="0.3">
      <c r="A1469" t="s">
        <v>1819</v>
      </c>
      <c r="B1469" s="1">
        <v>45615</v>
      </c>
      <c r="D1469" t="s">
        <v>121</v>
      </c>
      <c r="E1469" t="s">
        <v>122</v>
      </c>
      <c r="F1469" t="s">
        <v>55</v>
      </c>
      <c r="G1469" t="s">
        <v>32</v>
      </c>
      <c r="H1469" t="s">
        <v>68</v>
      </c>
      <c r="I1469">
        <v>2</v>
      </c>
      <c r="J1469">
        <v>464.94</v>
      </c>
      <c r="K1469">
        <v>0.03</v>
      </c>
      <c r="L1469">
        <v>901.98</v>
      </c>
      <c r="M1469" t="s">
        <v>23</v>
      </c>
      <c r="N1469" t="s">
        <v>34</v>
      </c>
      <c r="O1469" t="s">
        <v>25</v>
      </c>
      <c r="P1469" t="s">
        <v>102</v>
      </c>
      <c r="Q1469" t="str">
        <f t="shared" si="154"/>
        <v>Returned</v>
      </c>
      <c r="R1469" t="str">
        <f t="shared" si="155"/>
        <v>Online</v>
      </c>
      <c r="S1469" t="str">
        <v>Cash On Delivery</v>
      </c>
      <c r="T1469" t="str">
        <v>Stationery</v>
      </c>
      <c r="U1469" t="str">
        <f t="shared" si="156"/>
        <v>VALID</v>
      </c>
      <c r="V1469" t="str">
        <f t="shared" si="157"/>
        <v>NORMAL</v>
      </c>
      <c r="W1469" t="str">
        <f t="shared" si="158"/>
        <v>Valid</v>
      </c>
      <c r="X1469">
        <f t="shared" si="160"/>
        <v>929.88</v>
      </c>
      <c r="Y1469">
        <f t="shared" si="159"/>
        <v>901.98360000000002</v>
      </c>
    </row>
    <row r="1470" spans="1:25" x14ac:dyDescent="0.3">
      <c r="A1470" t="s">
        <v>1820</v>
      </c>
      <c r="B1470" t="s">
        <v>1821</v>
      </c>
      <c r="C1470" t="s">
        <v>687</v>
      </c>
      <c r="D1470" t="s">
        <v>121</v>
      </c>
      <c r="E1470" t="s">
        <v>122</v>
      </c>
      <c r="F1470" t="s">
        <v>55</v>
      </c>
      <c r="G1470" t="s">
        <v>56</v>
      </c>
      <c r="H1470" t="s">
        <v>123</v>
      </c>
      <c r="I1470">
        <v>3</v>
      </c>
      <c r="J1470">
        <v>433.8</v>
      </c>
      <c r="K1470">
        <v>0</v>
      </c>
      <c r="L1470">
        <v>1301.4000000000001</v>
      </c>
      <c r="M1470" t="s">
        <v>48</v>
      </c>
      <c r="N1470" t="s">
        <v>34</v>
      </c>
      <c r="O1470" t="s">
        <v>35</v>
      </c>
      <c r="P1470" t="s">
        <v>59</v>
      </c>
      <c r="Q1470" t="str">
        <f t="shared" si="154"/>
        <v>Cancelled</v>
      </c>
      <c r="R1470" t="str">
        <f t="shared" si="155"/>
        <v>Marketplace</v>
      </c>
      <c r="S1470" t="str">
        <v>Cash On Delivery</v>
      </c>
      <c r="T1470" t="str">
        <v>Stationery</v>
      </c>
      <c r="U1470" t="str">
        <f t="shared" si="156"/>
        <v>VALID</v>
      </c>
      <c r="V1470" t="str">
        <f t="shared" si="157"/>
        <v>NORMAL</v>
      </c>
      <c r="W1470" t="str">
        <f t="shared" si="158"/>
        <v>Valid</v>
      </c>
      <c r="X1470">
        <f t="shared" si="160"/>
        <v>1301.4000000000001</v>
      </c>
      <c r="Y1470">
        <f t="shared" si="159"/>
        <v>1301.4000000000001</v>
      </c>
    </row>
    <row r="1471" spans="1:25" x14ac:dyDescent="0.3">
      <c r="A1471" t="s">
        <v>1822</v>
      </c>
      <c r="B1471" s="1">
        <v>45770</v>
      </c>
      <c r="C1471" t="s">
        <v>468</v>
      </c>
      <c r="D1471" t="s">
        <v>53</v>
      </c>
      <c r="E1471" t="s">
        <v>54</v>
      </c>
      <c r="F1471" t="s">
        <v>55</v>
      </c>
      <c r="G1471" t="s">
        <v>81</v>
      </c>
      <c r="H1471" t="s">
        <v>82</v>
      </c>
      <c r="I1471">
        <v>5</v>
      </c>
      <c r="J1471">
        <v>206.45</v>
      </c>
      <c r="K1471">
        <v>0.2</v>
      </c>
      <c r="L1471">
        <v>825.8</v>
      </c>
      <c r="M1471" t="s">
        <v>23</v>
      </c>
      <c r="N1471" t="s">
        <v>71</v>
      </c>
      <c r="O1471" t="s">
        <v>65</v>
      </c>
      <c r="P1471" t="s">
        <v>50</v>
      </c>
      <c r="Q1471" t="str">
        <f t="shared" si="154"/>
        <v>Completed</v>
      </c>
      <c r="R1471" t="str">
        <f t="shared" si="155"/>
        <v>Online</v>
      </c>
      <c r="S1471" t="str">
        <v>Upi</v>
      </c>
      <c r="T1471" t="str">
        <v>Stationery</v>
      </c>
      <c r="U1471" t="str">
        <f t="shared" si="156"/>
        <v>VALID</v>
      </c>
      <c r="V1471" t="str">
        <f t="shared" si="157"/>
        <v>NORMAL</v>
      </c>
      <c r="W1471" t="str">
        <f t="shared" si="158"/>
        <v>Valid</v>
      </c>
      <c r="X1471">
        <f t="shared" si="160"/>
        <v>1032.25</v>
      </c>
      <c r="Y1471">
        <f t="shared" si="159"/>
        <v>825.8</v>
      </c>
    </row>
    <row r="1472" spans="1:25" x14ac:dyDescent="0.3">
      <c r="A1472" t="s">
        <v>1823</v>
      </c>
      <c r="B1472" s="1">
        <v>45354</v>
      </c>
      <c r="C1472" t="s">
        <v>946</v>
      </c>
      <c r="D1472" t="s">
        <v>170</v>
      </c>
      <c r="E1472" t="s">
        <v>171</v>
      </c>
      <c r="F1472" t="s">
        <v>31</v>
      </c>
      <c r="G1472" t="s">
        <v>21</v>
      </c>
      <c r="H1472" t="s">
        <v>93</v>
      </c>
      <c r="I1472">
        <v>2</v>
      </c>
      <c r="J1472">
        <v>65224.06</v>
      </c>
      <c r="K1472">
        <v>0.03</v>
      </c>
      <c r="L1472">
        <v>126534.68</v>
      </c>
      <c r="M1472" t="s">
        <v>48</v>
      </c>
      <c r="N1472" t="s">
        <v>49</v>
      </c>
      <c r="O1472" t="s">
        <v>35</v>
      </c>
      <c r="P1472" t="s">
        <v>50</v>
      </c>
      <c r="Q1472" t="str">
        <f t="shared" si="154"/>
        <v>Cancelled</v>
      </c>
      <c r="R1472" t="str">
        <f t="shared" si="155"/>
        <v>Marketplace</v>
      </c>
      <c r="S1472" t="str">
        <v>Net Banking</v>
      </c>
      <c r="T1472" t="str">
        <v>Electronics</v>
      </c>
      <c r="U1472" t="str">
        <f t="shared" si="156"/>
        <v>VALID</v>
      </c>
      <c r="V1472" t="str">
        <f t="shared" si="157"/>
        <v>NORMAL</v>
      </c>
      <c r="W1472" t="str">
        <f t="shared" si="158"/>
        <v>Valid</v>
      </c>
      <c r="X1472">
        <f t="shared" si="160"/>
        <v>130448.12</v>
      </c>
      <c r="Y1472">
        <f t="shared" si="159"/>
        <v>126534.6764</v>
      </c>
    </row>
    <row r="1473" spans="1:25" x14ac:dyDescent="0.3">
      <c r="A1473" t="s">
        <v>1824</v>
      </c>
      <c r="B1473" s="1">
        <v>45419</v>
      </c>
      <c r="C1473" t="s">
        <v>558</v>
      </c>
      <c r="D1473" t="s">
        <v>85</v>
      </c>
      <c r="E1473" t="s">
        <v>86</v>
      </c>
      <c r="F1473" t="s">
        <v>20</v>
      </c>
      <c r="G1473" t="s">
        <v>81</v>
      </c>
      <c r="H1473" t="s">
        <v>82</v>
      </c>
      <c r="I1473">
        <v>3</v>
      </c>
      <c r="J1473">
        <v>1844.13</v>
      </c>
      <c r="K1473">
        <v>0.1</v>
      </c>
      <c r="L1473">
        <v>4979.1499999999996</v>
      </c>
      <c r="M1473" t="s">
        <v>76</v>
      </c>
      <c r="N1473" t="s">
        <v>58</v>
      </c>
      <c r="O1473" t="s">
        <v>35</v>
      </c>
      <c r="P1473" t="s">
        <v>111</v>
      </c>
      <c r="Q1473" t="str">
        <f t="shared" si="154"/>
        <v>Cancelled</v>
      </c>
      <c r="R1473" t="str">
        <f t="shared" si="155"/>
        <v>Store</v>
      </c>
      <c r="S1473" t="str">
        <v>Credit Card</v>
      </c>
      <c r="T1473" t="str">
        <v>Accessories</v>
      </c>
      <c r="U1473" t="str">
        <f t="shared" si="156"/>
        <v>VALID</v>
      </c>
      <c r="V1473" t="str">
        <f t="shared" si="157"/>
        <v>NORMAL</v>
      </c>
      <c r="W1473" t="str">
        <f t="shared" si="158"/>
        <v>Valid</v>
      </c>
      <c r="X1473">
        <f t="shared" si="160"/>
        <v>5532.39</v>
      </c>
      <c r="Y1473">
        <f t="shared" si="159"/>
        <v>4979.1509999999998</v>
      </c>
    </row>
    <row r="1474" spans="1:25" x14ac:dyDescent="0.3">
      <c r="A1474" t="s">
        <v>1825</v>
      </c>
      <c r="B1474" s="1">
        <v>45584</v>
      </c>
      <c r="C1474" t="s">
        <v>514</v>
      </c>
      <c r="D1474" t="s">
        <v>96</v>
      </c>
      <c r="E1474" t="s">
        <v>97</v>
      </c>
      <c r="F1474" t="s">
        <v>31</v>
      </c>
      <c r="G1474" t="s">
        <v>81</v>
      </c>
      <c r="H1474" t="s">
        <v>87</v>
      </c>
      <c r="I1474">
        <v>4</v>
      </c>
      <c r="J1474">
        <v>1229.6500000000001</v>
      </c>
      <c r="K1474">
        <v>0.1</v>
      </c>
      <c r="L1474">
        <v>4426.74</v>
      </c>
      <c r="M1474" t="s">
        <v>76</v>
      </c>
      <c r="N1474" t="s">
        <v>58</v>
      </c>
      <c r="O1474" t="s">
        <v>35</v>
      </c>
      <c r="P1474" t="s">
        <v>26</v>
      </c>
      <c r="Q1474" t="str">
        <f t="shared" si="154"/>
        <v>Cancelled</v>
      </c>
      <c r="R1474" t="str">
        <f t="shared" si="155"/>
        <v>Store</v>
      </c>
      <c r="S1474" t="str">
        <v>Credit Card</v>
      </c>
      <c r="T1474" t="str">
        <v>Electronics</v>
      </c>
      <c r="U1474" t="str">
        <f t="shared" si="156"/>
        <v>VALID</v>
      </c>
      <c r="V1474" t="str">
        <f t="shared" si="157"/>
        <v>NORMAL</v>
      </c>
      <c r="W1474" t="str">
        <f t="shared" si="158"/>
        <v>Valid</v>
      </c>
      <c r="X1474">
        <f t="shared" si="160"/>
        <v>4918.6000000000004</v>
      </c>
      <c r="Y1474">
        <f t="shared" si="159"/>
        <v>4426.7400000000007</v>
      </c>
    </row>
    <row r="1475" spans="1:25" x14ac:dyDescent="0.3">
      <c r="A1475" t="s">
        <v>1826</v>
      </c>
      <c r="B1475" s="1">
        <v>45339</v>
      </c>
      <c r="C1475" t="s">
        <v>309</v>
      </c>
      <c r="D1475" t="s">
        <v>96</v>
      </c>
      <c r="E1475" t="s">
        <v>97</v>
      </c>
      <c r="F1475" t="s">
        <v>31</v>
      </c>
      <c r="G1475" t="s">
        <v>21</v>
      </c>
      <c r="H1475" t="s">
        <v>22</v>
      </c>
      <c r="I1475">
        <v>4</v>
      </c>
      <c r="J1475">
        <v>1235.02</v>
      </c>
      <c r="K1475">
        <v>0.03</v>
      </c>
      <c r="L1475">
        <v>4791.88</v>
      </c>
      <c r="M1475" t="s">
        <v>76</v>
      </c>
      <c r="N1475" t="s">
        <v>71</v>
      </c>
      <c r="O1475" t="s">
        <v>65</v>
      </c>
      <c r="P1475" t="s">
        <v>26</v>
      </c>
      <c r="Q1475" t="str">
        <f t="shared" ref="Q1475:Q1505" si="161">PROPER(O1475)</f>
        <v>Completed</v>
      </c>
      <c r="R1475" t="str">
        <f t="shared" ref="R1475:R1505" si="162">PROPER(M1475)</f>
        <v>Store</v>
      </c>
      <c r="S1475" t="str">
        <v>Upi</v>
      </c>
      <c r="T1475" t="str">
        <v>Electronics</v>
      </c>
      <c r="U1475" t="str">
        <f t="shared" ref="U1475:U1505" si="163">IF(I1475&lt;=0,"INVALID","VALID")</f>
        <v>VALID</v>
      </c>
      <c r="V1475" t="str">
        <f t="shared" ref="V1475:V1505" si="164">IF(I1475&gt;100,"REVIEW","NORMAL")</f>
        <v>NORMAL</v>
      </c>
      <c r="W1475" t="str">
        <f t="shared" ref="W1475:W1505" si="165">IF(OR(K1475&lt;0,K1475&gt;1),"Invalid","Valid")</f>
        <v>Valid</v>
      </c>
      <c r="X1475">
        <f t="shared" si="160"/>
        <v>4940.08</v>
      </c>
      <c r="Y1475">
        <f t="shared" ref="Y1475:Y1505" si="166">I1475*J1475-(I1475*J1475*K1475)</f>
        <v>4791.8775999999998</v>
      </c>
    </row>
    <row r="1476" spans="1:25" x14ac:dyDescent="0.3">
      <c r="A1476" t="s">
        <v>1827</v>
      </c>
      <c r="B1476" s="1">
        <v>45494</v>
      </c>
      <c r="D1476" t="s">
        <v>170</v>
      </c>
      <c r="E1476" t="s">
        <v>171</v>
      </c>
      <c r="F1476" t="s">
        <v>31</v>
      </c>
      <c r="G1476" t="s">
        <v>32</v>
      </c>
      <c r="H1476" t="s">
        <v>33</v>
      </c>
      <c r="I1476">
        <v>2</v>
      </c>
      <c r="J1476">
        <v>68220.759999999995</v>
      </c>
      <c r="K1476">
        <v>0.08</v>
      </c>
      <c r="L1476">
        <v>125526.2</v>
      </c>
      <c r="M1476" t="s">
        <v>48</v>
      </c>
      <c r="N1476" t="s">
        <v>71</v>
      </c>
      <c r="O1476" t="s">
        <v>65</v>
      </c>
      <c r="P1476" t="s">
        <v>50</v>
      </c>
      <c r="Q1476" t="str">
        <f t="shared" si="161"/>
        <v>Completed</v>
      </c>
      <c r="R1476" t="str">
        <f t="shared" si="162"/>
        <v>Marketplace</v>
      </c>
      <c r="S1476" t="str">
        <v>Upi</v>
      </c>
      <c r="T1476" t="str">
        <v>Electronics</v>
      </c>
      <c r="U1476" t="str">
        <f t="shared" si="163"/>
        <v>VALID</v>
      </c>
      <c r="V1476" t="str">
        <f t="shared" si="164"/>
        <v>NORMAL</v>
      </c>
      <c r="W1476" t="str">
        <f t="shared" si="165"/>
        <v>Valid</v>
      </c>
      <c r="X1476">
        <f t="shared" ref="X1476:X1505" si="167">I1476*J1476</f>
        <v>136441.51999999999</v>
      </c>
      <c r="Y1476">
        <f t="shared" si="166"/>
        <v>125526.19839999999</v>
      </c>
    </row>
    <row r="1477" spans="1:25" x14ac:dyDescent="0.3">
      <c r="A1477" t="s">
        <v>1828</v>
      </c>
      <c r="B1477" s="1">
        <v>45773</v>
      </c>
      <c r="C1477" t="s">
        <v>309</v>
      </c>
      <c r="D1477" t="s">
        <v>62</v>
      </c>
      <c r="E1477" t="s">
        <v>63</v>
      </c>
      <c r="F1477" t="s">
        <v>31</v>
      </c>
      <c r="G1477" t="s">
        <v>32</v>
      </c>
      <c r="H1477" t="s">
        <v>68</v>
      </c>
      <c r="I1477">
        <v>5</v>
      </c>
      <c r="J1477">
        <v>2900.53</v>
      </c>
      <c r="K1477">
        <v>0</v>
      </c>
      <c r="L1477">
        <v>14502.65</v>
      </c>
      <c r="M1477" t="s">
        <v>23</v>
      </c>
      <c r="N1477" t="s">
        <v>34</v>
      </c>
      <c r="O1477" t="s">
        <v>65</v>
      </c>
      <c r="P1477" t="s">
        <v>26</v>
      </c>
      <c r="Q1477" t="str">
        <f t="shared" si="161"/>
        <v>Completed</v>
      </c>
      <c r="R1477" t="str">
        <f t="shared" si="162"/>
        <v>Online</v>
      </c>
      <c r="S1477" t="str">
        <v>Cash On Delivery</v>
      </c>
      <c r="T1477" t="str">
        <v>Electronics</v>
      </c>
      <c r="U1477" t="str">
        <f t="shared" si="163"/>
        <v>VALID</v>
      </c>
      <c r="V1477" t="str">
        <f t="shared" si="164"/>
        <v>NORMAL</v>
      </c>
      <c r="W1477" t="str">
        <f t="shared" si="165"/>
        <v>Valid</v>
      </c>
      <c r="X1477">
        <f t="shared" si="167"/>
        <v>14502.650000000001</v>
      </c>
      <c r="Y1477">
        <f t="shared" si="166"/>
        <v>14502.650000000001</v>
      </c>
    </row>
    <row r="1478" spans="1:25" x14ac:dyDescent="0.3">
      <c r="A1478" t="s">
        <v>1829</v>
      </c>
      <c r="B1478" s="1">
        <v>46154</v>
      </c>
      <c r="C1478" t="s">
        <v>1211</v>
      </c>
      <c r="D1478" t="s">
        <v>53</v>
      </c>
      <c r="E1478" t="s">
        <v>54</v>
      </c>
      <c r="F1478" t="s">
        <v>55</v>
      </c>
      <c r="G1478" t="s">
        <v>81</v>
      </c>
      <c r="H1478" t="s">
        <v>82</v>
      </c>
      <c r="I1478">
        <v>3</v>
      </c>
      <c r="J1478">
        <v>214.58</v>
      </c>
      <c r="K1478">
        <v>0.03</v>
      </c>
      <c r="L1478">
        <v>624.42999999999995</v>
      </c>
      <c r="M1478" t="s">
        <v>48</v>
      </c>
      <c r="N1478" t="s">
        <v>24</v>
      </c>
      <c r="O1478" t="s">
        <v>65</v>
      </c>
      <c r="P1478" t="s">
        <v>50</v>
      </c>
      <c r="Q1478" t="str">
        <f t="shared" si="161"/>
        <v>Completed</v>
      </c>
      <c r="R1478" t="str">
        <f t="shared" si="162"/>
        <v>Marketplace</v>
      </c>
      <c r="S1478" t="str">
        <v>Debit Card</v>
      </c>
      <c r="T1478" t="str">
        <v>Stationery</v>
      </c>
      <c r="U1478" t="str">
        <f t="shared" si="163"/>
        <v>VALID</v>
      </c>
      <c r="V1478" t="str">
        <f t="shared" si="164"/>
        <v>NORMAL</v>
      </c>
      <c r="W1478" t="str">
        <f t="shared" si="165"/>
        <v>Valid</v>
      </c>
      <c r="X1478">
        <f t="shared" si="167"/>
        <v>643.74</v>
      </c>
      <c r="Y1478">
        <f t="shared" si="166"/>
        <v>624.42780000000005</v>
      </c>
    </row>
    <row r="1479" spans="1:25" x14ac:dyDescent="0.3">
      <c r="A1479" t="s">
        <v>1830</v>
      </c>
      <c r="B1479" s="1">
        <v>45774</v>
      </c>
      <c r="C1479" t="s">
        <v>362</v>
      </c>
      <c r="D1479" t="s">
        <v>18</v>
      </c>
      <c r="E1479" t="s">
        <v>19</v>
      </c>
      <c r="F1479" t="s">
        <v>20</v>
      </c>
      <c r="G1479" t="s">
        <v>81</v>
      </c>
      <c r="H1479" t="s">
        <v>98</v>
      </c>
      <c r="I1479">
        <v>2</v>
      </c>
      <c r="J1479">
        <v>835.32</v>
      </c>
      <c r="K1479">
        <v>0.1</v>
      </c>
      <c r="L1479">
        <v>1503.58</v>
      </c>
      <c r="M1479" t="s">
        <v>76</v>
      </c>
      <c r="O1479" t="s">
        <v>65</v>
      </c>
      <c r="P1479" t="s">
        <v>116</v>
      </c>
      <c r="Q1479" t="str">
        <f t="shared" si="161"/>
        <v>Completed</v>
      </c>
      <c r="R1479" t="str">
        <f t="shared" si="162"/>
        <v>Store</v>
      </c>
      <c r="S1479" t="str">
        <v/>
      </c>
      <c r="T1479" t="str">
        <v>Accessories</v>
      </c>
      <c r="U1479" t="str">
        <f t="shared" si="163"/>
        <v>VALID</v>
      </c>
      <c r="V1479" t="str">
        <f t="shared" si="164"/>
        <v>NORMAL</v>
      </c>
      <c r="W1479" t="str">
        <f t="shared" si="165"/>
        <v>Valid</v>
      </c>
      <c r="X1479">
        <f t="shared" si="167"/>
        <v>1670.64</v>
      </c>
      <c r="Y1479">
        <f t="shared" si="166"/>
        <v>1503.576</v>
      </c>
    </row>
    <row r="1480" spans="1:25" x14ac:dyDescent="0.3">
      <c r="A1480" t="s">
        <v>1831</v>
      </c>
      <c r="B1480" s="1">
        <v>45433</v>
      </c>
      <c r="C1480" t="s">
        <v>181</v>
      </c>
      <c r="D1480" t="s">
        <v>53</v>
      </c>
      <c r="E1480" t="s">
        <v>54</v>
      </c>
      <c r="F1480" t="s">
        <v>55</v>
      </c>
      <c r="G1480" t="s">
        <v>21</v>
      </c>
      <c r="H1480" t="s">
        <v>22</v>
      </c>
      <c r="I1480">
        <v>5</v>
      </c>
      <c r="J1480">
        <v>235.59</v>
      </c>
      <c r="K1480">
        <v>0.03</v>
      </c>
      <c r="L1480">
        <v>1142.6099999999999</v>
      </c>
      <c r="M1480" t="s">
        <v>48</v>
      </c>
      <c r="N1480" t="s">
        <v>34</v>
      </c>
      <c r="O1480" t="s">
        <v>65</v>
      </c>
      <c r="P1480" t="s">
        <v>59</v>
      </c>
      <c r="Q1480" t="str">
        <f t="shared" si="161"/>
        <v>Completed</v>
      </c>
      <c r="R1480" t="str">
        <f t="shared" si="162"/>
        <v>Marketplace</v>
      </c>
      <c r="S1480" t="str">
        <v>Cash On Delivery</v>
      </c>
      <c r="T1480" t="str">
        <v>Stationery</v>
      </c>
      <c r="U1480" t="str">
        <f t="shared" si="163"/>
        <v>VALID</v>
      </c>
      <c r="V1480" t="str">
        <f t="shared" si="164"/>
        <v>NORMAL</v>
      </c>
      <c r="W1480" t="str">
        <f t="shared" si="165"/>
        <v>Valid</v>
      </c>
      <c r="X1480">
        <f t="shared" si="167"/>
        <v>1177.95</v>
      </c>
      <c r="Y1480">
        <f t="shared" si="166"/>
        <v>1142.6115</v>
      </c>
    </row>
    <row r="1481" spans="1:25" x14ac:dyDescent="0.3">
      <c r="A1481" t="s">
        <v>1832</v>
      </c>
      <c r="B1481" s="1">
        <v>45505</v>
      </c>
      <c r="C1481" t="s">
        <v>147</v>
      </c>
      <c r="D1481" t="s">
        <v>131</v>
      </c>
      <c r="E1481" t="s">
        <v>132</v>
      </c>
      <c r="F1481" t="s">
        <v>40</v>
      </c>
      <c r="G1481" t="s">
        <v>81</v>
      </c>
      <c r="H1481" t="s">
        <v>98</v>
      </c>
      <c r="I1481">
        <v>1</v>
      </c>
      <c r="J1481">
        <v>8755.4599999999991</v>
      </c>
      <c r="K1481">
        <v>0.08</v>
      </c>
      <c r="L1481">
        <v>8055.02</v>
      </c>
      <c r="M1481" t="s">
        <v>23</v>
      </c>
      <c r="N1481" t="s">
        <v>24</v>
      </c>
      <c r="O1481" t="s">
        <v>25</v>
      </c>
      <c r="P1481" t="s">
        <v>26</v>
      </c>
      <c r="Q1481" t="str">
        <f t="shared" si="161"/>
        <v>Returned</v>
      </c>
      <c r="R1481" t="str">
        <f t="shared" si="162"/>
        <v>Online</v>
      </c>
      <c r="S1481" t="str">
        <v>Debit Card</v>
      </c>
      <c r="T1481" t="str">
        <v>Furniture</v>
      </c>
      <c r="U1481" t="str">
        <f t="shared" si="163"/>
        <v>VALID</v>
      </c>
      <c r="V1481" t="str">
        <f t="shared" si="164"/>
        <v>NORMAL</v>
      </c>
      <c r="W1481" t="str">
        <f t="shared" si="165"/>
        <v>Valid</v>
      </c>
      <c r="X1481">
        <f t="shared" si="167"/>
        <v>8755.4599999999991</v>
      </c>
      <c r="Y1481">
        <f t="shared" si="166"/>
        <v>8055.0231999999996</v>
      </c>
    </row>
    <row r="1482" spans="1:25" x14ac:dyDescent="0.3">
      <c r="A1482" t="s">
        <v>1833</v>
      </c>
      <c r="B1482" s="1">
        <v>45321</v>
      </c>
      <c r="C1482" t="s">
        <v>426</v>
      </c>
      <c r="D1482" t="s">
        <v>45</v>
      </c>
      <c r="E1482" t="s">
        <v>46</v>
      </c>
      <c r="F1482" t="s">
        <v>31</v>
      </c>
      <c r="G1482" t="s">
        <v>21</v>
      </c>
      <c r="H1482" t="s">
        <v>126</v>
      </c>
      <c r="I1482">
        <v>4</v>
      </c>
      <c r="J1482">
        <v>1870.03</v>
      </c>
      <c r="K1482">
        <v>0.05</v>
      </c>
      <c r="L1482">
        <v>7106.11</v>
      </c>
      <c r="M1482" t="s">
        <v>48</v>
      </c>
      <c r="N1482" t="s">
        <v>71</v>
      </c>
      <c r="O1482" t="s">
        <v>35</v>
      </c>
      <c r="P1482" t="s">
        <v>102</v>
      </c>
      <c r="Q1482" t="str">
        <f t="shared" si="161"/>
        <v>Cancelled</v>
      </c>
      <c r="R1482" t="str">
        <f t="shared" si="162"/>
        <v>Marketplace</v>
      </c>
      <c r="S1482" t="str">
        <v>Upi</v>
      </c>
      <c r="T1482" t="str">
        <v>Electronics</v>
      </c>
      <c r="U1482" t="str">
        <f t="shared" si="163"/>
        <v>VALID</v>
      </c>
      <c r="V1482" t="str">
        <f t="shared" si="164"/>
        <v>NORMAL</v>
      </c>
      <c r="W1482" t="str">
        <f t="shared" si="165"/>
        <v>Valid</v>
      </c>
      <c r="X1482">
        <f t="shared" si="167"/>
        <v>7480.12</v>
      </c>
      <c r="Y1482">
        <f t="shared" si="166"/>
        <v>7106.1139999999996</v>
      </c>
    </row>
    <row r="1483" spans="1:25" x14ac:dyDescent="0.3">
      <c r="A1483" t="s">
        <v>1834</v>
      </c>
      <c r="B1483" s="1">
        <v>45496</v>
      </c>
      <c r="C1483" t="s">
        <v>266</v>
      </c>
      <c r="D1483" t="s">
        <v>170</v>
      </c>
      <c r="E1483" t="s">
        <v>171</v>
      </c>
      <c r="F1483" t="s">
        <v>31</v>
      </c>
      <c r="G1483" t="s">
        <v>56</v>
      </c>
      <c r="H1483" t="s">
        <v>57</v>
      </c>
      <c r="I1483">
        <v>2</v>
      </c>
      <c r="J1483">
        <v>66676.59</v>
      </c>
      <c r="K1483">
        <v>0.2</v>
      </c>
      <c r="L1483">
        <v>106682.54</v>
      </c>
      <c r="M1483" t="s">
        <v>48</v>
      </c>
      <c r="N1483" t="s">
        <v>34</v>
      </c>
      <c r="O1483" t="s">
        <v>35</v>
      </c>
      <c r="P1483" t="s">
        <v>50</v>
      </c>
      <c r="Q1483" t="str">
        <f t="shared" si="161"/>
        <v>Cancelled</v>
      </c>
      <c r="R1483" t="str">
        <f t="shared" si="162"/>
        <v>Marketplace</v>
      </c>
      <c r="S1483" t="str">
        <v>Cash On Delivery</v>
      </c>
      <c r="T1483" t="str">
        <v>Electronics</v>
      </c>
      <c r="U1483" t="str">
        <f t="shared" si="163"/>
        <v>VALID</v>
      </c>
      <c r="V1483" t="str">
        <f t="shared" si="164"/>
        <v>NORMAL</v>
      </c>
      <c r="W1483" t="str">
        <f t="shared" si="165"/>
        <v>Valid</v>
      </c>
      <c r="X1483">
        <f t="shared" si="167"/>
        <v>133353.18</v>
      </c>
      <c r="Y1483">
        <f t="shared" si="166"/>
        <v>106682.54399999999</v>
      </c>
    </row>
    <row r="1484" spans="1:25" x14ac:dyDescent="0.3">
      <c r="A1484" t="s">
        <v>1835</v>
      </c>
      <c r="B1484" s="1">
        <v>45954</v>
      </c>
      <c r="C1484" t="s">
        <v>285</v>
      </c>
      <c r="D1484" t="s">
        <v>131</v>
      </c>
      <c r="E1484" t="s">
        <v>132</v>
      </c>
      <c r="F1484" t="s">
        <v>40</v>
      </c>
      <c r="G1484" t="s">
        <v>56</v>
      </c>
      <c r="H1484" t="s">
        <v>101</v>
      </c>
      <c r="I1484">
        <v>4</v>
      </c>
      <c r="J1484">
        <v>9608.25</v>
      </c>
      <c r="K1484">
        <v>0.05</v>
      </c>
      <c r="L1484">
        <v>36511.35</v>
      </c>
      <c r="M1484" t="s">
        <v>48</v>
      </c>
      <c r="N1484" t="s">
        <v>49</v>
      </c>
      <c r="O1484" t="s">
        <v>65</v>
      </c>
      <c r="P1484" t="s">
        <v>111</v>
      </c>
      <c r="Q1484" t="str">
        <f t="shared" si="161"/>
        <v>Completed</v>
      </c>
      <c r="R1484" t="str">
        <f t="shared" si="162"/>
        <v>Marketplace</v>
      </c>
      <c r="S1484" t="str">
        <v>Net Banking</v>
      </c>
      <c r="T1484" t="str">
        <v>Furniture</v>
      </c>
      <c r="U1484" t="str">
        <f t="shared" si="163"/>
        <v>VALID</v>
      </c>
      <c r="V1484" t="str">
        <f t="shared" si="164"/>
        <v>NORMAL</v>
      </c>
      <c r="W1484" t="str">
        <f t="shared" si="165"/>
        <v>Valid</v>
      </c>
      <c r="X1484">
        <f t="shared" si="167"/>
        <v>38433</v>
      </c>
      <c r="Y1484">
        <f t="shared" si="166"/>
        <v>36511.35</v>
      </c>
    </row>
    <row r="1485" spans="1:25" x14ac:dyDescent="0.3">
      <c r="A1485" t="s">
        <v>1836</v>
      </c>
      <c r="B1485" s="1">
        <v>45561</v>
      </c>
      <c r="C1485" t="s">
        <v>558</v>
      </c>
      <c r="D1485" t="s">
        <v>38</v>
      </c>
      <c r="E1485" t="s">
        <v>39</v>
      </c>
      <c r="F1485" t="s">
        <v>40</v>
      </c>
      <c r="G1485" t="s">
        <v>21</v>
      </c>
      <c r="H1485" t="s">
        <v>22</v>
      </c>
      <c r="I1485">
        <v>1</v>
      </c>
      <c r="J1485">
        <v>1701.06</v>
      </c>
      <c r="K1485">
        <v>0.03</v>
      </c>
      <c r="L1485">
        <v>1650.03</v>
      </c>
      <c r="M1485" t="s">
        <v>48</v>
      </c>
      <c r="N1485" t="s">
        <v>34</v>
      </c>
      <c r="O1485" t="s">
        <v>35</v>
      </c>
      <c r="P1485" t="s">
        <v>59</v>
      </c>
      <c r="Q1485" t="str">
        <f t="shared" si="161"/>
        <v>Cancelled</v>
      </c>
      <c r="R1485" t="str">
        <f t="shared" si="162"/>
        <v>Marketplace</v>
      </c>
      <c r="S1485" t="str">
        <v>Cash On Delivery</v>
      </c>
      <c r="T1485" t="str">
        <v>Furniture</v>
      </c>
      <c r="U1485" t="str">
        <f t="shared" si="163"/>
        <v>VALID</v>
      </c>
      <c r="V1485" t="str">
        <f t="shared" si="164"/>
        <v>NORMAL</v>
      </c>
      <c r="W1485" t="str">
        <f t="shared" si="165"/>
        <v>Valid</v>
      </c>
      <c r="X1485">
        <f t="shared" si="167"/>
        <v>1701.06</v>
      </c>
      <c r="Y1485">
        <f t="shared" si="166"/>
        <v>1650.0282</v>
      </c>
    </row>
    <row r="1486" spans="1:25" x14ac:dyDescent="0.3">
      <c r="A1486" t="s">
        <v>1837</v>
      </c>
      <c r="B1486" s="1">
        <v>45755</v>
      </c>
      <c r="C1486" t="s">
        <v>828</v>
      </c>
      <c r="D1486" t="s">
        <v>121</v>
      </c>
      <c r="E1486" t="s">
        <v>122</v>
      </c>
      <c r="F1486" t="s">
        <v>55</v>
      </c>
      <c r="G1486" t="s">
        <v>81</v>
      </c>
      <c r="H1486" t="s">
        <v>98</v>
      </c>
      <c r="I1486">
        <v>3</v>
      </c>
      <c r="J1486">
        <v>446.95</v>
      </c>
      <c r="K1486">
        <v>0.03</v>
      </c>
      <c r="L1486">
        <v>1300.6199999999999</v>
      </c>
      <c r="M1486" t="s">
        <v>48</v>
      </c>
      <c r="N1486" t="s">
        <v>34</v>
      </c>
      <c r="O1486" t="s">
        <v>35</v>
      </c>
      <c r="P1486" t="s">
        <v>42</v>
      </c>
      <c r="Q1486" t="str">
        <f t="shared" si="161"/>
        <v>Cancelled</v>
      </c>
      <c r="R1486" t="str">
        <f t="shared" si="162"/>
        <v>Marketplace</v>
      </c>
      <c r="S1486" t="str">
        <v>Cash On Delivery</v>
      </c>
      <c r="T1486" t="str">
        <v>Stationery</v>
      </c>
      <c r="U1486" t="str">
        <f t="shared" si="163"/>
        <v>VALID</v>
      </c>
      <c r="V1486" t="str">
        <f t="shared" si="164"/>
        <v>NORMAL</v>
      </c>
      <c r="W1486" t="str">
        <f t="shared" si="165"/>
        <v>Valid</v>
      </c>
      <c r="X1486">
        <f t="shared" si="167"/>
        <v>1340.85</v>
      </c>
      <c r="Y1486">
        <f t="shared" si="166"/>
        <v>1300.6244999999999</v>
      </c>
    </row>
    <row r="1487" spans="1:25" x14ac:dyDescent="0.3">
      <c r="A1487" t="s">
        <v>1838</v>
      </c>
      <c r="B1487" s="1">
        <v>45440</v>
      </c>
      <c r="D1487" t="s">
        <v>53</v>
      </c>
      <c r="E1487" t="s">
        <v>54</v>
      </c>
      <c r="F1487" t="s">
        <v>55</v>
      </c>
      <c r="G1487" t="s">
        <v>21</v>
      </c>
      <c r="H1487" t="s">
        <v>93</v>
      </c>
      <c r="I1487">
        <v>1</v>
      </c>
      <c r="J1487">
        <v>231.26</v>
      </c>
      <c r="K1487">
        <v>0.15</v>
      </c>
      <c r="L1487">
        <v>196.57</v>
      </c>
      <c r="M1487" t="s">
        <v>76</v>
      </c>
      <c r="N1487" t="s">
        <v>71</v>
      </c>
      <c r="O1487" t="s">
        <v>35</v>
      </c>
      <c r="P1487" t="s">
        <v>102</v>
      </c>
      <c r="Q1487" t="str">
        <f t="shared" si="161"/>
        <v>Cancelled</v>
      </c>
      <c r="R1487" t="str">
        <f t="shared" si="162"/>
        <v>Store</v>
      </c>
      <c r="S1487" t="str">
        <v>Upi</v>
      </c>
      <c r="T1487" t="str">
        <v>Stationery</v>
      </c>
      <c r="U1487" t="str">
        <f t="shared" si="163"/>
        <v>VALID</v>
      </c>
      <c r="V1487" t="str">
        <f t="shared" si="164"/>
        <v>NORMAL</v>
      </c>
      <c r="W1487" t="str">
        <f t="shared" si="165"/>
        <v>Valid</v>
      </c>
      <c r="X1487">
        <f t="shared" si="167"/>
        <v>231.26</v>
      </c>
      <c r="Y1487">
        <f t="shared" si="166"/>
        <v>196.571</v>
      </c>
    </row>
    <row r="1488" spans="1:25" x14ac:dyDescent="0.3">
      <c r="A1488" t="s">
        <v>1839</v>
      </c>
      <c r="B1488" s="1">
        <v>45785</v>
      </c>
      <c r="C1488" t="s">
        <v>480</v>
      </c>
      <c r="D1488" t="s">
        <v>105</v>
      </c>
      <c r="E1488" t="s">
        <v>106</v>
      </c>
      <c r="F1488" t="s">
        <v>40</v>
      </c>
      <c r="G1488" t="s">
        <v>21</v>
      </c>
      <c r="H1488" t="s">
        <v>93</v>
      </c>
      <c r="I1488">
        <v>2</v>
      </c>
      <c r="J1488">
        <v>6928.1</v>
      </c>
      <c r="K1488">
        <v>0.05</v>
      </c>
      <c r="L1488">
        <v>13163.39</v>
      </c>
      <c r="M1488" t="s">
        <v>48</v>
      </c>
      <c r="N1488" t="s">
        <v>24</v>
      </c>
      <c r="O1488" t="s">
        <v>65</v>
      </c>
      <c r="P1488" t="s">
        <v>111</v>
      </c>
      <c r="Q1488" t="str">
        <f t="shared" si="161"/>
        <v>Completed</v>
      </c>
      <c r="R1488" t="str">
        <f t="shared" si="162"/>
        <v>Marketplace</v>
      </c>
      <c r="S1488" t="str">
        <v>Debit Card</v>
      </c>
      <c r="T1488" t="str">
        <v>Furniture</v>
      </c>
      <c r="U1488" t="str">
        <f t="shared" si="163"/>
        <v>VALID</v>
      </c>
      <c r="V1488" t="str">
        <f t="shared" si="164"/>
        <v>NORMAL</v>
      </c>
      <c r="W1488" t="str">
        <f t="shared" si="165"/>
        <v>Valid</v>
      </c>
      <c r="X1488">
        <f t="shared" si="167"/>
        <v>13856.2</v>
      </c>
      <c r="Y1488">
        <f t="shared" si="166"/>
        <v>13163.390000000001</v>
      </c>
    </row>
    <row r="1489" spans="1:25" x14ac:dyDescent="0.3">
      <c r="A1489" t="s">
        <v>1840</v>
      </c>
      <c r="B1489" s="1">
        <v>45967</v>
      </c>
      <c r="C1489" t="s">
        <v>556</v>
      </c>
      <c r="D1489" t="s">
        <v>131</v>
      </c>
      <c r="E1489" t="s">
        <v>132</v>
      </c>
      <c r="F1489" t="s">
        <v>40</v>
      </c>
      <c r="G1489" t="s">
        <v>32</v>
      </c>
      <c r="H1489" t="s">
        <v>47</v>
      </c>
      <c r="I1489">
        <v>5</v>
      </c>
      <c r="J1489">
        <v>10144.18</v>
      </c>
      <c r="K1489">
        <v>0.2</v>
      </c>
      <c r="L1489">
        <v>40576.720000000001</v>
      </c>
      <c r="M1489" t="s">
        <v>76</v>
      </c>
      <c r="N1489" t="s">
        <v>58</v>
      </c>
      <c r="O1489" t="s">
        <v>65</v>
      </c>
      <c r="P1489" t="s">
        <v>102</v>
      </c>
      <c r="Q1489" t="str">
        <f t="shared" si="161"/>
        <v>Completed</v>
      </c>
      <c r="R1489" t="str">
        <f t="shared" si="162"/>
        <v>Store</v>
      </c>
      <c r="S1489" t="str">
        <v>Credit Card</v>
      </c>
      <c r="T1489" t="str">
        <v>Furniture</v>
      </c>
      <c r="U1489" t="str">
        <f t="shared" si="163"/>
        <v>VALID</v>
      </c>
      <c r="V1489" t="str">
        <f t="shared" si="164"/>
        <v>NORMAL</v>
      </c>
      <c r="W1489" t="str">
        <f t="shared" si="165"/>
        <v>Valid</v>
      </c>
      <c r="X1489">
        <f t="shared" si="167"/>
        <v>50720.9</v>
      </c>
      <c r="Y1489">
        <f t="shared" si="166"/>
        <v>40576.720000000001</v>
      </c>
    </row>
    <row r="1490" spans="1:25" x14ac:dyDescent="0.3">
      <c r="A1490" t="s">
        <v>1841</v>
      </c>
      <c r="B1490" s="1">
        <v>45750</v>
      </c>
      <c r="C1490" t="s">
        <v>225</v>
      </c>
      <c r="D1490" t="s">
        <v>62</v>
      </c>
      <c r="E1490" t="s">
        <v>63</v>
      </c>
      <c r="F1490" t="s">
        <v>31</v>
      </c>
      <c r="G1490" t="s">
        <v>21</v>
      </c>
      <c r="H1490" t="s">
        <v>22</v>
      </c>
      <c r="I1490">
        <v>3</v>
      </c>
      <c r="J1490">
        <v>2624.95</v>
      </c>
      <c r="K1490">
        <v>0</v>
      </c>
      <c r="L1490">
        <v>7874.85</v>
      </c>
      <c r="M1490" t="s">
        <v>76</v>
      </c>
      <c r="N1490" t="s">
        <v>58</v>
      </c>
      <c r="O1490" t="s">
        <v>35</v>
      </c>
      <c r="P1490" t="s">
        <v>59</v>
      </c>
      <c r="Q1490" t="str">
        <f t="shared" si="161"/>
        <v>Cancelled</v>
      </c>
      <c r="R1490" t="str">
        <f t="shared" si="162"/>
        <v>Store</v>
      </c>
      <c r="S1490" t="str">
        <v>Credit Card</v>
      </c>
      <c r="T1490" t="str">
        <v>Electronics</v>
      </c>
      <c r="U1490" t="str">
        <f t="shared" si="163"/>
        <v>VALID</v>
      </c>
      <c r="V1490" t="str">
        <f t="shared" si="164"/>
        <v>NORMAL</v>
      </c>
      <c r="W1490" t="str">
        <f t="shared" si="165"/>
        <v>Valid</v>
      </c>
      <c r="X1490">
        <f t="shared" si="167"/>
        <v>7874.8499999999995</v>
      </c>
      <c r="Y1490">
        <f t="shared" si="166"/>
        <v>7874.8499999999995</v>
      </c>
    </row>
    <row r="1491" spans="1:25" x14ac:dyDescent="0.3">
      <c r="A1491" t="s">
        <v>1842</v>
      </c>
      <c r="B1491" s="1">
        <v>45660</v>
      </c>
      <c r="C1491" t="s">
        <v>581</v>
      </c>
      <c r="D1491" t="s">
        <v>96</v>
      </c>
      <c r="E1491" t="s">
        <v>97</v>
      </c>
      <c r="F1491" t="s">
        <v>31</v>
      </c>
      <c r="G1491" t="s">
        <v>56</v>
      </c>
      <c r="H1491" t="s">
        <v>57</v>
      </c>
      <c r="I1491">
        <v>3</v>
      </c>
      <c r="J1491">
        <v>1109.33</v>
      </c>
      <c r="K1491">
        <v>0.1</v>
      </c>
      <c r="L1491">
        <v>2995.19</v>
      </c>
      <c r="M1491" t="s">
        <v>48</v>
      </c>
      <c r="N1491" t="s">
        <v>58</v>
      </c>
      <c r="O1491" t="s">
        <v>65</v>
      </c>
      <c r="P1491" t="s">
        <v>50</v>
      </c>
      <c r="Q1491" t="str">
        <f t="shared" si="161"/>
        <v>Completed</v>
      </c>
      <c r="R1491" t="str">
        <f t="shared" si="162"/>
        <v>Marketplace</v>
      </c>
      <c r="S1491" t="str">
        <v>Credit Card</v>
      </c>
      <c r="T1491" t="str">
        <v>Electronics</v>
      </c>
      <c r="U1491" t="str">
        <f t="shared" si="163"/>
        <v>VALID</v>
      </c>
      <c r="V1491" t="str">
        <f t="shared" si="164"/>
        <v>NORMAL</v>
      </c>
      <c r="W1491" t="str">
        <f t="shared" si="165"/>
        <v>Valid</v>
      </c>
      <c r="X1491">
        <f t="shared" si="167"/>
        <v>3327.99</v>
      </c>
      <c r="Y1491">
        <f t="shared" si="166"/>
        <v>2995.1909999999998</v>
      </c>
    </row>
    <row r="1492" spans="1:25" x14ac:dyDescent="0.3">
      <c r="A1492" t="s">
        <v>1843</v>
      </c>
      <c r="B1492" s="1">
        <v>46117</v>
      </c>
      <c r="C1492" t="s">
        <v>803</v>
      </c>
      <c r="D1492" t="s">
        <v>170</v>
      </c>
      <c r="E1492" t="s">
        <v>171</v>
      </c>
      <c r="F1492" t="s">
        <v>31</v>
      </c>
      <c r="G1492" t="s">
        <v>56</v>
      </c>
      <c r="H1492" t="s">
        <v>64</v>
      </c>
      <c r="I1492">
        <v>5</v>
      </c>
      <c r="J1492">
        <v>60791.19</v>
      </c>
      <c r="K1492">
        <v>0.15</v>
      </c>
      <c r="L1492">
        <v>258362.56</v>
      </c>
      <c r="M1492" t="s">
        <v>23</v>
      </c>
      <c r="N1492" t="s">
        <v>71</v>
      </c>
      <c r="O1492" t="s">
        <v>65</v>
      </c>
      <c r="P1492" t="s">
        <v>72</v>
      </c>
      <c r="Q1492" t="str">
        <f t="shared" si="161"/>
        <v>Completed</v>
      </c>
      <c r="R1492" t="str">
        <f t="shared" si="162"/>
        <v>Online</v>
      </c>
      <c r="S1492" t="str">
        <v>Upi</v>
      </c>
      <c r="T1492" t="str">
        <v>Electronics</v>
      </c>
      <c r="U1492" t="str">
        <f t="shared" si="163"/>
        <v>VALID</v>
      </c>
      <c r="V1492" t="str">
        <f t="shared" si="164"/>
        <v>NORMAL</v>
      </c>
      <c r="W1492" t="str">
        <f t="shared" si="165"/>
        <v>Valid</v>
      </c>
      <c r="X1492">
        <f t="shared" si="167"/>
        <v>303955.95</v>
      </c>
      <c r="Y1492">
        <f t="shared" si="166"/>
        <v>258362.5575</v>
      </c>
    </row>
    <row r="1493" spans="1:25" x14ac:dyDescent="0.3">
      <c r="A1493" t="s">
        <v>1844</v>
      </c>
      <c r="B1493" s="1">
        <v>45461</v>
      </c>
      <c r="C1493" t="s">
        <v>313</v>
      </c>
      <c r="D1493" t="s">
        <v>121</v>
      </c>
      <c r="E1493" t="s">
        <v>122</v>
      </c>
      <c r="F1493" t="s">
        <v>55</v>
      </c>
      <c r="G1493" t="s">
        <v>21</v>
      </c>
      <c r="H1493" t="s">
        <v>93</v>
      </c>
      <c r="I1493">
        <v>4</v>
      </c>
      <c r="J1493">
        <v>453.58</v>
      </c>
      <c r="K1493">
        <v>0</v>
      </c>
      <c r="L1493">
        <v>1814.32</v>
      </c>
      <c r="M1493" t="s">
        <v>48</v>
      </c>
      <c r="N1493" t="s">
        <v>24</v>
      </c>
      <c r="O1493" t="s">
        <v>65</v>
      </c>
      <c r="P1493" t="s">
        <v>59</v>
      </c>
      <c r="Q1493" t="str">
        <f t="shared" si="161"/>
        <v>Completed</v>
      </c>
      <c r="R1493" t="str">
        <f t="shared" si="162"/>
        <v>Marketplace</v>
      </c>
      <c r="S1493" t="str">
        <v>Debit Card</v>
      </c>
      <c r="T1493" t="str">
        <v>Stationery</v>
      </c>
      <c r="U1493" t="str">
        <f t="shared" si="163"/>
        <v>VALID</v>
      </c>
      <c r="V1493" t="str">
        <f t="shared" si="164"/>
        <v>NORMAL</v>
      </c>
      <c r="W1493" t="str">
        <f t="shared" si="165"/>
        <v>Valid</v>
      </c>
      <c r="X1493">
        <f t="shared" si="167"/>
        <v>1814.32</v>
      </c>
      <c r="Y1493">
        <f t="shared" si="166"/>
        <v>1814.32</v>
      </c>
    </row>
    <row r="1494" spans="1:25" x14ac:dyDescent="0.3">
      <c r="A1494" t="s">
        <v>1845</v>
      </c>
      <c r="B1494" s="1">
        <v>45354</v>
      </c>
      <c r="C1494" t="s">
        <v>776</v>
      </c>
      <c r="D1494" t="s">
        <v>45</v>
      </c>
      <c r="E1494" t="s">
        <v>46</v>
      </c>
      <c r="F1494" t="s">
        <v>31</v>
      </c>
      <c r="G1494" t="s">
        <v>56</v>
      </c>
      <c r="H1494" t="s">
        <v>64</v>
      </c>
      <c r="I1494">
        <v>2</v>
      </c>
      <c r="J1494">
        <v>1689.2</v>
      </c>
      <c r="K1494">
        <v>0.05</v>
      </c>
      <c r="L1494">
        <v>3209.48</v>
      </c>
      <c r="M1494" t="s">
        <v>48</v>
      </c>
      <c r="N1494" t="s">
        <v>71</v>
      </c>
      <c r="O1494" t="s">
        <v>65</v>
      </c>
      <c r="P1494" t="s">
        <v>116</v>
      </c>
      <c r="Q1494" t="str">
        <f t="shared" si="161"/>
        <v>Completed</v>
      </c>
      <c r="R1494" t="str">
        <f t="shared" si="162"/>
        <v>Marketplace</v>
      </c>
      <c r="S1494" t="str">
        <v>Upi</v>
      </c>
      <c r="T1494" t="str">
        <v>Electronics</v>
      </c>
      <c r="U1494" t="str">
        <f t="shared" si="163"/>
        <v>VALID</v>
      </c>
      <c r="V1494" t="str">
        <f t="shared" si="164"/>
        <v>NORMAL</v>
      </c>
      <c r="W1494" t="str">
        <f t="shared" si="165"/>
        <v>Valid</v>
      </c>
      <c r="X1494">
        <f t="shared" si="167"/>
        <v>3378.4</v>
      </c>
      <c r="Y1494">
        <f t="shared" si="166"/>
        <v>3209.48</v>
      </c>
    </row>
    <row r="1495" spans="1:25" x14ac:dyDescent="0.3">
      <c r="A1495" t="s">
        <v>1846</v>
      </c>
      <c r="B1495" s="1">
        <v>45572</v>
      </c>
      <c r="C1495" t="s">
        <v>373</v>
      </c>
      <c r="D1495" t="s">
        <v>131</v>
      </c>
      <c r="E1495" t="s">
        <v>132</v>
      </c>
      <c r="F1495" t="s">
        <v>40</v>
      </c>
      <c r="G1495" t="s">
        <v>81</v>
      </c>
      <c r="H1495" t="s">
        <v>135</v>
      </c>
      <c r="I1495">
        <v>3</v>
      </c>
      <c r="J1495">
        <v>10144.700000000001</v>
      </c>
      <c r="K1495">
        <v>0.15</v>
      </c>
      <c r="L1495">
        <v>25868.99</v>
      </c>
      <c r="M1495" t="s">
        <v>76</v>
      </c>
      <c r="N1495" t="s">
        <v>49</v>
      </c>
      <c r="O1495" t="s">
        <v>65</v>
      </c>
      <c r="P1495" t="s">
        <v>111</v>
      </c>
      <c r="Q1495" t="str">
        <f t="shared" si="161"/>
        <v>Completed</v>
      </c>
      <c r="R1495" t="str">
        <f t="shared" si="162"/>
        <v>Store</v>
      </c>
      <c r="S1495" t="str">
        <v>Net Banking</v>
      </c>
      <c r="T1495" t="str">
        <v>Furniture</v>
      </c>
      <c r="U1495" t="str">
        <f t="shared" si="163"/>
        <v>VALID</v>
      </c>
      <c r="V1495" t="str">
        <f t="shared" si="164"/>
        <v>NORMAL</v>
      </c>
      <c r="W1495" t="str">
        <f t="shared" si="165"/>
        <v>Valid</v>
      </c>
      <c r="X1495">
        <f t="shared" si="167"/>
        <v>30434.100000000002</v>
      </c>
      <c r="Y1495">
        <f t="shared" si="166"/>
        <v>25868.985000000001</v>
      </c>
    </row>
    <row r="1496" spans="1:25" x14ac:dyDescent="0.3">
      <c r="A1496" t="s">
        <v>1847</v>
      </c>
      <c r="B1496" s="1">
        <v>45748</v>
      </c>
      <c r="C1496" t="s">
        <v>394</v>
      </c>
      <c r="D1496" t="s">
        <v>121</v>
      </c>
      <c r="E1496" t="s">
        <v>122</v>
      </c>
      <c r="F1496" t="s">
        <v>55</v>
      </c>
      <c r="G1496" t="s">
        <v>81</v>
      </c>
      <c r="H1496" t="s">
        <v>82</v>
      </c>
      <c r="I1496">
        <v>5</v>
      </c>
      <c r="J1496">
        <v>414.12</v>
      </c>
      <c r="K1496">
        <v>0.08</v>
      </c>
      <c r="L1496">
        <v>1904.95</v>
      </c>
      <c r="M1496" t="s">
        <v>76</v>
      </c>
      <c r="N1496" t="s">
        <v>58</v>
      </c>
      <c r="O1496" t="s">
        <v>65</v>
      </c>
      <c r="P1496" t="s">
        <v>26</v>
      </c>
      <c r="Q1496" t="str">
        <f t="shared" si="161"/>
        <v>Completed</v>
      </c>
      <c r="R1496" t="str">
        <f t="shared" si="162"/>
        <v>Store</v>
      </c>
      <c r="S1496" t="str">
        <v>Credit Card</v>
      </c>
      <c r="T1496" t="str">
        <v>Stationery</v>
      </c>
      <c r="U1496" t="str">
        <f t="shared" si="163"/>
        <v>VALID</v>
      </c>
      <c r="V1496" t="str">
        <f t="shared" si="164"/>
        <v>NORMAL</v>
      </c>
      <c r="W1496" t="str">
        <f t="shared" si="165"/>
        <v>Valid</v>
      </c>
      <c r="X1496">
        <f t="shared" si="167"/>
        <v>2070.6</v>
      </c>
      <c r="Y1496">
        <f t="shared" si="166"/>
        <v>1904.952</v>
      </c>
    </row>
    <row r="1497" spans="1:25" x14ac:dyDescent="0.3">
      <c r="A1497" t="s">
        <v>1848</v>
      </c>
      <c r="B1497" s="1">
        <v>45370</v>
      </c>
      <c r="C1497" t="s">
        <v>200</v>
      </c>
      <c r="D1497" t="s">
        <v>176</v>
      </c>
      <c r="E1497" t="s">
        <v>177</v>
      </c>
      <c r="F1497" t="s">
        <v>31</v>
      </c>
      <c r="G1497" t="s">
        <v>32</v>
      </c>
      <c r="H1497" t="s">
        <v>47</v>
      </c>
      <c r="I1497">
        <v>1</v>
      </c>
      <c r="J1497">
        <v>2281.02</v>
      </c>
      <c r="K1497">
        <v>0</v>
      </c>
      <c r="L1497">
        <v>2281.02</v>
      </c>
      <c r="M1497" t="s">
        <v>23</v>
      </c>
      <c r="N1497" t="s">
        <v>24</v>
      </c>
      <c r="O1497" t="s">
        <v>65</v>
      </c>
      <c r="P1497" t="s">
        <v>42</v>
      </c>
      <c r="Q1497" t="str">
        <f t="shared" si="161"/>
        <v>Completed</v>
      </c>
      <c r="R1497" t="str">
        <f t="shared" si="162"/>
        <v>Online</v>
      </c>
      <c r="S1497" t="str">
        <v>Debit Card</v>
      </c>
      <c r="T1497" t="str">
        <v>Electronics</v>
      </c>
      <c r="U1497" t="str">
        <f t="shared" si="163"/>
        <v>VALID</v>
      </c>
      <c r="V1497" t="str">
        <f t="shared" si="164"/>
        <v>NORMAL</v>
      </c>
      <c r="W1497" t="str">
        <f t="shared" si="165"/>
        <v>Valid</v>
      </c>
      <c r="X1497">
        <f t="shared" si="167"/>
        <v>2281.02</v>
      </c>
      <c r="Y1497">
        <f t="shared" si="166"/>
        <v>2281.02</v>
      </c>
    </row>
    <row r="1498" spans="1:25" x14ac:dyDescent="0.3">
      <c r="A1498" t="s">
        <v>1849</v>
      </c>
      <c r="B1498" s="1">
        <v>45572</v>
      </c>
      <c r="C1498" t="s">
        <v>173</v>
      </c>
      <c r="D1498" t="s">
        <v>176</v>
      </c>
      <c r="E1498" t="s">
        <v>177</v>
      </c>
      <c r="F1498" t="s">
        <v>31</v>
      </c>
      <c r="G1498" t="s">
        <v>32</v>
      </c>
      <c r="H1498" t="s">
        <v>33</v>
      </c>
      <c r="I1498">
        <v>5</v>
      </c>
      <c r="J1498">
        <v>2112.25</v>
      </c>
      <c r="K1498">
        <v>0</v>
      </c>
      <c r="L1498">
        <v>10561.25</v>
      </c>
      <c r="M1498" t="s">
        <v>76</v>
      </c>
      <c r="N1498" t="s">
        <v>49</v>
      </c>
      <c r="O1498" t="s">
        <v>25</v>
      </c>
      <c r="P1498" t="s">
        <v>26</v>
      </c>
      <c r="Q1498" t="str">
        <f t="shared" si="161"/>
        <v>Returned</v>
      </c>
      <c r="R1498" t="str">
        <f t="shared" si="162"/>
        <v>Store</v>
      </c>
      <c r="S1498" t="str">
        <v>Net Banking</v>
      </c>
      <c r="T1498" t="str">
        <v>Electronics</v>
      </c>
      <c r="U1498" t="str">
        <f t="shared" si="163"/>
        <v>VALID</v>
      </c>
      <c r="V1498" t="str">
        <f t="shared" si="164"/>
        <v>NORMAL</v>
      </c>
      <c r="W1498" t="str">
        <f t="shared" si="165"/>
        <v>Valid</v>
      </c>
      <c r="X1498">
        <f t="shared" si="167"/>
        <v>10561.25</v>
      </c>
      <c r="Y1498">
        <f t="shared" si="166"/>
        <v>10561.25</v>
      </c>
    </row>
    <row r="1499" spans="1:25" x14ac:dyDescent="0.3">
      <c r="A1499" t="s">
        <v>1850</v>
      </c>
      <c r="B1499" s="1">
        <v>45564</v>
      </c>
      <c r="C1499" t="s">
        <v>817</v>
      </c>
      <c r="D1499" t="s">
        <v>45</v>
      </c>
      <c r="E1499" t="s">
        <v>46</v>
      </c>
      <c r="F1499" t="s">
        <v>31</v>
      </c>
      <c r="G1499" t="s">
        <v>56</v>
      </c>
      <c r="H1499" t="s">
        <v>64</v>
      </c>
      <c r="I1499">
        <v>4</v>
      </c>
      <c r="J1499">
        <v>1706.75</v>
      </c>
      <c r="K1499">
        <v>0.2</v>
      </c>
      <c r="L1499">
        <v>5461.6</v>
      </c>
      <c r="M1499" t="s">
        <v>76</v>
      </c>
      <c r="N1499" t="s">
        <v>24</v>
      </c>
      <c r="O1499" t="s">
        <v>65</v>
      </c>
      <c r="P1499" t="s">
        <v>72</v>
      </c>
      <c r="Q1499" t="str">
        <f t="shared" si="161"/>
        <v>Completed</v>
      </c>
      <c r="R1499" t="str">
        <f t="shared" si="162"/>
        <v>Store</v>
      </c>
      <c r="S1499" t="str">
        <v>Debit Card</v>
      </c>
      <c r="T1499" t="str">
        <v>Electronics</v>
      </c>
      <c r="U1499" t="str">
        <f t="shared" si="163"/>
        <v>VALID</v>
      </c>
      <c r="V1499" t="str">
        <f t="shared" si="164"/>
        <v>NORMAL</v>
      </c>
      <c r="W1499" t="str">
        <f t="shared" si="165"/>
        <v>Valid</v>
      </c>
      <c r="X1499">
        <f t="shared" si="167"/>
        <v>6827</v>
      </c>
      <c r="Y1499">
        <f t="shared" si="166"/>
        <v>5461.6</v>
      </c>
    </row>
    <row r="1500" spans="1:25" x14ac:dyDescent="0.3">
      <c r="A1500" t="s">
        <v>1851</v>
      </c>
      <c r="B1500" s="1">
        <v>45690</v>
      </c>
      <c r="C1500" t="s">
        <v>115</v>
      </c>
      <c r="D1500" t="s">
        <v>45</v>
      </c>
      <c r="E1500" t="s">
        <v>46</v>
      </c>
      <c r="F1500" t="s">
        <v>31</v>
      </c>
      <c r="G1500" t="s">
        <v>56</v>
      </c>
      <c r="H1500" t="s">
        <v>123</v>
      </c>
      <c r="I1500">
        <v>4</v>
      </c>
      <c r="J1500">
        <v>1803</v>
      </c>
      <c r="K1500">
        <v>0.03</v>
      </c>
      <c r="L1500">
        <v>6995.64</v>
      </c>
      <c r="M1500" t="s">
        <v>76</v>
      </c>
      <c r="N1500" t="s">
        <v>71</v>
      </c>
      <c r="O1500" t="s">
        <v>65</v>
      </c>
      <c r="P1500" t="s">
        <v>102</v>
      </c>
      <c r="Q1500" t="str">
        <f t="shared" si="161"/>
        <v>Completed</v>
      </c>
      <c r="R1500" t="str">
        <f t="shared" si="162"/>
        <v>Store</v>
      </c>
      <c r="S1500" t="str">
        <v>Upi</v>
      </c>
      <c r="T1500" t="str">
        <v>Electronics</v>
      </c>
      <c r="U1500" t="str">
        <f t="shared" si="163"/>
        <v>VALID</v>
      </c>
      <c r="V1500" t="str">
        <f t="shared" si="164"/>
        <v>NORMAL</v>
      </c>
      <c r="W1500" t="str">
        <f t="shared" si="165"/>
        <v>Valid</v>
      </c>
      <c r="X1500">
        <f t="shared" si="167"/>
        <v>7212</v>
      </c>
      <c r="Y1500">
        <f t="shared" si="166"/>
        <v>6995.64</v>
      </c>
    </row>
    <row r="1501" spans="1:25" x14ac:dyDescent="0.3">
      <c r="A1501" t="s">
        <v>1852</v>
      </c>
      <c r="B1501" s="1">
        <v>45878</v>
      </c>
      <c r="C1501" t="s">
        <v>266</v>
      </c>
      <c r="D1501" t="s">
        <v>18</v>
      </c>
      <c r="E1501" t="s">
        <v>19</v>
      </c>
      <c r="F1501" t="s">
        <v>20</v>
      </c>
      <c r="G1501" t="s">
        <v>32</v>
      </c>
      <c r="H1501" t="s">
        <v>47</v>
      </c>
      <c r="I1501">
        <v>1</v>
      </c>
      <c r="J1501">
        <v>872.41</v>
      </c>
      <c r="K1501">
        <v>0.15</v>
      </c>
      <c r="L1501">
        <v>741.55</v>
      </c>
      <c r="M1501" t="s">
        <v>76</v>
      </c>
      <c r="N1501" t="s">
        <v>34</v>
      </c>
      <c r="O1501" t="s">
        <v>65</v>
      </c>
      <c r="P1501" t="s">
        <v>50</v>
      </c>
      <c r="Q1501" t="str">
        <f t="shared" si="161"/>
        <v>Completed</v>
      </c>
      <c r="R1501" t="str">
        <f t="shared" si="162"/>
        <v>Store</v>
      </c>
      <c r="S1501" t="str">
        <v>Cash On Delivery</v>
      </c>
      <c r="T1501" t="str">
        <v>Accessories</v>
      </c>
      <c r="U1501" t="str">
        <f t="shared" si="163"/>
        <v>VALID</v>
      </c>
      <c r="V1501" t="str">
        <f t="shared" si="164"/>
        <v>NORMAL</v>
      </c>
      <c r="W1501" t="str">
        <f t="shared" si="165"/>
        <v>Valid</v>
      </c>
      <c r="X1501">
        <f t="shared" si="167"/>
        <v>872.41</v>
      </c>
      <c r="Y1501">
        <f t="shared" si="166"/>
        <v>741.54849999999999</v>
      </c>
    </row>
    <row r="1502" spans="1:25" x14ac:dyDescent="0.3">
      <c r="A1502" t="s">
        <v>667</v>
      </c>
      <c r="B1502" s="1">
        <v>45477</v>
      </c>
      <c r="C1502" t="s">
        <v>311</v>
      </c>
      <c r="D1502" t="s">
        <v>79</v>
      </c>
      <c r="E1502" t="s">
        <v>80</v>
      </c>
      <c r="F1502" t="s">
        <v>31</v>
      </c>
      <c r="G1502" t="s">
        <v>21</v>
      </c>
      <c r="H1502" t="s">
        <v>126</v>
      </c>
      <c r="I1502">
        <v>3</v>
      </c>
      <c r="J1502">
        <v>12159.57</v>
      </c>
      <c r="K1502">
        <v>0.15</v>
      </c>
      <c r="L1502">
        <v>31006.9</v>
      </c>
      <c r="M1502" t="s">
        <v>48</v>
      </c>
      <c r="N1502" t="s">
        <v>24</v>
      </c>
      <c r="O1502" t="s">
        <v>35</v>
      </c>
      <c r="P1502" t="s">
        <v>102</v>
      </c>
      <c r="Q1502" t="str">
        <f t="shared" si="161"/>
        <v>Cancelled</v>
      </c>
      <c r="R1502" t="str">
        <f t="shared" si="162"/>
        <v>Marketplace</v>
      </c>
      <c r="S1502" t="str">
        <v>Debit Card</v>
      </c>
      <c r="T1502" t="str">
        <v>Electronics</v>
      </c>
      <c r="U1502" t="str">
        <f t="shared" si="163"/>
        <v>VALID</v>
      </c>
      <c r="V1502" t="str">
        <f t="shared" si="164"/>
        <v>NORMAL</v>
      </c>
      <c r="W1502" t="str">
        <f t="shared" si="165"/>
        <v>Valid</v>
      </c>
      <c r="X1502">
        <f t="shared" si="167"/>
        <v>36478.71</v>
      </c>
      <c r="Y1502">
        <f t="shared" si="166"/>
        <v>31006.9035</v>
      </c>
    </row>
    <row r="1503" spans="1:25" x14ac:dyDescent="0.3">
      <c r="A1503" t="s">
        <v>145</v>
      </c>
      <c r="B1503" s="1">
        <v>46178</v>
      </c>
      <c r="C1503" t="s">
        <v>651</v>
      </c>
      <c r="D1503" t="s">
        <v>53</v>
      </c>
      <c r="E1503" t="s">
        <v>54</v>
      </c>
      <c r="F1503" t="s">
        <v>55</v>
      </c>
      <c r="G1503" t="s">
        <v>21</v>
      </c>
      <c r="H1503" t="s">
        <v>22</v>
      </c>
      <c r="J1503">
        <v>202.89</v>
      </c>
      <c r="K1503">
        <v>0.03</v>
      </c>
      <c r="L1503">
        <v>590.41</v>
      </c>
      <c r="M1503" t="s">
        <v>23</v>
      </c>
      <c r="N1503" t="s">
        <v>71</v>
      </c>
      <c r="O1503" t="s">
        <v>65</v>
      </c>
      <c r="P1503" t="s">
        <v>26</v>
      </c>
      <c r="Q1503" t="str">
        <f t="shared" si="161"/>
        <v>Completed</v>
      </c>
      <c r="R1503" t="str">
        <f t="shared" si="162"/>
        <v>Online</v>
      </c>
      <c r="S1503" t="str">
        <v>Upi</v>
      </c>
      <c r="T1503" t="str">
        <v>Stationery</v>
      </c>
      <c r="U1503" t="str">
        <f t="shared" si="163"/>
        <v>INVALID</v>
      </c>
      <c r="V1503" t="str">
        <f t="shared" si="164"/>
        <v>NORMAL</v>
      </c>
      <c r="W1503" t="str">
        <f t="shared" si="165"/>
        <v>Valid</v>
      </c>
      <c r="X1503">
        <f t="shared" si="167"/>
        <v>0</v>
      </c>
      <c r="Y1503">
        <f t="shared" si="166"/>
        <v>0</v>
      </c>
    </row>
    <row r="1504" spans="1:25" x14ac:dyDescent="0.3">
      <c r="A1504" t="s">
        <v>1560</v>
      </c>
      <c r="B1504" s="1">
        <v>46059</v>
      </c>
      <c r="C1504" t="s">
        <v>373</v>
      </c>
      <c r="D1504" t="s">
        <v>170</v>
      </c>
      <c r="E1504" t="s">
        <v>171</v>
      </c>
      <c r="F1504" t="s">
        <v>31</v>
      </c>
      <c r="G1504" t="s">
        <v>21</v>
      </c>
      <c r="H1504" t="s">
        <v>22</v>
      </c>
      <c r="I1504">
        <v>4</v>
      </c>
      <c r="J1504">
        <v>60204.77</v>
      </c>
      <c r="K1504">
        <v>0.1</v>
      </c>
      <c r="L1504">
        <v>216737.17</v>
      </c>
      <c r="M1504" t="s">
        <v>48</v>
      </c>
      <c r="N1504" t="s">
        <v>24</v>
      </c>
      <c r="O1504" t="s">
        <v>65</v>
      </c>
      <c r="P1504" t="s">
        <v>26</v>
      </c>
      <c r="Q1504" t="str">
        <f t="shared" si="161"/>
        <v>Completed</v>
      </c>
      <c r="R1504" t="str">
        <f t="shared" si="162"/>
        <v>Marketplace</v>
      </c>
      <c r="S1504" t="str">
        <v>Debit Card</v>
      </c>
      <c r="T1504" t="str">
        <v>Electronics</v>
      </c>
      <c r="U1504" t="str">
        <f t="shared" si="163"/>
        <v>VALID</v>
      </c>
      <c r="V1504" t="str">
        <f t="shared" si="164"/>
        <v>NORMAL</v>
      </c>
      <c r="W1504" t="str">
        <f t="shared" si="165"/>
        <v>Valid</v>
      </c>
      <c r="X1504">
        <f t="shared" si="167"/>
        <v>240819.08</v>
      </c>
      <c r="Y1504">
        <f t="shared" si="166"/>
        <v>216737.17199999999</v>
      </c>
    </row>
    <row r="1505" spans="1:25" x14ac:dyDescent="0.3">
      <c r="A1505" t="s">
        <v>536</v>
      </c>
      <c r="B1505" s="1">
        <v>45874</v>
      </c>
      <c r="C1505" t="s">
        <v>74</v>
      </c>
      <c r="D1505" t="s">
        <v>121</v>
      </c>
      <c r="E1505" t="s">
        <v>122</v>
      </c>
      <c r="F1505" t="s">
        <v>55</v>
      </c>
      <c r="G1505" t="s">
        <v>21</v>
      </c>
      <c r="I1505">
        <v>5</v>
      </c>
      <c r="J1505">
        <v>446.21</v>
      </c>
      <c r="K1505">
        <v>0.1</v>
      </c>
      <c r="L1505">
        <v>2007.94</v>
      </c>
      <c r="M1505" t="s">
        <v>23</v>
      </c>
      <c r="N1505" t="s">
        <v>24</v>
      </c>
      <c r="O1505" t="s">
        <v>65</v>
      </c>
      <c r="P1505" t="s">
        <v>50</v>
      </c>
      <c r="Q1505" t="str">
        <f t="shared" si="161"/>
        <v>Completed</v>
      </c>
      <c r="R1505" t="str">
        <f t="shared" si="162"/>
        <v>Online</v>
      </c>
      <c r="S1505" t="str">
        <v>Debit Card</v>
      </c>
      <c r="T1505" t="str">
        <v>Stationery</v>
      </c>
      <c r="U1505" t="str">
        <f t="shared" si="163"/>
        <v>VALID</v>
      </c>
      <c r="V1505" t="str">
        <f t="shared" si="164"/>
        <v>NORMAL</v>
      </c>
      <c r="W1505" t="str">
        <f t="shared" si="165"/>
        <v>Valid</v>
      </c>
      <c r="X1505">
        <f t="shared" si="167"/>
        <v>2231.0499999999997</v>
      </c>
      <c r="Y1505">
        <f t="shared" si="166"/>
        <v>2007.9449999999997</v>
      </c>
    </row>
    <row r="1506" spans="1:25" x14ac:dyDescent="0.3">
      <c r="S1506" t="str">
        <v/>
      </c>
      <c r="T1506" t="str">
        <v/>
      </c>
    </row>
    <row r="1507" spans="1:25" x14ac:dyDescent="0.3">
      <c r="S1507" t="str">
        <v/>
      </c>
      <c r="T1507" t="str">
        <v/>
      </c>
    </row>
    <row r="1508" spans="1:25" x14ac:dyDescent="0.3">
      <c r="S1508" t="str">
        <v/>
      </c>
      <c r="T1508" t="str">
        <v/>
      </c>
    </row>
    <row r="1509" spans="1:25" x14ac:dyDescent="0.3">
      <c r="S1509" t="str">
        <v/>
      </c>
      <c r="T1509" t="str">
        <v/>
      </c>
    </row>
    <row r="1510" spans="1:25" x14ac:dyDescent="0.3">
      <c r="S1510" t="str">
        <v/>
      </c>
      <c r="T1510" t="str">
        <v/>
      </c>
    </row>
    <row r="1511" spans="1:25" x14ac:dyDescent="0.3">
      <c r="S1511" t="str">
        <v/>
      </c>
      <c r="T1511" t="str">
        <v/>
      </c>
    </row>
    <row r="1512" spans="1:25" x14ac:dyDescent="0.3">
      <c r="S1512" t="str">
        <v/>
      </c>
      <c r="T1512" t="str">
        <v/>
      </c>
    </row>
    <row r="1513" spans="1:25" x14ac:dyDescent="0.3">
      <c r="S1513" t="str">
        <v/>
      </c>
      <c r="T1513" t="str">
        <v/>
      </c>
    </row>
    <row r="1514" spans="1:25" x14ac:dyDescent="0.3">
      <c r="S1514" t="str">
        <v/>
      </c>
      <c r="T1514" t="str">
        <v/>
      </c>
    </row>
    <row r="1515" spans="1:25" x14ac:dyDescent="0.3">
      <c r="S1515" t="str">
        <v/>
      </c>
      <c r="T1515" t="str">
        <v/>
      </c>
    </row>
    <row r="1516" spans="1:25" x14ac:dyDescent="0.3">
      <c r="S1516" t="str">
        <v/>
      </c>
      <c r="T1516" t="str">
        <v/>
      </c>
    </row>
    <row r="1517" spans="1:25" x14ac:dyDescent="0.3">
      <c r="S1517" t="str">
        <v/>
      </c>
      <c r="T1517" t="str">
        <v/>
      </c>
    </row>
    <row r="1518" spans="1:25" x14ac:dyDescent="0.3">
      <c r="S1518" t="str">
        <v/>
      </c>
      <c r="T1518" t="str">
        <v/>
      </c>
    </row>
    <row r="1519" spans="1:25" x14ac:dyDescent="0.3">
      <c r="S1519" t="str">
        <v/>
      </c>
      <c r="T1519" t="str">
        <v/>
      </c>
    </row>
    <row r="1520" spans="1:25" x14ac:dyDescent="0.3">
      <c r="S1520" t="str">
        <v/>
      </c>
      <c r="T1520" t="str">
        <v/>
      </c>
    </row>
    <row r="1521" spans="19:20" x14ac:dyDescent="0.3">
      <c r="S1521" t="str">
        <v/>
      </c>
      <c r="T1521" t="str">
        <v/>
      </c>
    </row>
    <row r="1522" spans="19:20" x14ac:dyDescent="0.3">
      <c r="S1522" t="str">
        <v/>
      </c>
      <c r="T1522" t="str">
        <v/>
      </c>
    </row>
    <row r="1523" spans="19:20" x14ac:dyDescent="0.3">
      <c r="S1523" t="str">
        <v/>
      </c>
      <c r="T1523" t="str">
        <v/>
      </c>
    </row>
    <row r="1524" spans="19:20" x14ac:dyDescent="0.3">
      <c r="S1524" t="str">
        <v/>
      </c>
      <c r="T1524" t="str">
        <v/>
      </c>
    </row>
    <row r="1525" spans="19:20" x14ac:dyDescent="0.3">
      <c r="S1525" t="str">
        <v/>
      </c>
      <c r="T1525" t="str">
        <v/>
      </c>
    </row>
    <row r="1526" spans="19:20" x14ac:dyDescent="0.3">
      <c r="S1526" t="str">
        <v/>
      </c>
      <c r="T1526" t="str">
        <v/>
      </c>
    </row>
    <row r="1527" spans="19:20" x14ac:dyDescent="0.3">
      <c r="S1527" t="str">
        <v/>
      </c>
      <c r="T1527" t="str">
        <v/>
      </c>
    </row>
    <row r="1528" spans="19:20" x14ac:dyDescent="0.3">
      <c r="S1528" t="str">
        <v/>
      </c>
      <c r="T1528" t="str">
        <v/>
      </c>
    </row>
    <row r="1529" spans="19:20" x14ac:dyDescent="0.3">
      <c r="S1529" t="str">
        <v/>
      </c>
      <c r="T1529" t="str"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F73B-5C8E-4940-AB96-EE9D24D9AD68}">
  <dimension ref="A1:N23"/>
  <sheetViews>
    <sheetView zoomScale="74" zoomScaleNormal="74" workbookViewId="0">
      <selection activeCell="K30" sqref="K30"/>
    </sheetView>
  </sheetViews>
  <sheetFormatPr defaultRowHeight="14.4" x14ac:dyDescent="0.3"/>
  <cols>
    <col min="1" max="2" width="25.44140625" bestFit="1" customWidth="1"/>
    <col min="3" max="3" width="11" bestFit="1" customWidth="1"/>
    <col min="4" max="4" width="16.6640625" bestFit="1" customWidth="1"/>
    <col min="5" max="5" width="25.109375" bestFit="1" customWidth="1"/>
    <col min="6" max="6" width="19.77734375" bestFit="1" customWidth="1"/>
    <col min="7" max="7" width="18" bestFit="1" customWidth="1"/>
    <col min="8" max="8" width="25.44140625" bestFit="1" customWidth="1"/>
    <col min="9" max="9" width="13.5546875" bestFit="1" customWidth="1"/>
    <col min="10" max="10" width="18.77734375" customWidth="1"/>
    <col min="11" max="11" width="25.44140625" bestFit="1" customWidth="1"/>
    <col min="13" max="13" width="16.6640625" bestFit="1" customWidth="1"/>
    <col min="14" max="14" width="25.44140625" bestFit="1" customWidth="1"/>
    <col min="16" max="16" width="13.33203125" bestFit="1" customWidth="1"/>
    <col min="17" max="17" width="20" bestFit="1" customWidth="1"/>
  </cols>
  <sheetData>
    <row r="1" spans="1:14" ht="18" x14ac:dyDescent="0.35">
      <c r="A1" s="3" t="s">
        <v>1870</v>
      </c>
      <c r="B1" s="3" t="s">
        <v>1872</v>
      </c>
      <c r="D1" s="4" t="s">
        <v>1880</v>
      </c>
      <c r="E1" s="2" t="s">
        <v>1882</v>
      </c>
      <c r="F1" s="2"/>
      <c r="G1" s="4" t="s">
        <v>1880</v>
      </c>
      <c r="H1" s="2" t="s">
        <v>1882</v>
      </c>
      <c r="I1" s="2"/>
      <c r="J1" s="4" t="s">
        <v>1880</v>
      </c>
      <c r="K1" s="2" t="s">
        <v>1882</v>
      </c>
      <c r="L1" s="2"/>
      <c r="M1" s="4" t="s">
        <v>1880</v>
      </c>
      <c r="N1" s="2" t="s">
        <v>1882</v>
      </c>
    </row>
    <row r="2" spans="1:14" ht="18" x14ac:dyDescent="0.35">
      <c r="A2" s="2" t="s">
        <v>1871</v>
      </c>
      <c r="B2" s="2">
        <f>SUM('Clean_data '!L:L)</f>
        <v>29592577.470000036</v>
      </c>
      <c r="D2" s="5" t="s">
        <v>20</v>
      </c>
      <c r="E2" s="2">
        <v>938550.64000000013</v>
      </c>
      <c r="F2" s="2"/>
      <c r="G2" s="5" t="s">
        <v>75</v>
      </c>
      <c r="H2" s="2">
        <v>2196364.2899999996</v>
      </c>
      <c r="I2" s="2"/>
      <c r="J2" s="5" t="s">
        <v>86</v>
      </c>
      <c r="K2" s="2">
        <v>493555.52</v>
      </c>
      <c r="L2" s="2"/>
      <c r="M2" s="5" t="s">
        <v>72</v>
      </c>
      <c r="N2" s="2">
        <v>4769147.2300000032</v>
      </c>
    </row>
    <row r="3" spans="1:14" ht="18" x14ac:dyDescent="0.35">
      <c r="A3" s="2" t="s">
        <v>1873</v>
      </c>
      <c r="B3" s="2">
        <f>SUM('Clean_data '!I:I)</f>
        <v>4592</v>
      </c>
      <c r="D3" s="5" t="s">
        <v>31</v>
      </c>
      <c r="E3" s="2">
        <v>23145610.65000001</v>
      </c>
      <c r="F3" s="2"/>
      <c r="G3" s="5" t="s">
        <v>101</v>
      </c>
      <c r="H3" s="2">
        <v>2331377.669999999</v>
      </c>
      <c r="I3" s="2"/>
      <c r="J3" s="5" t="s">
        <v>106</v>
      </c>
      <c r="K3" s="2">
        <v>2220172.0100000002</v>
      </c>
      <c r="L3" s="2"/>
      <c r="M3" s="5" t="s">
        <v>26</v>
      </c>
      <c r="N3" s="2">
        <v>4459204.5700000031</v>
      </c>
    </row>
    <row r="4" spans="1:14" ht="18" x14ac:dyDescent="0.35">
      <c r="A4" s="2" t="s">
        <v>1875</v>
      </c>
      <c r="B4" s="2">
        <f>AVERAGE('Clean_data '!L:L)</f>
        <v>19675.915871010664</v>
      </c>
      <c r="D4" s="5" t="s">
        <v>40</v>
      </c>
      <c r="E4" s="2">
        <v>5328687.58</v>
      </c>
      <c r="F4" s="2"/>
      <c r="G4" s="5" t="s">
        <v>93</v>
      </c>
      <c r="H4" s="2">
        <v>2131850.6599999997</v>
      </c>
      <c r="I4" s="2"/>
      <c r="J4" s="5" t="s">
        <v>39</v>
      </c>
      <c r="K4" s="2">
        <v>365243.49000000005</v>
      </c>
      <c r="L4" s="2"/>
      <c r="M4" s="5" t="s">
        <v>116</v>
      </c>
      <c r="N4" s="2">
        <v>3401028.4200000009</v>
      </c>
    </row>
    <row r="5" spans="1:14" ht="18" x14ac:dyDescent="0.35">
      <c r="A5" s="2" t="s">
        <v>1879</v>
      </c>
      <c r="B5" s="2">
        <f>MAX('Clean_data '!L:L)</f>
        <v>339764.2</v>
      </c>
      <c r="D5" s="5" t="s">
        <v>55</v>
      </c>
      <c r="E5" s="2">
        <v>179728.60000000006</v>
      </c>
      <c r="F5" s="2"/>
      <c r="G5" s="5" t="s">
        <v>135</v>
      </c>
      <c r="H5" s="2">
        <v>1769004.96</v>
      </c>
      <c r="I5" s="2"/>
      <c r="J5" s="5" t="s">
        <v>30</v>
      </c>
      <c r="K5" s="2">
        <v>842475.74999999977</v>
      </c>
      <c r="L5" s="2"/>
      <c r="M5" s="5" t="s">
        <v>111</v>
      </c>
      <c r="N5" s="2">
        <v>2754345.1500000008</v>
      </c>
    </row>
    <row r="6" spans="1:14" ht="18" x14ac:dyDescent="0.35">
      <c r="A6" s="2" t="s">
        <v>1874</v>
      </c>
      <c r="B6" s="2">
        <f>MIN('Clean_data '!L:L)</f>
        <v>166.5</v>
      </c>
      <c r="D6" s="5" t="s">
        <v>1881</v>
      </c>
      <c r="E6" s="2">
        <v>29592577.470000014</v>
      </c>
      <c r="F6" s="2"/>
      <c r="G6" s="5" t="s">
        <v>57</v>
      </c>
      <c r="H6" s="2">
        <v>1300171.8599999996</v>
      </c>
      <c r="I6" s="2"/>
      <c r="J6" s="5" t="s">
        <v>46</v>
      </c>
      <c r="K6" s="2">
        <v>573377.51000000013</v>
      </c>
      <c r="L6" s="2"/>
      <c r="M6" s="5" t="s">
        <v>50</v>
      </c>
      <c r="N6" s="2">
        <v>3727292.8400000012</v>
      </c>
    </row>
    <row r="7" spans="1:14" ht="18" x14ac:dyDescent="0.35">
      <c r="A7" s="2" t="s">
        <v>1876</v>
      </c>
      <c r="B7" s="2">
        <f>COUNTIF('Clean_data '!O:O,"completed")</f>
        <v>1026</v>
      </c>
      <c r="D7" s="2"/>
      <c r="E7" s="2"/>
      <c r="F7" s="2"/>
      <c r="G7" s="5" t="s">
        <v>98</v>
      </c>
      <c r="H7" s="2">
        <v>1193556.8000000005</v>
      </c>
      <c r="I7" s="2"/>
      <c r="J7" s="5" t="s">
        <v>171</v>
      </c>
      <c r="K7" s="2">
        <v>16702445.34</v>
      </c>
      <c r="L7" s="2"/>
      <c r="M7" s="5" t="s">
        <v>42</v>
      </c>
      <c r="N7" s="2">
        <v>2861025.2500000014</v>
      </c>
    </row>
    <row r="8" spans="1:14" ht="18" x14ac:dyDescent="0.35">
      <c r="A8" s="2" t="s">
        <v>1877</v>
      </c>
      <c r="B8" s="2">
        <f>COUNTIF('Clean_data '!O:O,"cancelled")</f>
        <v>243</v>
      </c>
      <c r="D8" s="2"/>
      <c r="E8" s="2"/>
      <c r="F8" s="2"/>
      <c r="G8" s="5" t="s">
        <v>64</v>
      </c>
      <c r="H8" s="2">
        <v>1483606.2899999996</v>
      </c>
      <c r="I8" s="2"/>
      <c r="J8" s="5" t="s">
        <v>80</v>
      </c>
      <c r="K8" s="2">
        <v>3581792.54</v>
      </c>
      <c r="L8" s="2"/>
      <c r="M8" s="5" t="s">
        <v>59</v>
      </c>
      <c r="N8" s="2">
        <v>3237769.6900000013</v>
      </c>
    </row>
    <row r="9" spans="1:14" ht="18" x14ac:dyDescent="0.35">
      <c r="A9" s="2" t="s">
        <v>1878</v>
      </c>
      <c r="B9" s="2">
        <f>COUNTIF('Clean_data '!O:O,"returned")</f>
        <v>235</v>
      </c>
      <c r="D9" s="4" t="s">
        <v>1880</v>
      </c>
      <c r="E9" s="2" t="s">
        <v>1882</v>
      </c>
      <c r="F9" s="2"/>
      <c r="G9" s="5" t="s">
        <v>87</v>
      </c>
      <c r="H9" s="2">
        <v>1823153.4400000006</v>
      </c>
      <c r="I9" s="2"/>
      <c r="J9" s="5" t="s">
        <v>122</v>
      </c>
      <c r="K9" s="2">
        <v>117802.68999999999</v>
      </c>
      <c r="L9" s="2"/>
      <c r="M9" s="5" t="s">
        <v>102</v>
      </c>
      <c r="N9" s="2">
        <v>3963068.439999999</v>
      </c>
    </row>
    <row r="10" spans="1:14" ht="18" x14ac:dyDescent="0.35">
      <c r="D10" s="5" t="s">
        <v>21</v>
      </c>
      <c r="E10" s="2">
        <v>8134892.5599999977</v>
      </c>
      <c r="F10" s="2"/>
      <c r="G10" s="5" t="s">
        <v>22</v>
      </c>
      <c r="H10" s="2">
        <v>2453114.689999999</v>
      </c>
      <c r="I10" s="2"/>
      <c r="J10" s="5" t="s">
        <v>132</v>
      </c>
      <c r="K10" s="2">
        <v>2743272.0800000005</v>
      </c>
      <c r="L10" s="2"/>
      <c r="M10" s="5" t="s">
        <v>1881</v>
      </c>
      <c r="N10" s="2">
        <v>29172881.590000007</v>
      </c>
    </row>
    <row r="11" spans="1:14" ht="18" x14ac:dyDescent="0.35">
      <c r="D11" s="5" t="s">
        <v>81</v>
      </c>
      <c r="E11" s="2">
        <v>7064448.7599999961</v>
      </c>
      <c r="F11" s="2"/>
      <c r="G11" s="5" t="s">
        <v>82</v>
      </c>
      <c r="H11" s="2">
        <v>2222621.2799999984</v>
      </c>
      <c r="I11" s="2"/>
      <c r="J11" s="5" t="s">
        <v>54</v>
      </c>
      <c r="K11" s="2">
        <v>61925.910000000025</v>
      </c>
      <c r="L11" s="2"/>
      <c r="M11" s="2"/>
      <c r="N11" s="2"/>
    </row>
    <row r="12" spans="1:14" ht="18" x14ac:dyDescent="0.35">
      <c r="A12" s="4" t="s">
        <v>1880</v>
      </c>
      <c r="B12" s="2" t="s">
        <v>1882</v>
      </c>
      <c r="D12" s="5" t="s">
        <v>56</v>
      </c>
      <c r="E12" s="2">
        <v>7093523.5200000042</v>
      </c>
      <c r="F12" s="2"/>
      <c r="G12" s="5" t="s">
        <v>68</v>
      </c>
      <c r="H12" s="2">
        <v>1334417.7400000002</v>
      </c>
      <c r="I12" s="2"/>
      <c r="J12" s="5" t="s">
        <v>90</v>
      </c>
      <c r="K12" s="2">
        <v>182259.21</v>
      </c>
      <c r="L12" s="2"/>
      <c r="M12" s="2"/>
      <c r="N12" s="2"/>
    </row>
    <row r="13" spans="1:14" ht="18" x14ac:dyDescent="0.35">
      <c r="A13" s="5" t="s">
        <v>86</v>
      </c>
      <c r="B13" s="2">
        <v>493555.52</v>
      </c>
      <c r="D13" s="5" t="s">
        <v>32</v>
      </c>
      <c r="E13" s="2">
        <v>7299712.6300000018</v>
      </c>
      <c r="F13" s="2"/>
      <c r="G13" s="5" t="s">
        <v>126</v>
      </c>
      <c r="H13" s="2">
        <v>1591722.9300000002</v>
      </c>
      <c r="I13" s="2"/>
      <c r="J13" s="5" t="s">
        <v>177</v>
      </c>
      <c r="K13" s="2">
        <v>530135.42999999993</v>
      </c>
      <c r="L13" s="2"/>
      <c r="M13" s="4" t="s">
        <v>1880</v>
      </c>
      <c r="N13" s="2" t="s">
        <v>1882</v>
      </c>
    </row>
    <row r="14" spans="1:14" ht="18" x14ac:dyDescent="0.35">
      <c r="A14" s="5" t="s">
        <v>106</v>
      </c>
      <c r="B14" s="2">
        <v>2220172.0100000002</v>
      </c>
      <c r="D14" s="5" t="s">
        <v>1881</v>
      </c>
      <c r="E14" s="2">
        <v>29592577.469999999</v>
      </c>
      <c r="F14" s="2"/>
      <c r="G14" s="5" t="s">
        <v>33</v>
      </c>
      <c r="H14" s="2">
        <v>2165126.4700000002</v>
      </c>
      <c r="I14" s="2"/>
      <c r="J14" s="5" t="s">
        <v>19</v>
      </c>
      <c r="K14" s="2">
        <v>262735.90999999997</v>
      </c>
      <c r="L14" s="2"/>
      <c r="M14" s="5" t="s">
        <v>48</v>
      </c>
      <c r="N14" s="2">
        <v>9144489.459999999</v>
      </c>
    </row>
    <row r="15" spans="1:14" ht="18" x14ac:dyDescent="0.35">
      <c r="A15" s="5" t="s">
        <v>39</v>
      </c>
      <c r="B15" s="2">
        <v>365243.49000000005</v>
      </c>
      <c r="D15" s="2"/>
      <c r="E15" s="2"/>
      <c r="F15" s="2"/>
      <c r="G15" s="5" t="s">
        <v>41</v>
      </c>
      <c r="H15" s="2">
        <v>1937343.6699999997</v>
      </c>
      <c r="I15" s="2"/>
      <c r="J15" s="5" t="s">
        <v>63</v>
      </c>
      <c r="K15" s="2">
        <v>594958.92999999993</v>
      </c>
      <c r="L15" s="2"/>
      <c r="M15" s="5" t="s">
        <v>23</v>
      </c>
      <c r="N15" s="2">
        <v>11563652.949999992</v>
      </c>
    </row>
    <row r="16" spans="1:14" ht="18" x14ac:dyDescent="0.35">
      <c r="A16" s="5" t="s">
        <v>30</v>
      </c>
      <c r="B16" s="2">
        <v>842475.74999999977</v>
      </c>
      <c r="D16" s="2"/>
      <c r="E16" s="2"/>
      <c r="F16" s="2"/>
      <c r="G16" s="5" t="s">
        <v>47</v>
      </c>
      <c r="H16" s="2">
        <v>1550596.6099999999</v>
      </c>
      <c r="I16" s="2"/>
      <c r="J16" s="5" t="s">
        <v>97</v>
      </c>
      <c r="K16" s="2">
        <v>320425.14999999997</v>
      </c>
      <c r="L16" s="2"/>
      <c r="M16" s="5" t="s">
        <v>76</v>
      </c>
      <c r="N16" s="2">
        <v>8884435.0599999968</v>
      </c>
    </row>
    <row r="17" spans="1:14" ht="18" x14ac:dyDescent="0.35">
      <c r="A17" s="5" t="s">
        <v>46</v>
      </c>
      <c r="B17" s="2">
        <v>573377.51000000013</v>
      </c>
      <c r="D17" s="2"/>
      <c r="E17" s="2"/>
      <c r="F17" s="2"/>
      <c r="G17" s="5" t="s">
        <v>123</v>
      </c>
      <c r="H17" s="2">
        <v>1933071.0700000008</v>
      </c>
      <c r="I17" s="2"/>
      <c r="J17" s="5" t="s">
        <v>1881</v>
      </c>
      <c r="K17" s="2">
        <v>29592577.470000003</v>
      </c>
      <c r="L17" s="2"/>
      <c r="M17" s="5" t="s">
        <v>1881</v>
      </c>
      <c r="N17" s="2">
        <v>29592577.469999984</v>
      </c>
    </row>
    <row r="18" spans="1:14" ht="18" x14ac:dyDescent="0.35">
      <c r="A18" s="5" t="s">
        <v>171</v>
      </c>
      <c r="B18" s="2">
        <v>16702445.34</v>
      </c>
      <c r="D18" s="2"/>
      <c r="E18" s="2"/>
      <c r="F18" s="2"/>
      <c r="G18" s="5" t="s">
        <v>1881</v>
      </c>
      <c r="H18" s="2">
        <v>29417100.429999996</v>
      </c>
      <c r="I18" s="2"/>
      <c r="J18" s="2"/>
      <c r="K18" s="2"/>
      <c r="L18" s="2"/>
      <c r="M18" s="2"/>
      <c r="N18" s="2"/>
    </row>
    <row r="19" spans="1:14" ht="18" x14ac:dyDescent="0.35">
      <c r="A19" s="5" t="s">
        <v>80</v>
      </c>
      <c r="B19" s="2">
        <v>3581792.54</v>
      </c>
    </row>
    <row r="20" spans="1:14" ht="18" x14ac:dyDescent="0.35">
      <c r="A20" s="5" t="s">
        <v>132</v>
      </c>
      <c r="B20" s="2">
        <v>2743272.0800000005</v>
      </c>
    </row>
    <row r="21" spans="1:14" ht="18" x14ac:dyDescent="0.35">
      <c r="A21" s="5" t="s">
        <v>177</v>
      </c>
      <c r="B21" s="2">
        <v>530135.42999999993</v>
      </c>
    </row>
    <row r="22" spans="1:14" ht="18" x14ac:dyDescent="0.35">
      <c r="A22" s="5" t="s">
        <v>63</v>
      </c>
      <c r="B22" s="2">
        <v>594958.92999999993</v>
      </c>
    </row>
    <row r="23" spans="1:14" ht="18" x14ac:dyDescent="0.35">
      <c r="A23" s="5" t="s">
        <v>1881</v>
      </c>
      <c r="B23" s="2">
        <v>28647428.600000001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 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VIKING</dc:creator>
  <cp:lastModifiedBy>Devesh singh</cp:lastModifiedBy>
  <dcterms:created xsi:type="dcterms:W3CDTF">2026-09-18T07:02:41Z</dcterms:created>
  <dcterms:modified xsi:type="dcterms:W3CDTF">2026-09-23T12:13:33Z</dcterms:modified>
</cp:coreProperties>
</file>